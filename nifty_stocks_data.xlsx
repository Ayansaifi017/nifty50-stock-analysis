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projects\Indian Stock Market Performance Analysis\"/>
    </mc:Choice>
  </mc:AlternateContent>
  <xr:revisionPtr revIDLastSave="0" documentId="8_{0C74F215-D5B7-4247-80AA-CB1313C4DD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ing_Notes" sheetId="2" r:id="rId2"/>
    <sheet name="Summary" sheetId="8" r:id="rId3"/>
    <sheet name="Analysis" sheetId="9" r:id="rId4"/>
    <sheet name="Dashboard" sheetId="11" r:id="rId5"/>
    <sheet name="ChartData" sheetId="12" r:id="rId6"/>
  </sheet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K17" i="1"/>
  <c r="K32" i="1"/>
  <c r="K47" i="1"/>
  <c r="K62" i="1"/>
  <c r="K77" i="1"/>
  <c r="K92" i="1"/>
  <c r="K107" i="1"/>
  <c r="K122" i="1"/>
  <c r="K137" i="1"/>
  <c r="K152" i="1"/>
  <c r="K167" i="1"/>
  <c r="K182" i="1"/>
  <c r="K197" i="1"/>
  <c r="K212" i="1"/>
  <c r="K227" i="1"/>
  <c r="K242" i="1"/>
  <c r="K257" i="1"/>
  <c r="K272" i="1"/>
  <c r="K287" i="1"/>
  <c r="K302" i="1"/>
  <c r="K317" i="1"/>
  <c r="K332" i="1"/>
  <c r="K347" i="1"/>
  <c r="K362" i="1"/>
  <c r="K377" i="1"/>
  <c r="K392" i="1"/>
  <c r="K407" i="1"/>
  <c r="K422" i="1"/>
  <c r="K437" i="1"/>
  <c r="K452" i="1"/>
  <c r="K467" i="1"/>
  <c r="K482" i="1"/>
  <c r="K497" i="1"/>
  <c r="K512" i="1"/>
  <c r="K527" i="1"/>
  <c r="K542" i="1"/>
  <c r="K557" i="1"/>
  <c r="K572" i="1"/>
  <c r="K587" i="1"/>
  <c r="K602" i="1"/>
  <c r="K617" i="1"/>
  <c r="K632" i="1"/>
  <c r="K647" i="1"/>
  <c r="K662" i="1"/>
  <c r="K677" i="1"/>
  <c r="K692" i="1"/>
  <c r="K707" i="1"/>
  <c r="K722" i="1"/>
  <c r="K737" i="1"/>
  <c r="K752" i="1"/>
  <c r="K767" i="1"/>
  <c r="K782" i="1"/>
  <c r="K797" i="1"/>
  <c r="K812" i="1"/>
  <c r="K827" i="1"/>
  <c r="K842" i="1"/>
  <c r="K857" i="1"/>
  <c r="K872" i="1"/>
  <c r="K887" i="1"/>
  <c r="K902" i="1"/>
  <c r="K917" i="1"/>
  <c r="K932" i="1"/>
  <c r="K947" i="1"/>
  <c r="K962" i="1"/>
  <c r="K977" i="1"/>
  <c r="K992" i="1"/>
  <c r="K1007" i="1"/>
  <c r="K1022" i="1"/>
  <c r="K1037" i="1"/>
  <c r="K1052" i="1"/>
  <c r="K1067" i="1"/>
  <c r="K1082" i="1"/>
  <c r="K1097" i="1"/>
  <c r="K1112" i="1"/>
  <c r="K1127" i="1"/>
  <c r="K1142" i="1"/>
  <c r="K1157" i="1"/>
  <c r="K1172" i="1"/>
  <c r="K1187" i="1"/>
  <c r="K1202" i="1"/>
  <c r="K1217" i="1"/>
  <c r="K1232" i="1"/>
  <c r="K1247" i="1"/>
  <c r="K1262" i="1"/>
  <c r="K1277" i="1"/>
  <c r="K1292" i="1"/>
  <c r="K1307" i="1"/>
  <c r="K1322" i="1"/>
  <c r="K1337" i="1"/>
  <c r="K1352" i="1"/>
  <c r="K1367" i="1"/>
  <c r="K1382" i="1"/>
  <c r="K1397" i="1"/>
  <c r="K1412" i="1"/>
  <c r="K1427" i="1"/>
  <c r="K1442" i="1"/>
  <c r="K1457" i="1"/>
  <c r="K1472" i="1"/>
  <c r="K1487" i="1"/>
  <c r="K1502" i="1"/>
  <c r="K1517" i="1"/>
  <c r="K1532" i="1"/>
  <c r="K1547" i="1"/>
  <c r="K1562" i="1"/>
  <c r="K1577" i="1"/>
  <c r="K1592" i="1"/>
  <c r="K1607" i="1"/>
  <c r="K1622" i="1"/>
  <c r="K1637" i="1"/>
  <c r="K1652" i="1"/>
  <c r="K1667" i="1"/>
  <c r="K1682" i="1"/>
  <c r="K1697" i="1"/>
  <c r="K1712" i="1"/>
  <c r="K1727" i="1"/>
  <c r="K1742" i="1"/>
  <c r="K1757" i="1"/>
  <c r="K1772" i="1"/>
  <c r="K1787" i="1"/>
  <c r="K1802" i="1"/>
  <c r="K1817" i="1"/>
  <c r="K1832" i="1"/>
  <c r="K1847" i="1"/>
  <c r="K1862" i="1"/>
  <c r="K1877" i="1"/>
  <c r="K1892" i="1"/>
  <c r="K1907" i="1"/>
  <c r="K1922" i="1"/>
  <c r="K1937" i="1"/>
  <c r="K1952" i="1"/>
  <c r="K1967" i="1"/>
  <c r="K1982" i="1"/>
  <c r="K1997" i="1"/>
  <c r="K2012" i="1"/>
  <c r="K2027" i="1"/>
  <c r="K2042" i="1"/>
  <c r="K2057" i="1"/>
  <c r="K2072" i="1"/>
  <c r="K2087" i="1"/>
  <c r="K2102" i="1"/>
  <c r="K2117" i="1"/>
  <c r="K2132" i="1"/>
  <c r="K2147" i="1"/>
  <c r="K2162" i="1"/>
  <c r="K2177" i="1"/>
  <c r="K2192" i="1"/>
  <c r="K2207" i="1"/>
  <c r="K2222" i="1"/>
  <c r="K2237" i="1"/>
  <c r="K2252" i="1"/>
  <c r="K2267" i="1"/>
  <c r="K2282" i="1"/>
  <c r="K2297" i="1"/>
  <c r="K2312" i="1"/>
  <c r="K2327" i="1"/>
  <c r="K2342" i="1"/>
  <c r="K2357" i="1"/>
  <c r="K2372" i="1"/>
  <c r="K2387" i="1"/>
  <c r="K2402" i="1"/>
  <c r="K2417" i="1"/>
  <c r="K2432" i="1"/>
  <c r="K2447" i="1"/>
  <c r="K2462" i="1"/>
  <c r="K2477" i="1"/>
  <c r="K2492" i="1"/>
  <c r="K2507" i="1"/>
  <c r="K2522" i="1"/>
  <c r="K2537" i="1"/>
  <c r="K2552" i="1"/>
  <c r="K2567" i="1"/>
  <c r="K2582" i="1"/>
  <c r="K2597" i="1"/>
  <c r="K2612" i="1"/>
  <c r="K2627" i="1"/>
  <c r="K2642" i="1"/>
  <c r="K2657" i="1"/>
  <c r="K2672" i="1"/>
  <c r="K2687" i="1"/>
  <c r="K2702" i="1"/>
  <c r="K2717" i="1"/>
  <c r="K2732" i="1"/>
  <c r="K2747" i="1"/>
  <c r="K2762" i="1"/>
  <c r="K2777" i="1"/>
  <c r="K2792" i="1"/>
  <c r="K2807" i="1"/>
  <c r="K2822" i="1"/>
  <c r="K2837" i="1"/>
  <c r="K2852" i="1"/>
  <c r="K2867" i="1"/>
  <c r="K2882" i="1"/>
  <c r="K2897" i="1"/>
  <c r="K2912" i="1"/>
  <c r="K2927" i="1"/>
  <c r="K2942" i="1"/>
  <c r="K2957" i="1"/>
  <c r="K2972" i="1"/>
  <c r="K2987" i="1"/>
  <c r="K3002" i="1"/>
  <c r="K3017" i="1"/>
  <c r="K3032" i="1"/>
  <c r="K3047" i="1"/>
  <c r="K3062" i="1"/>
  <c r="K3077" i="1"/>
  <c r="K3092" i="1"/>
  <c r="K3107" i="1"/>
  <c r="K3122" i="1"/>
  <c r="K3137" i="1"/>
  <c r="K3152" i="1"/>
  <c r="K3167" i="1"/>
  <c r="K3182" i="1"/>
  <c r="K3197" i="1"/>
  <c r="K3212" i="1"/>
  <c r="K3227" i="1"/>
  <c r="K3242" i="1"/>
  <c r="K3257" i="1"/>
  <c r="K3272" i="1"/>
  <c r="K3287" i="1"/>
  <c r="K3302" i="1"/>
  <c r="K3317" i="1"/>
  <c r="K3332" i="1"/>
  <c r="K3347" i="1"/>
  <c r="K3362" i="1"/>
  <c r="K3377" i="1"/>
  <c r="K3392" i="1"/>
  <c r="K3407" i="1"/>
  <c r="K3422" i="1"/>
  <c r="K3437" i="1"/>
  <c r="K3452" i="1"/>
  <c r="K3467" i="1"/>
  <c r="K3482" i="1"/>
  <c r="K3497" i="1"/>
  <c r="K3512" i="1"/>
  <c r="K3527" i="1"/>
  <c r="K3542" i="1"/>
  <c r="K3557" i="1"/>
  <c r="K3572" i="1"/>
  <c r="K3587" i="1"/>
  <c r="K3602" i="1"/>
  <c r="K3617" i="1"/>
  <c r="K3630" i="1"/>
  <c r="K3645" i="1"/>
  <c r="K3660" i="1"/>
  <c r="K3675" i="1"/>
  <c r="K3" i="1"/>
  <c r="K18" i="1"/>
  <c r="K33" i="1"/>
  <c r="K48" i="1"/>
  <c r="K63" i="1"/>
  <c r="K78" i="1"/>
  <c r="K93" i="1"/>
  <c r="K108" i="1"/>
  <c r="K123" i="1"/>
  <c r="K138" i="1"/>
  <c r="K153" i="1"/>
  <c r="K168" i="1"/>
  <c r="K183" i="1"/>
  <c r="K198" i="1"/>
  <c r="K213" i="1"/>
  <c r="K228" i="1"/>
  <c r="K243" i="1"/>
  <c r="K258" i="1"/>
  <c r="K273" i="1"/>
  <c r="K288" i="1"/>
  <c r="K303" i="1"/>
  <c r="K318" i="1"/>
  <c r="K333" i="1"/>
  <c r="K348" i="1"/>
  <c r="K363" i="1"/>
  <c r="K378" i="1"/>
  <c r="K393" i="1"/>
  <c r="K408" i="1"/>
  <c r="K423" i="1"/>
  <c r="K438" i="1"/>
  <c r="K453" i="1"/>
  <c r="K468" i="1"/>
  <c r="K483" i="1"/>
  <c r="K498" i="1"/>
  <c r="K513" i="1"/>
  <c r="K528" i="1"/>
  <c r="K543" i="1"/>
  <c r="K558" i="1"/>
  <c r="K573" i="1"/>
  <c r="K588" i="1"/>
  <c r="K603" i="1"/>
  <c r="K618" i="1"/>
  <c r="K633" i="1"/>
  <c r="K648" i="1"/>
  <c r="K663" i="1"/>
  <c r="K678" i="1"/>
  <c r="K693" i="1"/>
  <c r="K708" i="1"/>
  <c r="K723" i="1"/>
  <c r="K738" i="1"/>
  <c r="K753" i="1"/>
  <c r="K768" i="1"/>
  <c r="K783" i="1"/>
  <c r="K798" i="1"/>
  <c r="K813" i="1"/>
  <c r="K828" i="1"/>
  <c r="K843" i="1"/>
  <c r="K858" i="1"/>
  <c r="K873" i="1"/>
  <c r="K888" i="1"/>
  <c r="K903" i="1"/>
  <c r="K918" i="1"/>
  <c r="K933" i="1"/>
  <c r="K948" i="1"/>
  <c r="K963" i="1"/>
  <c r="K978" i="1"/>
  <c r="K993" i="1"/>
  <c r="K1008" i="1"/>
  <c r="K1023" i="1"/>
  <c r="K1038" i="1"/>
  <c r="K1053" i="1"/>
  <c r="K1068" i="1"/>
  <c r="K1083" i="1"/>
  <c r="K1098" i="1"/>
  <c r="K1113" i="1"/>
  <c r="K1128" i="1"/>
  <c r="K1143" i="1"/>
  <c r="K1158" i="1"/>
  <c r="K1173" i="1"/>
  <c r="K1188" i="1"/>
  <c r="K1203" i="1"/>
  <c r="K1218" i="1"/>
  <c r="K1233" i="1"/>
  <c r="K1248" i="1"/>
  <c r="K1263" i="1"/>
  <c r="K1278" i="1"/>
  <c r="K1293" i="1"/>
  <c r="K1308" i="1"/>
  <c r="K1323" i="1"/>
  <c r="K1338" i="1"/>
  <c r="K1353" i="1"/>
  <c r="K1368" i="1"/>
  <c r="K1383" i="1"/>
  <c r="K1398" i="1"/>
  <c r="K1413" i="1"/>
  <c r="K1428" i="1"/>
  <c r="K1443" i="1"/>
  <c r="K1458" i="1"/>
  <c r="K1473" i="1"/>
  <c r="K1488" i="1"/>
  <c r="K1503" i="1"/>
  <c r="K1518" i="1"/>
  <c r="K1533" i="1"/>
  <c r="K1548" i="1"/>
  <c r="K1563" i="1"/>
  <c r="K1578" i="1"/>
  <c r="K1593" i="1"/>
  <c r="K1608" i="1"/>
  <c r="K1623" i="1"/>
  <c r="K1638" i="1"/>
  <c r="K1653" i="1"/>
  <c r="K1668" i="1"/>
  <c r="K1683" i="1"/>
  <c r="K1698" i="1"/>
  <c r="K1713" i="1"/>
  <c r="K1728" i="1"/>
  <c r="K1743" i="1"/>
  <c r="K1758" i="1"/>
  <c r="K1773" i="1"/>
  <c r="K1788" i="1"/>
  <c r="K1803" i="1"/>
  <c r="K1818" i="1"/>
  <c r="K1833" i="1"/>
  <c r="K1848" i="1"/>
  <c r="K1863" i="1"/>
  <c r="K1878" i="1"/>
  <c r="K1893" i="1"/>
  <c r="K1908" i="1"/>
  <c r="K1923" i="1"/>
  <c r="K1938" i="1"/>
  <c r="K1953" i="1"/>
  <c r="K1968" i="1"/>
  <c r="K1983" i="1"/>
  <c r="K1998" i="1"/>
  <c r="K2013" i="1"/>
  <c r="K2028" i="1"/>
  <c r="K2043" i="1"/>
  <c r="K2058" i="1"/>
  <c r="K2073" i="1"/>
  <c r="K2088" i="1"/>
  <c r="K2103" i="1"/>
  <c r="K2118" i="1"/>
  <c r="K2133" i="1"/>
  <c r="K2148" i="1"/>
  <c r="K2163" i="1"/>
  <c r="K2178" i="1"/>
  <c r="K2193" i="1"/>
  <c r="K2208" i="1"/>
  <c r="K2223" i="1"/>
  <c r="K2238" i="1"/>
  <c r="K2253" i="1"/>
  <c r="K2268" i="1"/>
  <c r="K2283" i="1"/>
  <c r="K2298" i="1"/>
  <c r="K2313" i="1"/>
  <c r="K2328" i="1"/>
  <c r="K2343" i="1"/>
  <c r="K2358" i="1"/>
  <c r="K2373" i="1"/>
  <c r="K2388" i="1"/>
  <c r="K2403" i="1"/>
  <c r="K2418" i="1"/>
  <c r="K2433" i="1"/>
  <c r="K2448" i="1"/>
  <c r="K2463" i="1"/>
  <c r="K2478" i="1"/>
  <c r="K2493" i="1"/>
  <c r="K2508" i="1"/>
  <c r="K2523" i="1"/>
  <c r="K2538" i="1"/>
  <c r="K2553" i="1"/>
  <c r="K2568" i="1"/>
  <c r="K2583" i="1"/>
  <c r="K2598" i="1"/>
  <c r="K2613" i="1"/>
  <c r="K2628" i="1"/>
  <c r="K2643" i="1"/>
  <c r="K2658" i="1"/>
  <c r="K2673" i="1"/>
  <c r="K2688" i="1"/>
  <c r="K2703" i="1"/>
  <c r="K2718" i="1"/>
  <c r="K2733" i="1"/>
  <c r="K2748" i="1"/>
  <c r="K2763" i="1"/>
  <c r="K2778" i="1"/>
  <c r="K2793" i="1"/>
  <c r="K2808" i="1"/>
  <c r="K2823" i="1"/>
  <c r="K2838" i="1"/>
  <c r="K2853" i="1"/>
  <c r="K2868" i="1"/>
  <c r="K2883" i="1"/>
  <c r="K2898" i="1"/>
  <c r="K2913" i="1"/>
  <c r="K2928" i="1"/>
  <c r="K2943" i="1"/>
  <c r="K2958" i="1"/>
  <c r="K2973" i="1"/>
  <c r="K2988" i="1"/>
  <c r="K3003" i="1"/>
  <c r="K3018" i="1"/>
  <c r="K3033" i="1"/>
  <c r="K3048" i="1"/>
  <c r="K3063" i="1"/>
  <c r="K3078" i="1"/>
  <c r="K3093" i="1"/>
  <c r="K3108" i="1"/>
  <c r="K3123" i="1"/>
  <c r="K3138" i="1"/>
  <c r="K3153" i="1"/>
  <c r="K3168" i="1"/>
  <c r="K3183" i="1"/>
  <c r="K3198" i="1"/>
  <c r="K3213" i="1"/>
  <c r="K3228" i="1"/>
  <c r="K3243" i="1"/>
  <c r="K3258" i="1"/>
  <c r="K3273" i="1"/>
  <c r="K3288" i="1"/>
  <c r="K3303" i="1"/>
  <c r="K3318" i="1"/>
  <c r="K3333" i="1"/>
  <c r="K3348" i="1"/>
  <c r="K3363" i="1"/>
  <c r="K3378" i="1"/>
  <c r="K3393" i="1"/>
  <c r="K3408" i="1"/>
  <c r="K3423" i="1"/>
  <c r="K3438" i="1"/>
  <c r="K3453" i="1"/>
  <c r="K3468" i="1"/>
  <c r="K3483" i="1"/>
  <c r="K3498" i="1"/>
  <c r="K3513" i="1"/>
  <c r="K3528" i="1"/>
  <c r="K3543" i="1"/>
  <c r="K3558" i="1"/>
  <c r="K3573" i="1"/>
  <c r="K3588" i="1"/>
  <c r="K3603" i="1"/>
  <c r="K3618" i="1"/>
  <c r="K3631" i="1"/>
  <c r="K3646" i="1"/>
  <c r="K3661" i="1"/>
  <c r="K3676" i="1"/>
  <c r="K4" i="1"/>
  <c r="K19" i="1"/>
  <c r="K34" i="1"/>
  <c r="K49" i="1"/>
  <c r="K64" i="1"/>
  <c r="K79" i="1"/>
  <c r="K94" i="1"/>
  <c r="K109" i="1"/>
  <c r="K124" i="1"/>
  <c r="K139" i="1"/>
  <c r="K154" i="1"/>
  <c r="K169" i="1"/>
  <c r="K184" i="1"/>
  <c r="K199" i="1"/>
  <c r="K214" i="1"/>
  <c r="K229" i="1"/>
  <c r="K244" i="1"/>
  <c r="K259" i="1"/>
  <c r="K274" i="1"/>
  <c r="K289" i="1"/>
  <c r="K304" i="1"/>
  <c r="K319" i="1"/>
  <c r="K334" i="1"/>
  <c r="K349" i="1"/>
  <c r="K364" i="1"/>
  <c r="K379" i="1"/>
  <c r="K394" i="1"/>
  <c r="K409" i="1"/>
  <c r="K424" i="1"/>
  <c r="K439" i="1"/>
  <c r="K454" i="1"/>
  <c r="K469" i="1"/>
  <c r="K484" i="1"/>
  <c r="K499" i="1"/>
  <c r="K514" i="1"/>
  <c r="K529" i="1"/>
  <c r="K544" i="1"/>
  <c r="K559" i="1"/>
  <c r="K574" i="1"/>
  <c r="K589" i="1"/>
  <c r="K604" i="1"/>
  <c r="K619" i="1"/>
  <c r="K634" i="1"/>
  <c r="K649" i="1"/>
  <c r="K664" i="1"/>
  <c r="K679" i="1"/>
  <c r="K694" i="1"/>
  <c r="K709" i="1"/>
  <c r="K724" i="1"/>
  <c r="K739" i="1"/>
  <c r="K754" i="1"/>
  <c r="K769" i="1"/>
  <c r="K784" i="1"/>
  <c r="K799" i="1"/>
  <c r="K814" i="1"/>
  <c r="K829" i="1"/>
  <c r="K844" i="1"/>
  <c r="K859" i="1"/>
  <c r="K874" i="1"/>
  <c r="K889" i="1"/>
  <c r="K904" i="1"/>
  <c r="K919" i="1"/>
  <c r="K934" i="1"/>
  <c r="K949" i="1"/>
  <c r="K964" i="1"/>
  <c r="K979" i="1"/>
  <c r="K994" i="1"/>
  <c r="K1009" i="1"/>
  <c r="K1024" i="1"/>
  <c r="K1039" i="1"/>
  <c r="K1054" i="1"/>
  <c r="K1069" i="1"/>
  <c r="K1084" i="1"/>
  <c r="K1099" i="1"/>
  <c r="K1114" i="1"/>
  <c r="K1129" i="1"/>
  <c r="K1144" i="1"/>
  <c r="K1159" i="1"/>
  <c r="K1174" i="1"/>
  <c r="K1189" i="1"/>
  <c r="K1204" i="1"/>
  <c r="K1219" i="1"/>
  <c r="K1234" i="1"/>
  <c r="K1249" i="1"/>
  <c r="K1264" i="1"/>
  <c r="K1279" i="1"/>
  <c r="K1294" i="1"/>
  <c r="K1309" i="1"/>
  <c r="K1324" i="1"/>
  <c r="K1339" i="1"/>
  <c r="K1354" i="1"/>
  <c r="K1369" i="1"/>
  <c r="K1384" i="1"/>
  <c r="K1399" i="1"/>
  <c r="K1414" i="1"/>
  <c r="K1429" i="1"/>
  <c r="K1444" i="1"/>
  <c r="K1459" i="1"/>
  <c r="K1474" i="1"/>
  <c r="K1489" i="1"/>
  <c r="K1504" i="1"/>
  <c r="K1519" i="1"/>
  <c r="K1534" i="1"/>
  <c r="K1549" i="1"/>
  <c r="K1564" i="1"/>
  <c r="K1579" i="1"/>
  <c r="K1594" i="1"/>
  <c r="K1609" i="1"/>
  <c r="K1624" i="1"/>
  <c r="K1639" i="1"/>
  <c r="K1654" i="1"/>
  <c r="K1669" i="1"/>
  <c r="K1684" i="1"/>
  <c r="K1699" i="1"/>
  <c r="K1714" i="1"/>
  <c r="K1729" i="1"/>
  <c r="K1744" i="1"/>
  <c r="K1759" i="1"/>
  <c r="K1774" i="1"/>
  <c r="K1789" i="1"/>
  <c r="K1804" i="1"/>
  <c r="K1819" i="1"/>
  <c r="K1834" i="1"/>
  <c r="K1849" i="1"/>
  <c r="K1864" i="1"/>
  <c r="K1879" i="1"/>
  <c r="K1894" i="1"/>
  <c r="K1909" i="1"/>
  <c r="K1924" i="1"/>
  <c r="K1939" i="1"/>
  <c r="K1954" i="1"/>
  <c r="K1969" i="1"/>
  <c r="K1984" i="1"/>
  <c r="K1999" i="1"/>
  <c r="K2014" i="1"/>
  <c r="K2029" i="1"/>
  <c r="K2044" i="1"/>
  <c r="K2059" i="1"/>
  <c r="K2074" i="1"/>
  <c r="K2089" i="1"/>
  <c r="K2104" i="1"/>
  <c r="K2119" i="1"/>
  <c r="K2134" i="1"/>
  <c r="K2149" i="1"/>
  <c r="K2164" i="1"/>
  <c r="K2179" i="1"/>
  <c r="K2194" i="1"/>
  <c r="K2209" i="1"/>
  <c r="K2224" i="1"/>
  <c r="K2239" i="1"/>
  <c r="K2254" i="1"/>
  <c r="K2269" i="1"/>
  <c r="K2284" i="1"/>
  <c r="K2299" i="1"/>
  <c r="K2314" i="1"/>
  <c r="K2329" i="1"/>
  <c r="K2344" i="1"/>
  <c r="K2359" i="1"/>
  <c r="K2374" i="1"/>
  <c r="K2389" i="1"/>
  <c r="K2404" i="1"/>
  <c r="K2419" i="1"/>
  <c r="K2434" i="1"/>
  <c r="K2449" i="1"/>
  <c r="K2464" i="1"/>
  <c r="K2479" i="1"/>
  <c r="K2494" i="1"/>
  <c r="K2509" i="1"/>
  <c r="K2524" i="1"/>
  <c r="K2539" i="1"/>
  <c r="K2554" i="1"/>
  <c r="K2569" i="1"/>
  <c r="K2584" i="1"/>
  <c r="K2599" i="1"/>
  <c r="K2614" i="1"/>
  <c r="K2629" i="1"/>
  <c r="K2644" i="1"/>
  <c r="K2659" i="1"/>
  <c r="K2674" i="1"/>
  <c r="K2689" i="1"/>
  <c r="K2704" i="1"/>
  <c r="K2719" i="1"/>
  <c r="K2734" i="1"/>
  <c r="K2749" i="1"/>
  <c r="K2764" i="1"/>
  <c r="K2779" i="1"/>
  <c r="K2794" i="1"/>
  <c r="K2809" i="1"/>
  <c r="K2824" i="1"/>
  <c r="K2839" i="1"/>
  <c r="K2854" i="1"/>
  <c r="K2869" i="1"/>
  <c r="K2884" i="1"/>
  <c r="K2899" i="1"/>
  <c r="K2914" i="1"/>
  <c r="K2929" i="1"/>
  <c r="K2944" i="1"/>
  <c r="K2959" i="1"/>
  <c r="K2974" i="1"/>
  <c r="K2989" i="1"/>
  <c r="K3004" i="1"/>
  <c r="K3019" i="1"/>
  <c r="K3034" i="1"/>
  <c r="K3049" i="1"/>
  <c r="K3064" i="1"/>
  <c r="K3079" i="1"/>
  <c r="K3094" i="1"/>
  <c r="K3109" i="1"/>
  <c r="K3124" i="1"/>
  <c r="K3139" i="1"/>
  <c r="K3154" i="1"/>
  <c r="K3169" i="1"/>
  <c r="K3184" i="1"/>
  <c r="K3199" i="1"/>
  <c r="K3214" i="1"/>
  <c r="K3229" i="1"/>
  <c r="K3244" i="1"/>
  <c r="K3259" i="1"/>
  <c r="K3274" i="1"/>
  <c r="K3289" i="1"/>
  <c r="K3304" i="1"/>
  <c r="K3319" i="1"/>
  <c r="K3334" i="1"/>
  <c r="K3349" i="1"/>
  <c r="K3364" i="1"/>
  <c r="K3379" i="1"/>
  <c r="K3394" i="1"/>
  <c r="K3409" i="1"/>
  <c r="K3424" i="1"/>
  <c r="K3439" i="1"/>
  <c r="K3454" i="1"/>
  <c r="K3469" i="1"/>
  <c r="K3484" i="1"/>
  <c r="K3499" i="1"/>
  <c r="K3514" i="1"/>
  <c r="K3529" i="1"/>
  <c r="K3544" i="1"/>
  <c r="K3559" i="1"/>
  <c r="K3574" i="1"/>
  <c r="K3589" i="1"/>
  <c r="K3604" i="1"/>
  <c r="K3619" i="1"/>
  <c r="K3632" i="1"/>
  <c r="K3647" i="1"/>
  <c r="K3662" i="1"/>
  <c r="K3677" i="1"/>
  <c r="K5" i="1"/>
  <c r="K20" i="1"/>
  <c r="K35" i="1"/>
  <c r="K50" i="1"/>
  <c r="K65" i="1"/>
  <c r="K80" i="1"/>
  <c r="K95" i="1"/>
  <c r="K110" i="1"/>
  <c r="K125" i="1"/>
  <c r="K140" i="1"/>
  <c r="K155" i="1"/>
  <c r="K170" i="1"/>
  <c r="K185" i="1"/>
  <c r="K200" i="1"/>
  <c r="K215" i="1"/>
  <c r="K230" i="1"/>
  <c r="K245" i="1"/>
  <c r="K260" i="1"/>
  <c r="K275" i="1"/>
  <c r="K290" i="1"/>
  <c r="K305" i="1"/>
  <c r="K320" i="1"/>
  <c r="K335" i="1"/>
  <c r="K350" i="1"/>
  <c r="K365" i="1"/>
  <c r="K380" i="1"/>
  <c r="K395" i="1"/>
  <c r="K410" i="1"/>
  <c r="K425" i="1"/>
  <c r="K440" i="1"/>
  <c r="K455" i="1"/>
  <c r="K470" i="1"/>
  <c r="K485" i="1"/>
  <c r="K500" i="1"/>
  <c r="K515" i="1"/>
  <c r="K530" i="1"/>
  <c r="K545" i="1"/>
  <c r="K560" i="1"/>
  <c r="K575" i="1"/>
  <c r="K590" i="1"/>
  <c r="K605" i="1"/>
  <c r="K620" i="1"/>
  <c r="K635" i="1"/>
  <c r="K650" i="1"/>
  <c r="K665" i="1"/>
  <c r="K680" i="1"/>
  <c r="K695" i="1"/>
  <c r="K710" i="1"/>
  <c r="K725" i="1"/>
  <c r="K740" i="1"/>
  <c r="K755" i="1"/>
  <c r="K770" i="1"/>
  <c r="K785" i="1"/>
  <c r="K800" i="1"/>
  <c r="K815" i="1"/>
  <c r="K830" i="1"/>
  <c r="K845" i="1"/>
  <c r="K860" i="1"/>
  <c r="K875" i="1"/>
  <c r="K890" i="1"/>
  <c r="K905" i="1"/>
  <c r="K920" i="1"/>
  <c r="K935" i="1"/>
  <c r="K950" i="1"/>
  <c r="K965" i="1"/>
  <c r="K980" i="1"/>
  <c r="K995" i="1"/>
  <c r="K1010" i="1"/>
  <c r="K1025" i="1"/>
  <c r="K1040" i="1"/>
  <c r="K1055" i="1"/>
  <c r="K1070" i="1"/>
  <c r="K1085" i="1"/>
  <c r="K1100" i="1"/>
  <c r="K1115" i="1"/>
  <c r="K1130" i="1"/>
  <c r="K1145" i="1"/>
  <c r="K1160" i="1"/>
  <c r="K1175" i="1"/>
  <c r="K1190" i="1"/>
  <c r="K1205" i="1"/>
  <c r="K1220" i="1"/>
  <c r="K1235" i="1"/>
  <c r="K1250" i="1"/>
  <c r="K1265" i="1"/>
  <c r="K1280" i="1"/>
  <c r="K1295" i="1"/>
  <c r="K1310" i="1"/>
  <c r="K1325" i="1"/>
  <c r="K1340" i="1"/>
  <c r="K1355" i="1"/>
  <c r="K1370" i="1"/>
  <c r="K1385" i="1"/>
  <c r="K1400" i="1"/>
  <c r="K1415" i="1"/>
  <c r="K1430" i="1"/>
  <c r="K1445" i="1"/>
  <c r="K1460" i="1"/>
  <c r="K1475" i="1"/>
  <c r="K1490" i="1"/>
  <c r="K1505" i="1"/>
  <c r="K1520" i="1"/>
  <c r="K1535" i="1"/>
  <c r="K1550" i="1"/>
  <c r="K1565" i="1"/>
  <c r="K1580" i="1"/>
  <c r="K1595" i="1"/>
  <c r="K1610" i="1"/>
  <c r="K1625" i="1"/>
  <c r="K1640" i="1"/>
  <c r="K1655" i="1"/>
  <c r="K1670" i="1"/>
  <c r="K1685" i="1"/>
  <c r="K1700" i="1"/>
  <c r="K1715" i="1"/>
  <c r="K1730" i="1"/>
  <c r="K1745" i="1"/>
  <c r="K1760" i="1"/>
  <c r="K1775" i="1"/>
  <c r="K1790" i="1"/>
  <c r="K1805" i="1"/>
  <c r="K1820" i="1"/>
  <c r="K1835" i="1"/>
  <c r="K1850" i="1"/>
  <c r="K1865" i="1"/>
  <c r="K1880" i="1"/>
  <c r="K1895" i="1"/>
  <c r="K1910" i="1"/>
  <c r="K1925" i="1"/>
  <c r="K1940" i="1"/>
  <c r="K1955" i="1"/>
  <c r="K1970" i="1"/>
  <c r="K1985" i="1"/>
  <c r="K2000" i="1"/>
  <c r="K2015" i="1"/>
  <c r="K2030" i="1"/>
  <c r="K2045" i="1"/>
  <c r="K2060" i="1"/>
  <c r="K2075" i="1"/>
  <c r="K2090" i="1"/>
  <c r="K2105" i="1"/>
  <c r="K2120" i="1"/>
  <c r="K2135" i="1"/>
  <c r="K2150" i="1"/>
  <c r="K2165" i="1"/>
  <c r="K2180" i="1"/>
  <c r="K2195" i="1"/>
  <c r="K2210" i="1"/>
  <c r="K2225" i="1"/>
  <c r="K2240" i="1"/>
  <c r="K2255" i="1"/>
  <c r="K2270" i="1"/>
  <c r="K2285" i="1"/>
  <c r="K2300" i="1"/>
  <c r="K2315" i="1"/>
  <c r="K2330" i="1"/>
  <c r="K2345" i="1"/>
  <c r="K2360" i="1"/>
  <c r="K2375" i="1"/>
  <c r="K2390" i="1"/>
  <c r="K2405" i="1"/>
  <c r="K2420" i="1"/>
  <c r="K2435" i="1"/>
  <c r="K2450" i="1"/>
  <c r="K2465" i="1"/>
  <c r="K2480" i="1"/>
  <c r="K2495" i="1"/>
  <c r="K2510" i="1"/>
  <c r="K2525" i="1"/>
  <c r="K2540" i="1"/>
  <c r="K2555" i="1"/>
  <c r="K2570" i="1"/>
  <c r="K2585" i="1"/>
  <c r="K2600" i="1"/>
  <c r="K2615" i="1"/>
  <c r="K2630" i="1"/>
  <c r="K2645" i="1"/>
  <c r="K2660" i="1"/>
  <c r="K2675" i="1"/>
  <c r="K2690" i="1"/>
  <c r="K2705" i="1"/>
  <c r="K2720" i="1"/>
  <c r="K2735" i="1"/>
  <c r="K2750" i="1"/>
  <c r="K2765" i="1"/>
  <c r="K2780" i="1"/>
  <c r="K2795" i="1"/>
  <c r="K2810" i="1"/>
  <c r="K2825" i="1"/>
  <c r="K2840" i="1"/>
  <c r="K2855" i="1"/>
  <c r="K2870" i="1"/>
  <c r="K2885" i="1"/>
  <c r="K2900" i="1"/>
  <c r="K2915" i="1"/>
  <c r="K2930" i="1"/>
  <c r="K2945" i="1"/>
  <c r="K2960" i="1"/>
  <c r="K2975" i="1"/>
  <c r="K2990" i="1"/>
  <c r="K3005" i="1"/>
  <c r="K3020" i="1"/>
  <c r="K3035" i="1"/>
  <c r="K3050" i="1"/>
  <c r="K3065" i="1"/>
  <c r="K3080" i="1"/>
  <c r="K3095" i="1"/>
  <c r="K3110" i="1"/>
  <c r="K3125" i="1"/>
  <c r="K3140" i="1"/>
  <c r="K3155" i="1"/>
  <c r="K3170" i="1"/>
  <c r="K3185" i="1"/>
  <c r="K3200" i="1"/>
  <c r="K3215" i="1"/>
  <c r="K3230" i="1"/>
  <c r="K3245" i="1"/>
  <c r="K3260" i="1"/>
  <c r="K3275" i="1"/>
  <c r="K3290" i="1"/>
  <c r="K3305" i="1"/>
  <c r="K3320" i="1"/>
  <c r="K3335" i="1"/>
  <c r="K3350" i="1"/>
  <c r="K3365" i="1"/>
  <c r="K3380" i="1"/>
  <c r="K3395" i="1"/>
  <c r="K3410" i="1"/>
  <c r="K3425" i="1"/>
  <c r="K3440" i="1"/>
  <c r="K3455" i="1"/>
  <c r="K3470" i="1"/>
  <c r="K3485" i="1"/>
  <c r="K3500" i="1"/>
  <c r="K3515" i="1"/>
  <c r="K3530" i="1"/>
  <c r="K3545" i="1"/>
  <c r="K3560" i="1"/>
  <c r="K3575" i="1"/>
  <c r="K3590" i="1"/>
  <c r="K3605" i="1"/>
  <c r="K3620" i="1"/>
  <c r="K3633" i="1"/>
  <c r="K3648" i="1"/>
  <c r="K3663" i="1"/>
  <c r="K3678" i="1"/>
  <c r="K6" i="1"/>
  <c r="K21" i="1"/>
  <c r="K36" i="1"/>
  <c r="K51" i="1"/>
  <c r="K66" i="1"/>
  <c r="K81" i="1"/>
  <c r="K96" i="1"/>
  <c r="K111" i="1"/>
  <c r="K126" i="1"/>
  <c r="K141" i="1"/>
  <c r="K156" i="1"/>
  <c r="K171" i="1"/>
  <c r="K186" i="1"/>
  <c r="K201" i="1"/>
  <c r="K216" i="1"/>
  <c r="K231" i="1"/>
  <c r="K246" i="1"/>
  <c r="K261" i="1"/>
  <c r="K276" i="1"/>
  <c r="K291" i="1"/>
  <c r="K306" i="1"/>
  <c r="K321" i="1"/>
  <c r="K336" i="1"/>
  <c r="K351" i="1"/>
  <c r="K366" i="1"/>
  <c r="K381" i="1"/>
  <c r="K396" i="1"/>
  <c r="K411" i="1"/>
  <c r="K426" i="1"/>
  <c r="K441" i="1"/>
  <c r="K456" i="1"/>
  <c r="K471" i="1"/>
  <c r="K486" i="1"/>
  <c r="K501" i="1"/>
  <c r="K516" i="1"/>
  <c r="K531" i="1"/>
  <c r="K546" i="1"/>
  <c r="K561" i="1"/>
  <c r="K576" i="1"/>
  <c r="K591" i="1"/>
  <c r="K606" i="1"/>
  <c r="K621" i="1"/>
  <c r="K636" i="1"/>
  <c r="K651" i="1"/>
  <c r="K666" i="1"/>
  <c r="K681" i="1"/>
  <c r="K696" i="1"/>
  <c r="K711" i="1"/>
  <c r="K726" i="1"/>
  <c r="K741" i="1"/>
  <c r="K756" i="1"/>
  <c r="K771" i="1"/>
  <c r="K786" i="1"/>
  <c r="K801" i="1"/>
  <c r="K816" i="1"/>
  <c r="K831" i="1"/>
  <c r="K846" i="1"/>
  <c r="K861" i="1"/>
  <c r="K876" i="1"/>
  <c r="K891" i="1"/>
  <c r="K906" i="1"/>
  <c r="K921" i="1"/>
  <c r="K936" i="1"/>
  <c r="K951" i="1"/>
  <c r="K966" i="1"/>
  <c r="K981" i="1"/>
  <c r="K996" i="1"/>
  <c r="K1011" i="1"/>
  <c r="K1026" i="1"/>
  <c r="K1041" i="1"/>
  <c r="K1056" i="1"/>
  <c r="K1071" i="1"/>
  <c r="K1086" i="1"/>
  <c r="K1101" i="1"/>
  <c r="K1116" i="1"/>
  <c r="K1131" i="1"/>
  <c r="K1146" i="1"/>
  <c r="K1161" i="1"/>
  <c r="K1176" i="1"/>
  <c r="K1191" i="1"/>
  <c r="K1206" i="1"/>
  <c r="K1221" i="1"/>
  <c r="K1236" i="1"/>
  <c r="K1251" i="1"/>
  <c r="K1266" i="1"/>
  <c r="K1281" i="1"/>
  <c r="K1296" i="1"/>
  <c r="K1311" i="1"/>
  <c r="K1326" i="1"/>
  <c r="K1341" i="1"/>
  <c r="K1356" i="1"/>
  <c r="K1371" i="1"/>
  <c r="K1386" i="1"/>
  <c r="K1401" i="1"/>
  <c r="K1416" i="1"/>
  <c r="K1431" i="1"/>
  <c r="K1446" i="1"/>
  <c r="K1461" i="1"/>
  <c r="K1476" i="1"/>
  <c r="K1491" i="1"/>
  <c r="K1506" i="1"/>
  <c r="K1521" i="1"/>
  <c r="K1536" i="1"/>
  <c r="K1551" i="1"/>
  <c r="K1566" i="1"/>
  <c r="K1581" i="1"/>
  <c r="K1596" i="1"/>
  <c r="K1611" i="1"/>
  <c r="K1626" i="1"/>
  <c r="K1641" i="1"/>
  <c r="K1656" i="1"/>
  <c r="K1671" i="1"/>
  <c r="K1686" i="1"/>
  <c r="K1701" i="1"/>
  <c r="K1716" i="1"/>
  <c r="K1731" i="1"/>
  <c r="K1746" i="1"/>
  <c r="K1761" i="1"/>
  <c r="K1776" i="1"/>
  <c r="K1791" i="1"/>
  <c r="K1806" i="1"/>
  <c r="K1821" i="1"/>
  <c r="K1836" i="1"/>
  <c r="K1851" i="1"/>
  <c r="K1866" i="1"/>
  <c r="K1881" i="1"/>
  <c r="K1896" i="1"/>
  <c r="K1911" i="1"/>
  <c r="K1926" i="1"/>
  <c r="K1941" i="1"/>
  <c r="K1956" i="1"/>
  <c r="K1971" i="1"/>
  <c r="K1986" i="1"/>
  <c r="K2001" i="1"/>
  <c r="K2016" i="1"/>
  <c r="K2031" i="1"/>
  <c r="K2046" i="1"/>
  <c r="K2061" i="1"/>
  <c r="K2076" i="1"/>
  <c r="K2091" i="1"/>
  <c r="K2106" i="1"/>
  <c r="K2121" i="1"/>
  <c r="K2136" i="1"/>
  <c r="K2151" i="1"/>
  <c r="K2166" i="1"/>
  <c r="K2181" i="1"/>
  <c r="K2196" i="1"/>
  <c r="K2211" i="1"/>
  <c r="K2226" i="1"/>
  <c r="K2241" i="1"/>
  <c r="K2256" i="1"/>
  <c r="K2271" i="1"/>
  <c r="K2286" i="1"/>
  <c r="K2301" i="1"/>
  <c r="K2316" i="1"/>
  <c r="K2331" i="1"/>
  <c r="K2346" i="1"/>
  <c r="K2361" i="1"/>
  <c r="K2376" i="1"/>
  <c r="K2391" i="1"/>
  <c r="K2406" i="1"/>
  <c r="K2421" i="1"/>
  <c r="K2436" i="1"/>
  <c r="K2451" i="1"/>
  <c r="K2466" i="1"/>
  <c r="K2481" i="1"/>
  <c r="K2496" i="1"/>
  <c r="K2511" i="1"/>
  <c r="K2526" i="1"/>
  <c r="K2541" i="1"/>
  <c r="K2556" i="1"/>
  <c r="K2571" i="1"/>
  <c r="K2586" i="1"/>
  <c r="K2601" i="1"/>
  <c r="K2616" i="1"/>
  <c r="K2631" i="1"/>
  <c r="K2646" i="1"/>
  <c r="K2661" i="1"/>
  <c r="K2676" i="1"/>
  <c r="K2691" i="1"/>
  <c r="K2706" i="1"/>
  <c r="K2721" i="1"/>
  <c r="K2736" i="1"/>
  <c r="K2751" i="1"/>
  <c r="K2766" i="1"/>
  <c r="K2781" i="1"/>
  <c r="K2796" i="1"/>
  <c r="K2811" i="1"/>
  <c r="K2826" i="1"/>
  <c r="K2841" i="1"/>
  <c r="K2856" i="1"/>
  <c r="K2871" i="1"/>
  <c r="K2886" i="1"/>
  <c r="K2901" i="1"/>
  <c r="K2916" i="1"/>
  <c r="K2931" i="1"/>
  <c r="K2946" i="1"/>
  <c r="K2961" i="1"/>
  <c r="K2976" i="1"/>
  <c r="K2991" i="1"/>
  <c r="K3006" i="1"/>
  <c r="K3021" i="1"/>
  <c r="K3036" i="1"/>
  <c r="K3051" i="1"/>
  <c r="K3066" i="1"/>
  <c r="K3081" i="1"/>
  <c r="K3096" i="1"/>
  <c r="K3111" i="1"/>
  <c r="K3126" i="1"/>
  <c r="K3141" i="1"/>
  <c r="K3156" i="1"/>
  <c r="K3171" i="1"/>
  <c r="K3186" i="1"/>
  <c r="K3201" i="1"/>
  <c r="K3216" i="1"/>
  <c r="K3231" i="1"/>
  <c r="K3246" i="1"/>
  <c r="K3261" i="1"/>
  <c r="K3276" i="1"/>
  <c r="K3291" i="1"/>
  <c r="K3306" i="1"/>
  <c r="K3321" i="1"/>
  <c r="K3336" i="1"/>
  <c r="K3351" i="1"/>
  <c r="K3366" i="1"/>
  <c r="K3381" i="1"/>
  <c r="K3396" i="1"/>
  <c r="K3411" i="1"/>
  <c r="K3426" i="1"/>
  <c r="K3441" i="1"/>
  <c r="K3456" i="1"/>
  <c r="K3471" i="1"/>
  <c r="K3486" i="1"/>
  <c r="K3501" i="1"/>
  <c r="K3516" i="1"/>
  <c r="K3531" i="1"/>
  <c r="K3546" i="1"/>
  <c r="K3561" i="1"/>
  <c r="K3576" i="1"/>
  <c r="K3591" i="1"/>
  <c r="K3606" i="1"/>
  <c r="K3621" i="1"/>
  <c r="K3634" i="1"/>
  <c r="K3649" i="1"/>
  <c r="K3664" i="1"/>
  <c r="K3679" i="1"/>
  <c r="K7" i="1"/>
  <c r="K22" i="1"/>
  <c r="K37" i="1"/>
  <c r="K52" i="1"/>
  <c r="K67" i="1"/>
  <c r="K82" i="1"/>
  <c r="K97" i="1"/>
  <c r="K112" i="1"/>
  <c r="K127" i="1"/>
  <c r="K142" i="1"/>
  <c r="K157" i="1"/>
  <c r="K172" i="1"/>
  <c r="K187" i="1"/>
  <c r="K202" i="1"/>
  <c r="K217" i="1"/>
  <c r="K232" i="1"/>
  <c r="K247" i="1"/>
  <c r="K262" i="1"/>
  <c r="K277" i="1"/>
  <c r="K292" i="1"/>
  <c r="K307" i="1"/>
  <c r="K322" i="1"/>
  <c r="K337" i="1"/>
  <c r="K352" i="1"/>
  <c r="K367" i="1"/>
  <c r="K382" i="1"/>
  <c r="K397" i="1"/>
  <c r="K412" i="1"/>
  <c r="K427" i="1"/>
  <c r="K442" i="1"/>
  <c r="K457" i="1"/>
  <c r="K472" i="1"/>
  <c r="K487" i="1"/>
  <c r="K502" i="1"/>
  <c r="K517" i="1"/>
  <c r="K532" i="1"/>
  <c r="K547" i="1"/>
  <c r="K562" i="1"/>
  <c r="K577" i="1"/>
  <c r="K592" i="1"/>
  <c r="K607" i="1"/>
  <c r="K622" i="1"/>
  <c r="K637" i="1"/>
  <c r="K652" i="1"/>
  <c r="K667" i="1"/>
  <c r="K682" i="1"/>
  <c r="K697" i="1"/>
  <c r="K712" i="1"/>
  <c r="K727" i="1"/>
  <c r="K742" i="1"/>
  <c r="K757" i="1"/>
  <c r="K772" i="1"/>
  <c r="K787" i="1"/>
  <c r="K802" i="1"/>
  <c r="K817" i="1"/>
  <c r="K832" i="1"/>
  <c r="K847" i="1"/>
  <c r="K862" i="1"/>
  <c r="K877" i="1"/>
  <c r="K892" i="1"/>
  <c r="K907" i="1"/>
  <c r="K922" i="1"/>
  <c r="K937" i="1"/>
  <c r="K952" i="1"/>
  <c r="K967" i="1"/>
  <c r="K982" i="1"/>
  <c r="K997" i="1"/>
  <c r="K1012" i="1"/>
  <c r="K1027" i="1"/>
  <c r="K1042" i="1"/>
  <c r="K1057" i="1"/>
  <c r="K1072" i="1"/>
  <c r="K1087" i="1"/>
  <c r="K1102" i="1"/>
  <c r="K1117" i="1"/>
  <c r="K1132" i="1"/>
  <c r="K1147" i="1"/>
  <c r="K1162" i="1"/>
  <c r="K1177" i="1"/>
  <c r="K1192" i="1"/>
  <c r="K1207" i="1"/>
  <c r="K1222" i="1"/>
  <c r="K1237" i="1"/>
  <c r="K1252" i="1"/>
  <c r="K1267" i="1"/>
  <c r="K1282" i="1"/>
  <c r="K1297" i="1"/>
  <c r="K1312" i="1"/>
  <c r="K1327" i="1"/>
  <c r="K1342" i="1"/>
  <c r="K1357" i="1"/>
  <c r="K1372" i="1"/>
  <c r="K1387" i="1"/>
  <c r="K1402" i="1"/>
  <c r="K1417" i="1"/>
  <c r="K1432" i="1"/>
  <c r="K1447" i="1"/>
  <c r="K1462" i="1"/>
  <c r="K1477" i="1"/>
  <c r="K1492" i="1"/>
  <c r="K1507" i="1"/>
  <c r="K1522" i="1"/>
  <c r="K1537" i="1"/>
  <c r="K1552" i="1"/>
  <c r="K1567" i="1"/>
  <c r="K1582" i="1"/>
  <c r="K1597" i="1"/>
  <c r="K1612" i="1"/>
  <c r="K1627" i="1"/>
  <c r="K1642" i="1"/>
  <c r="K1657" i="1"/>
  <c r="K1672" i="1"/>
  <c r="K1687" i="1"/>
  <c r="K1702" i="1"/>
  <c r="K1717" i="1"/>
  <c r="K1732" i="1"/>
  <c r="K1747" i="1"/>
  <c r="K1762" i="1"/>
  <c r="K1777" i="1"/>
  <c r="K1792" i="1"/>
  <c r="K1807" i="1"/>
  <c r="K1822" i="1"/>
  <c r="K1837" i="1"/>
  <c r="K1852" i="1"/>
  <c r="K1867" i="1"/>
  <c r="K1882" i="1"/>
  <c r="K1897" i="1"/>
  <c r="K1912" i="1"/>
  <c r="K1927" i="1"/>
  <c r="K1942" i="1"/>
  <c r="K1957" i="1"/>
  <c r="K1972" i="1"/>
  <c r="K1987" i="1"/>
  <c r="K2002" i="1"/>
  <c r="K2017" i="1"/>
  <c r="K2032" i="1"/>
  <c r="K2047" i="1"/>
  <c r="K2062" i="1"/>
  <c r="K2077" i="1"/>
  <c r="K2092" i="1"/>
  <c r="K2107" i="1"/>
  <c r="K2122" i="1"/>
  <c r="K2137" i="1"/>
  <c r="K2152" i="1"/>
  <c r="K2167" i="1"/>
  <c r="K2182" i="1"/>
  <c r="K2197" i="1"/>
  <c r="K2212" i="1"/>
  <c r="K2227" i="1"/>
  <c r="K2242" i="1"/>
  <c r="K2257" i="1"/>
  <c r="K2272" i="1"/>
  <c r="K2287" i="1"/>
  <c r="K2302" i="1"/>
  <c r="K2317" i="1"/>
  <c r="K2332" i="1"/>
  <c r="K2347" i="1"/>
  <c r="K2362" i="1"/>
  <c r="K2377" i="1"/>
  <c r="K2392" i="1"/>
  <c r="K2407" i="1"/>
  <c r="K2422" i="1"/>
  <c r="K2437" i="1"/>
  <c r="K2452" i="1"/>
  <c r="K2467" i="1"/>
  <c r="K2482" i="1"/>
  <c r="K2497" i="1"/>
  <c r="K2512" i="1"/>
  <c r="K2527" i="1"/>
  <c r="K2542" i="1"/>
  <c r="K2557" i="1"/>
  <c r="K2572" i="1"/>
  <c r="K2587" i="1"/>
  <c r="K2602" i="1"/>
  <c r="K2617" i="1"/>
  <c r="K2632" i="1"/>
  <c r="K2647" i="1"/>
  <c r="K2662" i="1"/>
  <c r="K2677" i="1"/>
  <c r="K2692" i="1"/>
  <c r="K2707" i="1"/>
  <c r="K2722" i="1"/>
  <c r="K2737" i="1"/>
  <c r="K2752" i="1"/>
  <c r="K2767" i="1"/>
  <c r="K2782" i="1"/>
  <c r="K2797" i="1"/>
  <c r="K2812" i="1"/>
  <c r="K2827" i="1"/>
  <c r="K2842" i="1"/>
  <c r="K2857" i="1"/>
  <c r="K2872" i="1"/>
  <c r="K2887" i="1"/>
  <c r="K2902" i="1"/>
  <c r="K2917" i="1"/>
  <c r="K2932" i="1"/>
  <c r="K2947" i="1"/>
  <c r="K2962" i="1"/>
  <c r="K2977" i="1"/>
  <c r="K2992" i="1"/>
  <c r="K3007" i="1"/>
  <c r="K3022" i="1"/>
  <c r="K3037" i="1"/>
  <c r="K3052" i="1"/>
  <c r="K3067" i="1"/>
  <c r="K3082" i="1"/>
  <c r="K3097" i="1"/>
  <c r="K3112" i="1"/>
  <c r="K3127" i="1"/>
  <c r="K3142" i="1"/>
  <c r="K3157" i="1"/>
  <c r="K3172" i="1"/>
  <c r="K3187" i="1"/>
  <c r="K3202" i="1"/>
  <c r="K3217" i="1"/>
  <c r="K3232" i="1"/>
  <c r="K3247" i="1"/>
  <c r="K3262" i="1"/>
  <c r="K3277" i="1"/>
  <c r="K3292" i="1"/>
  <c r="K3307" i="1"/>
  <c r="K3322" i="1"/>
  <c r="K3337" i="1"/>
  <c r="K3352" i="1"/>
  <c r="K3367" i="1"/>
  <c r="K3382" i="1"/>
  <c r="K3397" i="1"/>
  <c r="K3412" i="1"/>
  <c r="K3427" i="1"/>
  <c r="K3442" i="1"/>
  <c r="K3457" i="1"/>
  <c r="K3472" i="1"/>
  <c r="K3487" i="1"/>
  <c r="K3502" i="1"/>
  <c r="K3517" i="1"/>
  <c r="K3532" i="1"/>
  <c r="K3547" i="1"/>
  <c r="K3562" i="1"/>
  <c r="K3577" i="1"/>
  <c r="K3592" i="1"/>
  <c r="K3607" i="1"/>
  <c r="K3622" i="1"/>
  <c r="K3635" i="1"/>
  <c r="K3650" i="1"/>
  <c r="K3665" i="1"/>
  <c r="K3680" i="1"/>
  <c r="K8" i="1"/>
  <c r="K23" i="1"/>
  <c r="K38" i="1"/>
  <c r="K53" i="1"/>
  <c r="K68" i="1"/>
  <c r="K83" i="1"/>
  <c r="K98" i="1"/>
  <c r="K113" i="1"/>
  <c r="K128" i="1"/>
  <c r="K143" i="1"/>
  <c r="K158" i="1"/>
  <c r="K173" i="1"/>
  <c r="K188" i="1"/>
  <c r="K203" i="1"/>
  <c r="K218" i="1"/>
  <c r="K233" i="1"/>
  <c r="K248" i="1"/>
  <c r="K263" i="1"/>
  <c r="K278" i="1"/>
  <c r="K293" i="1"/>
  <c r="K308" i="1"/>
  <c r="K323" i="1"/>
  <c r="K338" i="1"/>
  <c r="K353" i="1"/>
  <c r="K368" i="1"/>
  <c r="K383" i="1"/>
  <c r="K398" i="1"/>
  <c r="K413" i="1"/>
  <c r="K428" i="1"/>
  <c r="K443" i="1"/>
  <c r="K458" i="1"/>
  <c r="K473" i="1"/>
  <c r="K488" i="1"/>
  <c r="K503" i="1"/>
  <c r="K518" i="1"/>
  <c r="K533" i="1"/>
  <c r="K548" i="1"/>
  <c r="K563" i="1"/>
  <c r="K578" i="1"/>
  <c r="K593" i="1"/>
  <c r="K608" i="1"/>
  <c r="K623" i="1"/>
  <c r="K638" i="1"/>
  <c r="K653" i="1"/>
  <c r="K668" i="1"/>
  <c r="K683" i="1"/>
  <c r="K698" i="1"/>
  <c r="K713" i="1"/>
  <c r="K728" i="1"/>
  <c r="K743" i="1"/>
  <c r="K758" i="1"/>
  <c r="K773" i="1"/>
  <c r="K788" i="1"/>
  <c r="K803" i="1"/>
  <c r="K818" i="1"/>
  <c r="K833" i="1"/>
  <c r="K848" i="1"/>
  <c r="K863" i="1"/>
  <c r="K878" i="1"/>
  <c r="K893" i="1"/>
  <c r="K908" i="1"/>
  <c r="K923" i="1"/>
  <c r="K938" i="1"/>
  <c r="K953" i="1"/>
  <c r="K968" i="1"/>
  <c r="K983" i="1"/>
  <c r="K998" i="1"/>
  <c r="K1013" i="1"/>
  <c r="K1028" i="1"/>
  <c r="K1043" i="1"/>
  <c r="K1058" i="1"/>
  <c r="K1073" i="1"/>
  <c r="K1088" i="1"/>
  <c r="K1103" i="1"/>
  <c r="K1118" i="1"/>
  <c r="K1133" i="1"/>
  <c r="K1148" i="1"/>
  <c r="K1163" i="1"/>
  <c r="K1178" i="1"/>
  <c r="K1193" i="1"/>
  <c r="K1208" i="1"/>
  <c r="K1223" i="1"/>
  <c r="K1238" i="1"/>
  <c r="K1253" i="1"/>
  <c r="K1268" i="1"/>
  <c r="K1283" i="1"/>
  <c r="K1298" i="1"/>
  <c r="K1313" i="1"/>
  <c r="K1328" i="1"/>
  <c r="K1343" i="1"/>
  <c r="K1358" i="1"/>
  <c r="K1373" i="1"/>
  <c r="K1388" i="1"/>
  <c r="K1403" i="1"/>
  <c r="K1418" i="1"/>
  <c r="K1433" i="1"/>
  <c r="K1448" i="1"/>
  <c r="K1463" i="1"/>
  <c r="K1478" i="1"/>
  <c r="K1493" i="1"/>
  <c r="K1508" i="1"/>
  <c r="K1523" i="1"/>
  <c r="K1538" i="1"/>
  <c r="K1553" i="1"/>
  <c r="K1568" i="1"/>
  <c r="K1583" i="1"/>
  <c r="K1598" i="1"/>
  <c r="K1613" i="1"/>
  <c r="K1628" i="1"/>
  <c r="K1643" i="1"/>
  <c r="K1658" i="1"/>
  <c r="K1673" i="1"/>
  <c r="K1688" i="1"/>
  <c r="K1703" i="1"/>
  <c r="K1718" i="1"/>
  <c r="K1733" i="1"/>
  <c r="K1748" i="1"/>
  <c r="K1763" i="1"/>
  <c r="K1778" i="1"/>
  <c r="K1793" i="1"/>
  <c r="K1808" i="1"/>
  <c r="K1823" i="1"/>
  <c r="K1838" i="1"/>
  <c r="K1853" i="1"/>
  <c r="K1868" i="1"/>
  <c r="K1883" i="1"/>
  <c r="K1898" i="1"/>
  <c r="K1913" i="1"/>
  <c r="K1928" i="1"/>
  <c r="K1943" i="1"/>
  <c r="K1958" i="1"/>
  <c r="K1973" i="1"/>
  <c r="K1988" i="1"/>
  <c r="K2003" i="1"/>
  <c r="K2018" i="1"/>
  <c r="K2033" i="1"/>
  <c r="K2048" i="1"/>
  <c r="K2063" i="1"/>
  <c r="K2078" i="1"/>
  <c r="K2093" i="1"/>
  <c r="K2108" i="1"/>
  <c r="K2123" i="1"/>
  <c r="K2138" i="1"/>
  <c r="K2153" i="1"/>
  <c r="K2168" i="1"/>
  <c r="K2183" i="1"/>
  <c r="K2198" i="1"/>
  <c r="K2213" i="1"/>
  <c r="K2228" i="1"/>
  <c r="K2243" i="1"/>
  <c r="K2258" i="1"/>
  <c r="K2273" i="1"/>
  <c r="K2288" i="1"/>
  <c r="K2303" i="1"/>
  <c r="K2318" i="1"/>
  <c r="K2333" i="1"/>
  <c r="K2348" i="1"/>
  <c r="K2363" i="1"/>
  <c r="K2378" i="1"/>
  <c r="K2393" i="1"/>
  <c r="K2408" i="1"/>
  <c r="K2423" i="1"/>
  <c r="K2438" i="1"/>
  <c r="K2453" i="1"/>
  <c r="K2468" i="1"/>
  <c r="K2483" i="1"/>
  <c r="K2498" i="1"/>
  <c r="K2513" i="1"/>
  <c r="K2528" i="1"/>
  <c r="K2543" i="1"/>
  <c r="K2558" i="1"/>
  <c r="K2573" i="1"/>
  <c r="K2588" i="1"/>
  <c r="K2603" i="1"/>
  <c r="K2618" i="1"/>
  <c r="K2633" i="1"/>
  <c r="K2648" i="1"/>
  <c r="K2663" i="1"/>
  <c r="K2678" i="1"/>
  <c r="K2693" i="1"/>
  <c r="K2708" i="1"/>
  <c r="K2723" i="1"/>
  <c r="K2738" i="1"/>
  <c r="K2753" i="1"/>
  <c r="K2768" i="1"/>
  <c r="K2783" i="1"/>
  <c r="K2798" i="1"/>
  <c r="K2813" i="1"/>
  <c r="K2828" i="1"/>
  <c r="K2843" i="1"/>
  <c r="K2858" i="1"/>
  <c r="K2873" i="1"/>
  <c r="K2888" i="1"/>
  <c r="K2903" i="1"/>
  <c r="K2918" i="1"/>
  <c r="K2933" i="1"/>
  <c r="K2948" i="1"/>
  <c r="K2963" i="1"/>
  <c r="K2978" i="1"/>
  <c r="K2993" i="1"/>
  <c r="K3008" i="1"/>
  <c r="K3023" i="1"/>
  <c r="K3038" i="1"/>
  <c r="K3053" i="1"/>
  <c r="K3068" i="1"/>
  <c r="K3083" i="1"/>
  <c r="K3098" i="1"/>
  <c r="K3113" i="1"/>
  <c r="K3128" i="1"/>
  <c r="K3143" i="1"/>
  <c r="K3158" i="1"/>
  <c r="K3173" i="1"/>
  <c r="K3188" i="1"/>
  <c r="K3203" i="1"/>
  <c r="K3218" i="1"/>
  <c r="K3233" i="1"/>
  <c r="K3248" i="1"/>
  <c r="K3263" i="1"/>
  <c r="K3278" i="1"/>
  <c r="K3293" i="1"/>
  <c r="K3308" i="1"/>
  <c r="K3323" i="1"/>
  <c r="K3338" i="1"/>
  <c r="K3353" i="1"/>
  <c r="K3368" i="1"/>
  <c r="K3383" i="1"/>
  <c r="K3398" i="1"/>
  <c r="K3413" i="1"/>
  <c r="K3428" i="1"/>
  <c r="K3443" i="1"/>
  <c r="K3458" i="1"/>
  <c r="K3473" i="1"/>
  <c r="K3488" i="1"/>
  <c r="K3503" i="1"/>
  <c r="K3518" i="1"/>
  <c r="K3533" i="1"/>
  <c r="K3548" i="1"/>
  <c r="K3563" i="1"/>
  <c r="K3578" i="1"/>
  <c r="K3593" i="1"/>
  <c r="K3608" i="1"/>
  <c r="K3623" i="1"/>
  <c r="K3636" i="1"/>
  <c r="K3651" i="1"/>
  <c r="K3666" i="1"/>
  <c r="K3681" i="1"/>
  <c r="K9" i="1"/>
  <c r="K24" i="1"/>
  <c r="K39" i="1"/>
  <c r="K54" i="1"/>
  <c r="K69" i="1"/>
  <c r="K84" i="1"/>
  <c r="K99" i="1"/>
  <c r="K114" i="1"/>
  <c r="K129" i="1"/>
  <c r="K144" i="1"/>
  <c r="K159" i="1"/>
  <c r="K174" i="1"/>
  <c r="K189" i="1"/>
  <c r="K204" i="1"/>
  <c r="K219" i="1"/>
  <c r="K234" i="1"/>
  <c r="K249" i="1"/>
  <c r="K264" i="1"/>
  <c r="K279" i="1"/>
  <c r="K294" i="1"/>
  <c r="K309" i="1"/>
  <c r="K324" i="1"/>
  <c r="K339" i="1"/>
  <c r="K354" i="1"/>
  <c r="K369" i="1"/>
  <c r="K384" i="1"/>
  <c r="K399" i="1"/>
  <c r="K414" i="1"/>
  <c r="K429" i="1"/>
  <c r="K444" i="1"/>
  <c r="K459" i="1"/>
  <c r="K474" i="1"/>
  <c r="K489" i="1"/>
  <c r="K504" i="1"/>
  <c r="K519" i="1"/>
  <c r="K534" i="1"/>
  <c r="K549" i="1"/>
  <c r="K564" i="1"/>
  <c r="K579" i="1"/>
  <c r="K594" i="1"/>
  <c r="K609" i="1"/>
  <c r="K624" i="1"/>
  <c r="K639" i="1"/>
  <c r="K654" i="1"/>
  <c r="K669" i="1"/>
  <c r="K684" i="1"/>
  <c r="K699" i="1"/>
  <c r="K714" i="1"/>
  <c r="K729" i="1"/>
  <c r="K744" i="1"/>
  <c r="K759" i="1"/>
  <c r="K774" i="1"/>
  <c r="K789" i="1"/>
  <c r="K804" i="1"/>
  <c r="K819" i="1"/>
  <c r="K834" i="1"/>
  <c r="K849" i="1"/>
  <c r="K864" i="1"/>
  <c r="K879" i="1"/>
  <c r="K894" i="1"/>
  <c r="K909" i="1"/>
  <c r="K924" i="1"/>
  <c r="K939" i="1"/>
  <c r="K954" i="1"/>
  <c r="K969" i="1"/>
  <c r="K984" i="1"/>
  <c r="K999" i="1"/>
  <c r="K1014" i="1"/>
  <c r="K1029" i="1"/>
  <c r="K1044" i="1"/>
  <c r="K1059" i="1"/>
  <c r="K1074" i="1"/>
  <c r="K1089" i="1"/>
  <c r="K1104" i="1"/>
  <c r="K1119" i="1"/>
  <c r="K1134" i="1"/>
  <c r="K1149" i="1"/>
  <c r="K1164" i="1"/>
  <c r="K1179" i="1"/>
  <c r="K1194" i="1"/>
  <c r="K1209" i="1"/>
  <c r="K1224" i="1"/>
  <c r="K1239" i="1"/>
  <c r="K1254" i="1"/>
  <c r="K1269" i="1"/>
  <c r="K1284" i="1"/>
  <c r="K1299" i="1"/>
  <c r="K1314" i="1"/>
  <c r="K1329" i="1"/>
  <c r="K1344" i="1"/>
  <c r="K1359" i="1"/>
  <c r="K1374" i="1"/>
  <c r="K1389" i="1"/>
  <c r="K1404" i="1"/>
  <c r="K1419" i="1"/>
  <c r="K1434" i="1"/>
  <c r="K1449" i="1"/>
  <c r="K1464" i="1"/>
  <c r="K1479" i="1"/>
  <c r="K1494" i="1"/>
  <c r="K1509" i="1"/>
  <c r="K1524" i="1"/>
  <c r="K1539" i="1"/>
  <c r="K1554" i="1"/>
  <c r="K1569" i="1"/>
  <c r="K1584" i="1"/>
  <c r="K1599" i="1"/>
  <c r="K1614" i="1"/>
  <c r="K1629" i="1"/>
  <c r="K1644" i="1"/>
  <c r="K1659" i="1"/>
  <c r="K1674" i="1"/>
  <c r="K1689" i="1"/>
  <c r="K1704" i="1"/>
  <c r="K1719" i="1"/>
  <c r="K1734" i="1"/>
  <c r="K1749" i="1"/>
  <c r="K1764" i="1"/>
  <c r="K1779" i="1"/>
  <c r="K1794" i="1"/>
  <c r="K1809" i="1"/>
  <c r="K1824" i="1"/>
  <c r="K1839" i="1"/>
  <c r="K1854" i="1"/>
  <c r="K1869" i="1"/>
  <c r="K1884" i="1"/>
  <c r="K1899" i="1"/>
  <c r="K1914" i="1"/>
  <c r="K1929" i="1"/>
  <c r="K1944" i="1"/>
  <c r="K1959" i="1"/>
  <c r="K1974" i="1"/>
  <c r="K1989" i="1"/>
  <c r="K2004" i="1"/>
  <c r="K2019" i="1"/>
  <c r="K2034" i="1"/>
  <c r="K2049" i="1"/>
  <c r="K2064" i="1"/>
  <c r="K2079" i="1"/>
  <c r="K2094" i="1"/>
  <c r="K2109" i="1"/>
  <c r="K2124" i="1"/>
  <c r="K2139" i="1"/>
  <c r="K2154" i="1"/>
  <c r="K2169" i="1"/>
  <c r="K2184" i="1"/>
  <c r="K2199" i="1"/>
  <c r="K2214" i="1"/>
  <c r="K2229" i="1"/>
  <c r="K2244" i="1"/>
  <c r="K2259" i="1"/>
  <c r="K2274" i="1"/>
  <c r="K2289" i="1"/>
  <c r="K2304" i="1"/>
  <c r="K2319" i="1"/>
  <c r="K2334" i="1"/>
  <c r="K2349" i="1"/>
  <c r="K2364" i="1"/>
  <c r="K2379" i="1"/>
  <c r="K2394" i="1"/>
  <c r="K2409" i="1"/>
  <c r="K2424" i="1"/>
  <c r="K2439" i="1"/>
  <c r="K2454" i="1"/>
  <c r="K2469" i="1"/>
  <c r="K2484" i="1"/>
  <c r="K2499" i="1"/>
  <c r="K2514" i="1"/>
  <c r="K2529" i="1"/>
  <c r="K2544" i="1"/>
  <c r="K2559" i="1"/>
  <c r="K2574" i="1"/>
  <c r="K2589" i="1"/>
  <c r="K2604" i="1"/>
  <c r="K2619" i="1"/>
  <c r="K2634" i="1"/>
  <c r="K2649" i="1"/>
  <c r="K2664" i="1"/>
  <c r="K2679" i="1"/>
  <c r="K2694" i="1"/>
  <c r="K2709" i="1"/>
  <c r="K2724" i="1"/>
  <c r="K2739" i="1"/>
  <c r="K2754" i="1"/>
  <c r="K2769" i="1"/>
  <c r="K2784" i="1"/>
  <c r="K2799" i="1"/>
  <c r="K2814" i="1"/>
  <c r="K2829" i="1"/>
  <c r="K2844" i="1"/>
  <c r="K2859" i="1"/>
  <c r="K2874" i="1"/>
  <c r="K2889" i="1"/>
  <c r="K2904" i="1"/>
  <c r="K2919" i="1"/>
  <c r="K2934" i="1"/>
  <c r="K2949" i="1"/>
  <c r="K2964" i="1"/>
  <c r="K2979" i="1"/>
  <c r="K2994" i="1"/>
  <c r="K3009" i="1"/>
  <c r="K3024" i="1"/>
  <c r="K3039" i="1"/>
  <c r="K3054" i="1"/>
  <c r="K3069" i="1"/>
  <c r="K3084" i="1"/>
  <c r="K3099" i="1"/>
  <c r="K3114" i="1"/>
  <c r="K3129" i="1"/>
  <c r="K3144" i="1"/>
  <c r="K3159" i="1"/>
  <c r="K3174" i="1"/>
  <c r="K3189" i="1"/>
  <c r="K3204" i="1"/>
  <c r="K3219" i="1"/>
  <c r="K3234" i="1"/>
  <c r="K3249" i="1"/>
  <c r="K3264" i="1"/>
  <c r="K3279" i="1"/>
  <c r="K3294" i="1"/>
  <c r="K3309" i="1"/>
  <c r="K3324" i="1"/>
  <c r="K3339" i="1"/>
  <c r="K3354" i="1"/>
  <c r="K3369" i="1"/>
  <c r="K3384" i="1"/>
  <c r="K3399" i="1"/>
  <c r="K3414" i="1"/>
  <c r="K3429" i="1"/>
  <c r="K3444" i="1"/>
  <c r="K3459" i="1"/>
  <c r="K3474" i="1"/>
  <c r="K3489" i="1"/>
  <c r="K3504" i="1"/>
  <c r="K3519" i="1"/>
  <c r="K3534" i="1"/>
  <c r="K3549" i="1"/>
  <c r="K3564" i="1"/>
  <c r="K3579" i="1"/>
  <c r="K3594" i="1"/>
  <c r="K3609" i="1"/>
  <c r="K3624" i="1"/>
  <c r="K3637" i="1"/>
  <c r="K3652" i="1"/>
  <c r="K3667" i="1"/>
  <c r="K3682" i="1"/>
  <c r="K10" i="1"/>
  <c r="K25" i="1"/>
  <c r="K40" i="1"/>
  <c r="K55" i="1"/>
  <c r="K70" i="1"/>
  <c r="K85" i="1"/>
  <c r="K100" i="1"/>
  <c r="K115" i="1"/>
  <c r="K130" i="1"/>
  <c r="K145" i="1"/>
  <c r="K160" i="1"/>
  <c r="K175" i="1"/>
  <c r="K190" i="1"/>
  <c r="K205" i="1"/>
  <c r="K220" i="1"/>
  <c r="K235" i="1"/>
  <c r="K250" i="1"/>
  <c r="K265" i="1"/>
  <c r="K280" i="1"/>
  <c r="K295" i="1"/>
  <c r="K310" i="1"/>
  <c r="K325" i="1"/>
  <c r="K340" i="1"/>
  <c r="K355" i="1"/>
  <c r="K370" i="1"/>
  <c r="K385" i="1"/>
  <c r="K400" i="1"/>
  <c r="K415" i="1"/>
  <c r="K430" i="1"/>
  <c r="K445" i="1"/>
  <c r="K460" i="1"/>
  <c r="K475" i="1"/>
  <c r="K490" i="1"/>
  <c r="K505" i="1"/>
  <c r="K520" i="1"/>
  <c r="K535" i="1"/>
  <c r="K550" i="1"/>
  <c r="K565" i="1"/>
  <c r="K580" i="1"/>
  <c r="K595" i="1"/>
  <c r="K610" i="1"/>
  <c r="K625" i="1"/>
  <c r="K640" i="1"/>
  <c r="K655" i="1"/>
  <c r="K670" i="1"/>
  <c r="K685" i="1"/>
  <c r="K700" i="1"/>
  <c r="K715" i="1"/>
  <c r="K730" i="1"/>
  <c r="K745" i="1"/>
  <c r="K760" i="1"/>
  <c r="K775" i="1"/>
  <c r="K790" i="1"/>
  <c r="K805" i="1"/>
  <c r="K820" i="1"/>
  <c r="K835" i="1"/>
  <c r="K850" i="1"/>
  <c r="K865" i="1"/>
  <c r="K880" i="1"/>
  <c r="K895" i="1"/>
  <c r="K910" i="1"/>
  <c r="K925" i="1"/>
  <c r="K940" i="1"/>
  <c r="K955" i="1"/>
  <c r="K970" i="1"/>
  <c r="K985" i="1"/>
  <c r="K1000" i="1"/>
  <c r="K1015" i="1"/>
  <c r="K1030" i="1"/>
  <c r="K1045" i="1"/>
  <c r="K1060" i="1"/>
  <c r="K1075" i="1"/>
  <c r="K1090" i="1"/>
  <c r="K1105" i="1"/>
  <c r="K1120" i="1"/>
  <c r="K1135" i="1"/>
  <c r="K1150" i="1"/>
  <c r="K1165" i="1"/>
  <c r="K1180" i="1"/>
  <c r="K1195" i="1"/>
  <c r="K1210" i="1"/>
  <c r="K1225" i="1"/>
  <c r="K1240" i="1"/>
  <c r="K1255" i="1"/>
  <c r="K1270" i="1"/>
  <c r="K1285" i="1"/>
  <c r="K1300" i="1"/>
  <c r="K1315" i="1"/>
  <c r="K1330" i="1"/>
  <c r="K1345" i="1"/>
  <c r="K1360" i="1"/>
  <c r="K1375" i="1"/>
  <c r="K1390" i="1"/>
  <c r="K1405" i="1"/>
  <c r="K1420" i="1"/>
  <c r="K1435" i="1"/>
  <c r="K1450" i="1"/>
  <c r="K1465" i="1"/>
  <c r="K1480" i="1"/>
  <c r="K1495" i="1"/>
  <c r="K1510" i="1"/>
  <c r="K1525" i="1"/>
  <c r="K1540" i="1"/>
  <c r="K1555" i="1"/>
  <c r="K1570" i="1"/>
  <c r="K1585" i="1"/>
  <c r="K1600" i="1"/>
  <c r="K1615" i="1"/>
  <c r="K1630" i="1"/>
  <c r="K1645" i="1"/>
  <c r="K1660" i="1"/>
  <c r="K1675" i="1"/>
  <c r="K1690" i="1"/>
  <c r="K1705" i="1"/>
  <c r="K1720" i="1"/>
  <c r="K1735" i="1"/>
  <c r="K1750" i="1"/>
  <c r="K1765" i="1"/>
  <c r="K1780" i="1"/>
  <c r="K1795" i="1"/>
  <c r="K1810" i="1"/>
  <c r="K1825" i="1"/>
  <c r="K1840" i="1"/>
  <c r="K1855" i="1"/>
  <c r="K1870" i="1"/>
  <c r="K1885" i="1"/>
  <c r="K1900" i="1"/>
  <c r="K1915" i="1"/>
  <c r="K1930" i="1"/>
  <c r="K1945" i="1"/>
  <c r="K1960" i="1"/>
  <c r="K1975" i="1"/>
  <c r="K1990" i="1"/>
  <c r="K2005" i="1"/>
  <c r="K2020" i="1"/>
  <c r="K2035" i="1"/>
  <c r="K2050" i="1"/>
  <c r="K2065" i="1"/>
  <c r="K2080" i="1"/>
  <c r="K2095" i="1"/>
  <c r="K2110" i="1"/>
  <c r="K2125" i="1"/>
  <c r="K2140" i="1"/>
  <c r="K2155" i="1"/>
  <c r="K2170" i="1"/>
  <c r="K2185" i="1"/>
  <c r="K2200" i="1"/>
  <c r="K2215" i="1"/>
  <c r="K2230" i="1"/>
  <c r="K2245" i="1"/>
  <c r="K2260" i="1"/>
  <c r="K2275" i="1"/>
  <c r="K2290" i="1"/>
  <c r="K2305" i="1"/>
  <c r="K2320" i="1"/>
  <c r="K2335" i="1"/>
  <c r="K2350" i="1"/>
  <c r="K2365" i="1"/>
  <c r="K2380" i="1"/>
  <c r="K2395" i="1"/>
  <c r="K2410" i="1"/>
  <c r="K2425" i="1"/>
  <c r="K2440" i="1"/>
  <c r="K2455" i="1"/>
  <c r="K2470" i="1"/>
  <c r="K2485" i="1"/>
  <c r="K2500" i="1"/>
  <c r="K2515" i="1"/>
  <c r="K2530" i="1"/>
  <c r="K2545" i="1"/>
  <c r="K2560" i="1"/>
  <c r="K2575" i="1"/>
  <c r="K2590" i="1"/>
  <c r="K2605" i="1"/>
  <c r="K2620" i="1"/>
  <c r="K2635" i="1"/>
  <c r="K2650" i="1"/>
  <c r="K2665" i="1"/>
  <c r="K2680" i="1"/>
  <c r="K2695" i="1"/>
  <c r="K2710" i="1"/>
  <c r="K2725" i="1"/>
  <c r="K2740" i="1"/>
  <c r="K2755" i="1"/>
  <c r="K2770" i="1"/>
  <c r="K2785" i="1"/>
  <c r="K2800" i="1"/>
  <c r="K2815" i="1"/>
  <c r="K2830" i="1"/>
  <c r="K2845" i="1"/>
  <c r="K2860" i="1"/>
  <c r="K2875" i="1"/>
  <c r="K2890" i="1"/>
  <c r="K2905" i="1"/>
  <c r="K2920" i="1"/>
  <c r="K2935" i="1"/>
  <c r="K2950" i="1"/>
  <c r="K2965" i="1"/>
  <c r="K2980" i="1"/>
  <c r="K2995" i="1"/>
  <c r="K3010" i="1"/>
  <c r="K3025" i="1"/>
  <c r="K3040" i="1"/>
  <c r="K3055" i="1"/>
  <c r="K3070" i="1"/>
  <c r="K3085" i="1"/>
  <c r="K3100" i="1"/>
  <c r="K3115" i="1"/>
  <c r="K3130" i="1"/>
  <c r="K3145" i="1"/>
  <c r="K3160" i="1"/>
  <c r="K3175" i="1"/>
  <c r="K3190" i="1"/>
  <c r="K3205" i="1"/>
  <c r="K3220" i="1"/>
  <c r="K3235" i="1"/>
  <c r="K3250" i="1"/>
  <c r="K3265" i="1"/>
  <c r="K3280" i="1"/>
  <c r="K3295" i="1"/>
  <c r="K3310" i="1"/>
  <c r="K3325" i="1"/>
  <c r="K3340" i="1"/>
  <c r="K3355" i="1"/>
  <c r="K3370" i="1"/>
  <c r="K3385" i="1"/>
  <c r="K3400" i="1"/>
  <c r="K3415" i="1"/>
  <c r="K3430" i="1"/>
  <c r="K3445" i="1"/>
  <c r="K3460" i="1"/>
  <c r="K3475" i="1"/>
  <c r="K3490" i="1"/>
  <c r="K3505" i="1"/>
  <c r="K3520" i="1"/>
  <c r="K3535" i="1"/>
  <c r="K3550" i="1"/>
  <c r="K3565" i="1"/>
  <c r="K3580" i="1"/>
  <c r="K3595" i="1"/>
  <c r="K3610" i="1"/>
  <c r="K3625" i="1"/>
  <c r="K3638" i="1"/>
  <c r="K3653" i="1"/>
  <c r="K3668" i="1"/>
  <c r="K3683" i="1"/>
  <c r="K11" i="1"/>
  <c r="K26" i="1"/>
  <c r="K41" i="1"/>
  <c r="K56" i="1"/>
  <c r="K71" i="1"/>
  <c r="K86" i="1"/>
  <c r="K101" i="1"/>
  <c r="K116" i="1"/>
  <c r="K131" i="1"/>
  <c r="K146" i="1"/>
  <c r="K161" i="1"/>
  <c r="K176" i="1"/>
  <c r="K191" i="1"/>
  <c r="K206" i="1"/>
  <c r="K221" i="1"/>
  <c r="K236" i="1"/>
  <c r="K251" i="1"/>
  <c r="K266" i="1"/>
  <c r="K281" i="1"/>
  <c r="K296" i="1"/>
  <c r="K311" i="1"/>
  <c r="K326" i="1"/>
  <c r="K341" i="1"/>
  <c r="K356" i="1"/>
  <c r="K371" i="1"/>
  <c r="K386" i="1"/>
  <c r="K401" i="1"/>
  <c r="K416" i="1"/>
  <c r="K431" i="1"/>
  <c r="K446" i="1"/>
  <c r="K461" i="1"/>
  <c r="K476" i="1"/>
  <c r="K491" i="1"/>
  <c r="K506" i="1"/>
  <c r="K521" i="1"/>
  <c r="K536" i="1"/>
  <c r="K551" i="1"/>
  <c r="K566" i="1"/>
  <c r="K581" i="1"/>
  <c r="K596" i="1"/>
  <c r="K611" i="1"/>
  <c r="K626" i="1"/>
  <c r="K641" i="1"/>
  <c r="K656" i="1"/>
  <c r="K671" i="1"/>
  <c r="K686" i="1"/>
  <c r="K701" i="1"/>
  <c r="K716" i="1"/>
  <c r="K731" i="1"/>
  <c r="K746" i="1"/>
  <c r="K761" i="1"/>
  <c r="K776" i="1"/>
  <c r="K791" i="1"/>
  <c r="K806" i="1"/>
  <c r="K821" i="1"/>
  <c r="K836" i="1"/>
  <c r="K851" i="1"/>
  <c r="K866" i="1"/>
  <c r="K881" i="1"/>
  <c r="K896" i="1"/>
  <c r="K911" i="1"/>
  <c r="K926" i="1"/>
  <c r="K941" i="1"/>
  <c r="K956" i="1"/>
  <c r="K971" i="1"/>
  <c r="K986" i="1"/>
  <c r="K1001" i="1"/>
  <c r="K1016" i="1"/>
  <c r="K1031" i="1"/>
  <c r="K1046" i="1"/>
  <c r="K1061" i="1"/>
  <c r="K1076" i="1"/>
  <c r="K1091" i="1"/>
  <c r="K1106" i="1"/>
  <c r="K1121" i="1"/>
  <c r="K1136" i="1"/>
  <c r="K1151" i="1"/>
  <c r="K1166" i="1"/>
  <c r="K1181" i="1"/>
  <c r="K1196" i="1"/>
  <c r="K1211" i="1"/>
  <c r="K1226" i="1"/>
  <c r="K1241" i="1"/>
  <c r="K1256" i="1"/>
  <c r="K1271" i="1"/>
  <c r="K1286" i="1"/>
  <c r="K1301" i="1"/>
  <c r="K1316" i="1"/>
  <c r="K1331" i="1"/>
  <c r="K1346" i="1"/>
  <c r="K1361" i="1"/>
  <c r="K1376" i="1"/>
  <c r="K1391" i="1"/>
  <c r="K1406" i="1"/>
  <c r="K1421" i="1"/>
  <c r="K1436" i="1"/>
  <c r="K1451" i="1"/>
  <c r="K1466" i="1"/>
  <c r="K1481" i="1"/>
  <c r="K1496" i="1"/>
  <c r="K1511" i="1"/>
  <c r="K1526" i="1"/>
  <c r="K1541" i="1"/>
  <c r="K1556" i="1"/>
  <c r="K1571" i="1"/>
  <c r="K1586" i="1"/>
  <c r="K1601" i="1"/>
  <c r="K1616" i="1"/>
  <c r="K1631" i="1"/>
  <c r="K1646" i="1"/>
  <c r="K1661" i="1"/>
  <c r="K1676" i="1"/>
  <c r="K1691" i="1"/>
  <c r="K1706" i="1"/>
  <c r="K1721" i="1"/>
  <c r="K1736" i="1"/>
  <c r="K1751" i="1"/>
  <c r="K1766" i="1"/>
  <c r="K1781" i="1"/>
  <c r="K1796" i="1"/>
  <c r="K1811" i="1"/>
  <c r="K1826" i="1"/>
  <c r="K1841" i="1"/>
  <c r="K1856" i="1"/>
  <c r="K1871" i="1"/>
  <c r="K1886" i="1"/>
  <c r="K1901" i="1"/>
  <c r="K1916" i="1"/>
  <c r="K1931" i="1"/>
  <c r="K1946" i="1"/>
  <c r="K1961" i="1"/>
  <c r="K1976" i="1"/>
  <c r="K1991" i="1"/>
  <c r="K2006" i="1"/>
  <c r="K2021" i="1"/>
  <c r="K2036" i="1"/>
  <c r="K2051" i="1"/>
  <c r="K2066" i="1"/>
  <c r="K2081" i="1"/>
  <c r="K2096" i="1"/>
  <c r="K2111" i="1"/>
  <c r="K2126" i="1"/>
  <c r="K2141" i="1"/>
  <c r="K2156" i="1"/>
  <c r="K2171" i="1"/>
  <c r="K2186" i="1"/>
  <c r="K2201" i="1"/>
  <c r="K2216" i="1"/>
  <c r="K2231" i="1"/>
  <c r="K2246" i="1"/>
  <c r="K2261" i="1"/>
  <c r="K2276" i="1"/>
  <c r="K2291" i="1"/>
  <c r="K2306" i="1"/>
  <c r="K2321" i="1"/>
  <c r="K2336" i="1"/>
  <c r="K2351" i="1"/>
  <c r="K2366" i="1"/>
  <c r="K2381" i="1"/>
  <c r="K2396" i="1"/>
  <c r="K2411" i="1"/>
  <c r="K2426" i="1"/>
  <c r="K2441" i="1"/>
  <c r="K2456" i="1"/>
  <c r="K2471" i="1"/>
  <c r="K2486" i="1"/>
  <c r="K2501" i="1"/>
  <c r="K2516" i="1"/>
  <c r="K2531" i="1"/>
  <c r="K2546" i="1"/>
  <c r="K2561" i="1"/>
  <c r="K2576" i="1"/>
  <c r="K2591" i="1"/>
  <c r="K2606" i="1"/>
  <c r="K2621" i="1"/>
  <c r="K2636" i="1"/>
  <c r="K2651" i="1"/>
  <c r="K2666" i="1"/>
  <c r="K2681" i="1"/>
  <c r="K2696" i="1"/>
  <c r="K2711" i="1"/>
  <c r="K2726" i="1"/>
  <c r="K2741" i="1"/>
  <c r="K2756" i="1"/>
  <c r="K2771" i="1"/>
  <c r="K2786" i="1"/>
  <c r="K2801" i="1"/>
  <c r="K2816" i="1"/>
  <c r="K2831" i="1"/>
  <c r="K2846" i="1"/>
  <c r="K2861" i="1"/>
  <c r="K2876" i="1"/>
  <c r="K2891" i="1"/>
  <c r="K2906" i="1"/>
  <c r="K2921" i="1"/>
  <c r="K2936" i="1"/>
  <c r="K2951" i="1"/>
  <c r="K2966" i="1"/>
  <c r="K2981" i="1"/>
  <c r="K2996" i="1"/>
  <c r="K3011" i="1"/>
  <c r="K3026" i="1"/>
  <c r="K3041" i="1"/>
  <c r="K3056" i="1"/>
  <c r="K3071" i="1"/>
  <c r="K3086" i="1"/>
  <c r="K3101" i="1"/>
  <c r="K3116" i="1"/>
  <c r="K3131" i="1"/>
  <c r="K3146" i="1"/>
  <c r="K3161" i="1"/>
  <c r="K3176" i="1"/>
  <c r="K3191" i="1"/>
  <c r="K3206" i="1"/>
  <c r="K3221" i="1"/>
  <c r="K3236" i="1"/>
  <c r="K3251" i="1"/>
  <c r="K3266" i="1"/>
  <c r="K3281" i="1"/>
  <c r="K3296" i="1"/>
  <c r="K3311" i="1"/>
  <c r="K3326" i="1"/>
  <c r="K3341" i="1"/>
  <c r="K3356" i="1"/>
  <c r="K3371" i="1"/>
  <c r="K3386" i="1"/>
  <c r="K3401" i="1"/>
  <c r="K3416" i="1"/>
  <c r="K3431" i="1"/>
  <c r="K3446" i="1"/>
  <c r="K3461" i="1"/>
  <c r="K3476" i="1"/>
  <c r="K3491" i="1"/>
  <c r="K3506" i="1"/>
  <c r="K3521" i="1"/>
  <c r="K3536" i="1"/>
  <c r="K3551" i="1"/>
  <c r="K3566" i="1"/>
  <c r="K3581" i="1"/>
  <c r="K3596" i="1"/>
  <c r="K3611" i="1"/>
  <c r="K3626" i="1"/>
  <c r="K3639" i="1"/>
  <c r="K3654" i="1"/>
  <c r="K3669" i="1"/>
  <c r="K3684" i="1"/>
  <c r="K12" i="1"/>
  <c r="K27" i="1"/>
  <c r="K42" i="1"/>
  <c r="K57" i="1"/>
  <c r="K72" i="1"/>
  <c r="K87" i="1"/>
  <c r="K102" i="1"/>
  <c r="K117" i="1"/>
  <c r="K132" i="1"/>
  <c r="K147" i="1"/>
  <c r="K162" i="1"/>
  <c r="K177" i="1"/>
  <c r="K192" i="1"/>
  <c r="K207" i="1"/>
  <c r="K222" i="1"/>
  <c r="K237" i="1"/>
  <c r="K252" i="1"/>
  <c r="K267" i="1"/>
  <c r="K282" i="1"/>
  <c r="K297" i="1"/>
  <c r="K312" i="1"/>
  <c r="K327" i="1"/>
  <c r="K342" i="1"/>
  <c r="K357" i="1"/>
  <c r="K372" i="1"/>
  <c r="K387" i="1"/>
  <c r="K402" i="1"/>
  <c r="K417" i="1"/>
  <c r="K432" i="1"/>
  <c r="K447" i="1"/>
  <c r="K462" i="1"/>
  <c r="K477" i="1"/>
  <c r="K492" i="1"/>
  <c r="K507" i="1"/>
  <c r="K522" i="1"/>
  <c r="K537" i="1"/>
  <c r="K552" i="1"/>
  <c r="K567" i="1"/>
  <c r="K582" i="1"/>
  <c r="K597" i="1"/>
  <c r="K612" i="1"/>
  <c r="K627" i="1"/>
  <c r="K642" i="1"/>
  <c r="K657" i="1"/>
  <c r="K672" i="1"/>
  <c r="K687" i="1"/>
  <c r="K702" i="1"/>
  <c r="K717" i="1"/>
  <c r="K732" i="1"/>
  <c r="K747" i="1"/>
  <c r="K762" i="1"/>
  <c r="K777" i="1"/>
  <c r="K792" i="1"/>
  <c r="K807" i="1"/>
  <c r="K822" i="1"/>
  <c r="K837" i="1"/>
  <c r="K852" i="1"/>
  <c r="K867" i="1"/>
  <c r="K882" i="1"/>
  <c r="K897" i="1"/>
  <c r="K912" i="1"/>
  <c r="K927" i="1"/>
  <c r="K942" i="1"/>
  <c r="K957" i="1"/>
  <c r="K972" i="1"/>
  <c r="K987" i="1"/>
  <c r="K1002" i="1"/>
  <c r="K1017" i="1"/>
  <c r="K1032" i="1"/>
  <c r="K1047" i="1"/>
  <c r="K1062" i="1"/>
  <c r="K1077" i="1"/>
  <c r="K1092" i="1"/>
  <c r="K1107" i="1"/>
  <c r="K1122" i="1"/>
  <c r="K1137" i="1"/>
  <c r="K1152" i="1"/>
  <c r="K1167" i="1"/>
  <c r="K1182" i="1"/>
  <c r="K1197" i="1"/>
  <c r="K1212" i="1"/>
  <c r="K1227" i="1"/>
  <c r="K1242" i="1"/>
  <c r="K1257" i="1"/>
  <c r="K1272" i="1"/>
  <c r="K1287" i="1"/>
  <c r="K1302" i="1"/>
  <c r="K1317" i="1"/>
  <c r="K1332" i="1"/>
  <c r="K1347" i="1"/>
  <c r="K1362" i="1"/>
  <c r="K1377" i="1"/>
  <c r="K1392" i="1"/>
  <c r="K1407" i="1"/>
  <c r="K1422" i="1"/>
  <c r="K1437" i="1"/>
  <c r="K1452" i="1"/>
  <c r="K1467" i="1"/>
  <c r="K1482" i="1"/>
  <c r="K1497" i="1"/>
  <c r="K1512" i="1"/>
  <c r="K1527" i="1"/>
  <c r="K1542" i="1"/>
  <c r="K1557" i="1"/>
  <c r="K1572" i="1"/>
  <c r="K1587" i="1"/>
  <c r="K1602" i="1"/>
  <c r="K1617" i="1"/>
  <c r="K1632" i="1"/>
  <c r="K1647" i="1"/>
  <c r="K1662" i="1"/>
  <c r="K1677" i="1"/>
  <c r="K1692" i="1"/>
  <c r="K1707" i="1"/>
  <c r="K1722" i="1"/>
  <c r="K1737" i="1"/>
  <c r="K1752" i="1"/>
  <c r="K1767" i="1"/>
  <c r="K1782" i="1"/>
  <c r="K1797" i="1"/>
  <c r="K1812" i="1"/>
  <c r="K1827" i="1"/>
  <c r="K1842" i="1"/>
  <c r="K1857" i="1"/>
  <c r="K1872" i="1"/>
  <c r="K1887" i="1"/>
  <c r="K1902" i="1"/>
  <c r="K1917" i="1"/>
  <c r="K1932" i="1"/>
  <c r="K1947" i="1"/>
  <c r="K1962" i="1"/>
  <c r="K1977" i="1"/>
  <c r="K1992" i="1"/>
  <c r="K2007" i="1"/>
  <c r="K2022" i="1"/>
  <c r="K2037" i="1"/>
  <c r="K2052" i="1"/>
  <c r="K2067" i="1"/>
  <c r="K2082" i="1"/>
  <c r="K2097" i="1"/>
  <c r="K2112" i="1"/>
  <c r="K2127" i="1"/>
  <c r="K2142" i="1"/>
  <c r="K2157" i="1"/>
  <c r="K2172" i="1"/>
  <c r="K2187" i="1"/>
  <c r="K2202" i="1"/>
  <c r="K2217" i="1"/>
  <c r="K2232" i="1"/>
  <c r="K2247" i="1"/>
  <c r="K2262" i="1"/>
  <c r="K2277" i="1"/>
  <c r="K2292" i="1"/>
  <c r="K2307" i="1"/>
  <c r="K2322" i="1"/>
  <c r="K2337" i="1"/>
  <c r="K2352" i="1"/>
  <c r="K2367" i="1"/>
  <c r="K2382" i="1"/>
  <c r="K2397" i="1"/>
  <c r="K2412" i="1"/>
  <c r="K2427" i="1"/>
  <c r="K2442" i="1"/>
  <c r="K2457" i="1"/>
  <c r="K2472" i="1"/>
  <c r="K2487" i="1"/>
  <c r="K2502" i="1"/>
  <c r="K2517" i="1"/>
  <c r="K2532" i="1"/>
  <c r="K2547" i="1"/>
  <c r="K2562" i="1"/>
  <c r="K2577" i="1"/>
  <c r="K2592" i="1"/>
  <c r="K2607" i="1"/>
  <c r="K2622" i="1"/>
  <c r="K2637" i="1"/>
  <c r="K2652" i="1"/>
  <c r="K2667" i="1"/>
  <c r="K2682" i="1"/>
  <c r="K2697" i="1"/>
  <c r="K2712" i="1"/>
  <c r="K2727" i="1"/>
  <c r="K2742" i="1"/>
  <c r="K2757" i="1"/>
  <c r="K2772" i="1"/>
  <c r="K2787" i="1"/>
  <c r="K2802" i="1"/>
  <c r="K2817" i="1"/>
  <c r="K2832" i="1"/>
  <c r="K2847" i="1"/>
  <c r="K2862" i="1"/>
  <c r="K2877" i="1"/>
  <c r="K2892" i="1"/>
  <c r="K2907" i="1"/>
  <c r="K2922" i="1"/>
  <c r="K2937" i="1"/>
  <c r="K2952" i="1"/>
  <c r="K2967" i="1"/>
  <c r="K2982" i="1"/>
  <c r="K2997" i="1"/>
  <c r="K3012" i="1"/>
  <c r="K3027" i="1"/>
  <c r="K3042" i="1"/>
  <c r="K3057" i="1"/>
  <c r="K3072" i="1"/>
  <c r="K3087" i="1"/>
  <c r="K3102" i="1"/>
  <c r="K3117" i="1"/>
  <c r="K3132" i="1"/>
  <c r="K3147" i="1"/>
  <c r="K3162" i="1"/>
  <c r="K3177" i="1"/>
  <c r="K3192" i="1"/>
  <c r="K3207" i="1"/>
  <c r="K3222" i="1"/>
  <c r="K3237" i="1"/>
  <c r="K3252" i="1"/>
  <c r="K3267" i="1"/>
  <c r="K3282" i="1"/>
  <c r="K3297" i="1"/>
  <c r="K3312" i="1"/>
  <c r="K3327" i="1"/>
  <c r="K3342" i="1"/>
  <c r="K3357" i="1"/>
  <c r="K3372" i="1"/>
  <c r="K3387" i="1"/>
  <c r="K3402" i="1"/>
  <c r="K3417" i="1"/>
  <c r="K3432" i="1"/>
  <c r="K3447" i="1"/>
  <c r="K3462" i="1"/>
  <c r="K3477" i="1"/>
  <c r="K3492" i="1"/>
  <c r="K3507" i="1"/>
  <c r="K3522" i="1"/>
  <c r="K3537" i="1"/>
  <c r="K3552" i="1"/>
  <c r="K3567" i="1"/>
  <c r="K3582" i="1"/>
  <c r="K3597" i="1"/>
  <c r="K3612" i="1"/>
  <c r="K3627" i="1"/>
  <c r="K3640" i="1"/>
  <c r="K3655" i="1"/>
  <c r="K3670" i="1"/>
  <c r="K3685" i="1"/>
  <c r="K13" i="1"/>
  <c r="K28" i="1"/>
  <c r="K43" i="1"/>
  <c r="K58" i="1"/>
  <c r="K73" i="1"/>
  <c r="K88" i="1"/>
  <c r="K103" i="1"/>
  <c r="K118" i="1"/>
  <c r="K133" i="1"/>
  <c r="K148" i="1"/>
  <c r="K163" i="1"/>
  <c r="K178" i="1"/>
  <c r="K193" i="1"/>
  <c r="K208" i="1"/>
  <c r="K223" i="1"/>
  <c r="K238" i="1"/>
  <c r="K253" i="1"/>
  <c r="K268" i="1"/>
  <c r="K283" i="1"/>
  <c r="K298" i="1"/>
  <c r="K313" i="1"/>
  <c r="K328" i="1"/>
  <c r="K343" i="1"/>
  <c r="K358" i="1"/>
  <c r="K373" i="1"/>
  <c r="K388" i="1"/>
  <c r="K403" i="1"/>
  <c r="K418" i="1"/>
  <c r="K433" i="1"/>
  <c r="K448" i="1"/>
  <c r="K463" i="1"/>
  <c r="K478" i="1"/>
  <c r="K493" i="1"/>
  <c r="K508" i="1"/>
  <c r="K523" i="1"/>
  <c r="K538" i="1"/>
  <c r="K553" i="1"/>
  <c r="K568" i="1"/>
  <c r="K583" i="1"/>
  <c r="K598" i="1"/>
  <c r="K613" i="1"/>
  <c r="K628" i="1"/>
  <c r="K643" i="1"/>
  <c r="K658" i="1"/>
  <c r="K673" i="1"/>
  <c r="K688" i="1"/>
  <c r="K703" i="1"/>
  <c r="K718" i="1"/>
  <c r="K733" i="1"/>
  <c r="K748" i="1"/>
  <c r="K763" i="1"/>
  <c r="K778" i="1"/>
  <c r="K793" i="1"/>
  <c r="K808" i="1"/>
  <c r="K823" i="1"/>
  <c r="K838" i="1"/>
  <c r="K853" i="1"/>
  <c r="K868" i="1"/>
  <c r="K883" i="1"/>
  <c r="K898" i="1"/>
  <c r="K913" i="1"/>
  <c r="K928" i="1"/>
  <c r="K943" i="1"/>
  <c r="K958" i="1"/>
  <c r="K973" i="1"/>
  <c r="K988" i="1"/>
  <c r="K1003" i="1"/>
  <c r="K1018" i="1"/>
  <c r="K1033" i="1"/>
  <c r="K1048" i="1"/>
  <c r="K1063" i="1"/>
  <c r="K1078" i="1"/>
  <c r="K1093" i="1"/>
  <c r="K1108" i="1"/>
  <c r="K1123" i="1"/>
  <c r="K1138" i="1"/>
  <c r="K1153" i="1"/>
  <c r="K1168" i="1"/>
  <c r="K1183" i="1"/>
  <c r="K1198" i="1"/>
  <c r="K1213" i="1"/>
  <c r="K1228" i="1"/>
  <c r="K1243" i="1"/>
  <c r="K1258" i="1"/>
  <c r="K1273" i="1"/>
  <c r="K1288" i="1"/>
  <c r="K1303" i="1"/>
  <c r="K1318" i="1"/>
  <c r="K1333" i="1"/>
  <c r="K1348" i="1"/>
  <c r="K1363" i="1"/>
  <c r="K1378" i="1"/>
  <c r="K1393" i="1"/>
  <c r="K1408" i="1"/>
  <c r="K1423" i="1"/>
  <c r="K1438" i="1"/>
  <c r="K1453" i="1"/>
  <c r="K1468" i="1"/>
  <c r="K1483" i="1"/>
  <c r="K1498" i="1"/>
  <c r="K1513" i="1"/>
  <c r="K1528" i="1"/>
  <c r="K1543" i="1"/>
  <c r="K1558" i="1"/>
  <c r="K1573" i="1"/>
  <c r="K1588" i="1"/>
  <c r="K1603" i="1"/>
  <c r="K1618" i="1"/>
  <c r="K1633" i="1"/>
  <c r="K1648" i="1"/>
  <c r="K1663" i="1"/>
  <c r="K1678" i="1"/>
  <c r="K1693" i="1"/>
  <c r="K1708" i="1"/>
  <c r="K1723" i="1"/>
  <c r="K1738" i="1"/>
  <c r="K1753" i="1"/>
  <c r="K1768" i="1"/>
  <c r="K1783" i="1"/>
  <c r="K1798" i="1"/>
  <c r="K1813" i="1"/>
  <c r="K1828" i="1"/>
  <c r="K1843" i="1"/>
  <c r="K1858" i="1"/>
  <c r="K1873" i="1"/>
  <c r="K1888" i="1"/>
  <c r="K1903" i="1"/>
  <c r="K1918" i="1"/>
  <c r="K1933" i="1"/>
  <c r="K1948" i="1"/>
  <c r="K1963" i="1"/>
  <c r="K1978" i="1"/>
  <c r="K1993" i="1"/>
  <c r="K2008" i="1"/>
  <c r="K2023" i="1"/>
  <c r="K2038" i="1"/>
  <c r="K2053" i="1"/>
  <c r="K2068" i="1"/>
  <c r="K2083" i="1"/>
  <c r="K2098" i="1"/>
  <c r="K2113" i="1"/>
  <c r="K2128" i="1"/>
  <c r="K2143" i="1"/>
  <c r="K2158" i="1"/>
  <c r="K2173" i="1"/>
  <c r="K2188" i="1"/>
  <c r="K2203" i="1"/>
  <c r="K2218" i="1"/>
  <c r="K2233" i="1"/>
  <c r="K2248" i="1"/>
  <c r="K2263" i="1"/>
  <c r="K2278" i="1"/>
  <c r="K2293" i="1"/>
  <c r="K2308" i="1"/>
  <c r="K2323" i="1"/>
  <c r="K2338" i="1"/>
  <c r="K2353" i="1"/>
  <c r="K2368" i="1"/>
  <c r="K2383" i="1"/>
  <c r="K2398" i="1"/>
  <c r="K2413" i="1"/>
  <c r="K2428" i="1"/>
  <c r="K2443" i="1"/>
  <c r="K2458" i="1"/>
  <c r="K2473" i="1"/>
  <c r="K2488" i="1"/>
  <c r="K2503" i="1"/>
  <c r="K2518" i="1"/>
  <c r="K2533" i="1"/>
  <c r="K2548" i="1"/>
  <c r="K2563" i="1"/>
  <c r="K2578" i="1"/>
  <c r="K2593" i="1"/>
  <c r="K2608" i="1"/>
  <c r="K2623" i="1"/>
  <c r="K2638" i="1"/>
  <c r="K2653" i="1"/>
  <c r="K2668" i="1"/>
  <c r="K2683" i="1"/>
  <c r="K2698" i="1"/>
  <c r="K2713" i="1"/>
  <c r="K2728" i="1"/>
  <c r="K2743" i="1"/>
  <c r="K2758" i="1"/>
  <c r="K2773" i="1"/>
  <c r="K2788" i="1"/>
  <c r="K2803" i="1"/>
  <c r="K2818" i="1"/>
  <c r="K2833" i="1"/>
  <c r="K2848" i="1"/>
  <c r="K2863" i="1"/>
  <c r="K2878" i="1"/>
  <c r="K2893" i="1"/>
  <c r="K2908" i="1"/>
  <c r="K2923" i="1"/>
  <c r="K2938" i="1"/>
  <c r="K2953" i="1"/>
  <c r="K2968" i="1"/>
  <c r="K2983" i="1"/>
  <c r="K2998" i="1"/>
  <c r="K3013" i="1"/>
  <c r="K3028" i="1"/>
  <c r="K3043" i="1"/>
  <c r="K3058" i="1"/>
  <c r="K3073" i="1"/>
  <c r="K3088" i="1"/>
  <c r="K3103" i="1"/>
  <c r="K3118" i="1"/>
  <c r="K3133" i="1"/>
  <c r="K3148" i="1"/>
  <c r="K3163" i="1"/>
  <c r="K3178" i="1"/>
  <c r="K3193" i="1"/>
  <c r="K3208" i="1"/>
  <c r="K3223" i="1"/>
  <c r="K3238" i="1"/>
  <c r="K3253" i="1"/>
  <c r="K3268" i="1"/>
  <c r="K3283" i="1"/>
  <c r="K3298" i="1"/>
  <c r="K3313" i="1"/>
  <c r="K3328" i="1"/>
  <c r="K3343" i="1"/>
  <c r="K3358" i="1"/>
  <c r="K3373" i="1"/>
  <c r="K3388" i="1"/>
  <c r="K3403" i="1"/>
  <c r="K3418" i="1"/>
  <c r="K3433" i="1"/>
  <c r="K3448" i="1"/>
  <c r="K3463" i="1"/>
  <c r="K3478" i="1"/>
  <c r="K3493" i="1"/>
  <c r="K3508" i="1"/>
  <c r="K3523" i="1"/>
  <c r="K3538" i="1"/>
  <c r="K3553" i="1"/>
  <c r="K3568" i="1"/>
  <c r="K3583" i="1"/>
  <c r="K3598" i="1"/>
  <c r="K3613" i="1"/>
  <c r="K3628" i="1"/>
  <c r="K3641" i="1"/>
  <c r="K3656" i="1"/>
  <c r="K3671" i="1"/>
  <c r="K3686" i="1"/>
  <c r="K14" i="1"/>
  <c r="K29" i="1"/>
  <c r="K44" i="1"/>
  <c r="K59" i="1"/>
  <c r="K74" i="1"/>
  <c r="K89" i="1"/>
  <c r="K104" i="1"/>
  <c r="K119" i="1"/>
  <c r="K134" i="1"/>
  <c r="K149" i="1"/>
  <c r="K164" i="1"/>
  <c r="K179" i="1"/>
  <c r="K194" i="1"/>
  <c r="K209" i="1"/>
  <c r="K224" i="1"/>
  <c r="K239" i="1"/>
  <c r="K254" i="1"/>
  <c r="K269" i="1"/>
  <c r="K284" i="1"/>
  <c r="K299" i="1"/>
  <c r="K314" i="1"/>
  <c r="K329" i="1"/>
  <c r="K344" i="1"/>
  <c r="K359" i="1"/>
  <c r="K374" i="1"/>
  <c r="K389" i="1"/>
  <c r="K404" i="1"/>
  <c r="K419" i="1"/>
  <c r="K434" i="1"/>
  <c r="K449" i="1"/>
  <c r="K464" i="1"/>
  <c r="K479" i="1"/>
  <c r="K494" i="1"/>
  <c r="K509" i="1"/>
  <c r="K524" i="1"/>
  <c r="K539" i="1"/>
  <c r="K554" i="1"/>
  <c r="K569" i="1"/>
  <c r="K584" i="1"/>
  <c r="K599" i="1"/>
  <c r="K614" i="1"/>
  <c r="K629" i="1"/>
  <c r="K644" i="1"/>
  <c r="K659" i="1"/>
  <c r="K674" i="1"/>
  <c r="K689" i="1"/>
  <c r="K704" i="1"/>
  <c r="K719" i="1"/>
  <c r="K734" i="1"/>
  <c r="K749" i="1"/>
  <c r="K764" i="1"/>
  <c r="K779" i="1"/>
  <c r="K794" i="1"/>
  <c r="K809" i="1"/>
  <c r="K824" i="1"/>
  <c r="K839" i="1"/>
  <c r="K854" i="1"/>
  <c r="K869" i="1"/>
  <c r="K884" i="1"/>
  <c r="K899" i="1"/>
  <c r="K914" i="1"/>
  <c r="K929" i="1"/>
  <c r="K944" i="1"/>
  <c r="K959" i="1"/>
  <c r="K974" i="1"/>
  <c r="K989" i="1"/>
  <c r="K1004" i="1"/>
  <c r="K1019" i="1"/>
  <c r="K1034" i="1"/>
  <c r="K1049" i="1"/>
  <c r="K1064" i="1"/>
  <c r="K1079" i="1"/>
  <c r="K1094" i="1"/>
  <c r="K1109" i="1"/>
  <c r="K1124" i="1"/>
  <c r="K1139" i="1"/>
  <c r="K1154" i="1"/>
  <c r="K1169" i="1"/>
  <c r="K1184" i="1"/>
  <c r="K1199" i="1"/>
  <c r="K1214" i="1"/>
  <c r="K1229" i="1"/>
  <c r="K1244" i="1"/>
  <c r="K1259" i="1"/>
  <c r="K1274" i="1"/>
  <c r="K1289" i="1"/>
  <c r="K1304" i="1"/>
  <c r="K1319" i="1"/>
  <c r="K1334" i="1"/>
  <c r="K1349" i="1"/>
  <c r="K1364" i="1"/>
  <c r="K1379" i="1"/>
  <c r="K1394" i="1"/>
  <c r="K1409" i="1"/>
  <c r="K1424" i="1"/>
  <c r="K1439" i="1"/>
  <c r="K1454" i="1"/>
  <c r="K1469" i="1"/>
  <c r="K1484" i="1"/>
  <c r="K1499" i="1"/>
  <c r="K1514" i="1"/>
  <c r="K1529" i="1"/>
  <c r="K1544" i="1"/>
  <c r="K1559" i="1"/>
  <c r="K1574" i="1"/>
  <c r="K1589" i="1"/>
  <c r="K1604" i="1"/>
  <c r="K1619" i="1"/>
  <c r="K1634" i="1"/>
  <c r="K1649" i="1"/>
  <c r="K1664" i="1"/>
  <c r="K1679" i="1"/>
  <c r="K1694" i="1"/>
  <c r="K1709" i="1"/>
  <c r="K1724" i="1"/>
  <c r="K1739" i="1"/>
  <c r="K1754" i="1"/>
  <c r="K1769" i="1"/>
  <c r="K1784" i="1"/>
  <c r="K1799" i="1"/>
  <c r="K1814" i="1"/>
  <c r="K1829" i="1"/>
  <c r="K1844" i="1"/>
  <c r="K1859" i="1"/>
  <c r="K1874" i="1"/>
  <c r="K1889" i="1"/>
  <c r="K1904" i="1"/>
  <c r="K1919" i="1"/>
  <c r="K1934" i="1"/>
  <c r="K1949" i="1"/>
  <c r="K1964" i="1"/>
  <c r="K1979" i="1"/>
  <c r="K1994" i="1"/>
  <c r="K2009" i="1"/>
  <c r="K2024" i="1"/>
  <c r="K2039" i="1"/>
  <c r="K2054" i="1"/>
  <c r="K2069" i="1"/>
  <c r="K2084" i="1"/>
  <c r="K2099" i="1"/>
  <c r="K2114" i="1"/>
  <c r="K2129" i="1"/>
  <c r="K2144" i="1"/>
  <c r="K2159" i="1"/>
  <c r="K2174" i="1"/>
  <c r="K2189" i="1"/>
  <c r="K2204" i="1"/>
  <c r="K2219" i="1"/>
  <c r="K2234" i="1"/>
  <c r="K2249" i="1"/>
  <c r="K2264" i="1"/>
  <c r="K2279" i="1"/>
  <c r="K2294" i="1"/>
  <c r="K2309" i="1"/>
  <c r="K2324" i="1"/>
  <c r="K2339" i="1"/>
  <c r="K2354" i="1"/>
  <c r="K2369" i="1"/>
  <c r="K2384" i="1"/>
  <c r="K2399" i="1"/>
  <c r="K2414" i="1"/>
  <c r="K2429" i="1"/>
  <c r="K2444" i="1"/>
  <c r="K2459" i="1"/>
  <c r="K2474" i="1"/>
  <c r="K2489" i="1"/>
  <c r="K2504" i="1"/>
  <c r="K2519" i="1"/>
  <c r="K2534" i="1"/>
  <c r="K2549" i="1"/>
  <c r="K2564" i="1"/>
  <c r="K2579" i="1"/>
  <c r="K2594" i="1"/>
  <c r="K2609" i="1"/>
  <c r="K2624" i="1"/>
  <c r="K2639" i="1"/>
  <c r="K2654" i="1"/>
  <c r="K2669" i="1"/>
  <c r="K2684" i="1"/>
  <c r="K2699" i="1"/>
  <c r="K2714" i="1"/>
  <c r="K2729" i="1"/>
  <c r="K2744" i="1"/>
  <c r="K2759" i="1"/>
  <c r="K2774" i="1"/>
  <c r="K2789" i="1"/>
  <c r="K2804" i="1"/>
  <c r="K2819" i="1"/>
  <c r="K2834" i="1"/>
  <c r="K2849" i="1"/>
  <c r="K2864" i="1"/>
  <c r="K2879" i="1"/>
  <c r="K2894" i="1"/>
  <c r="K2909" i="1"/>
  <c r="K2924" i="1"/>
  <c r="K2939" i="1"/>
  <c r="K2954" i="1"/>
  <c r="K2969" i="1"/>
  <c r="K2984" i="1"/>
  <c r="K2999" i="1"/>
  <c r="K3014" i="1"/>
  <c r="K3029" i="1"/>
  <c r="K3044" i="1"/>
  <c r="K3059" i="1"/>
  <c r="K3074" i="1"/>
  <c r="K3089" i="1"/>
  <c r="K3104" i="1"/>
  <c r="K3119" i="1"/>
  <c r="K3134" i="1"/>
  <c r="K3149" i="1"/>
  <c r="K3164" i="1"/>
  <c r="K3179" i="1"/>
  <c r="K3194" i="1"/>
  <c r="K3209" i="1"/>
  <c r="K3224" i="1"/>
  <c r="K3239" i="1"/>
  <c r="K3254" i="1"/>
  <c r="K3269" i="1"/>
  <c r="K3284" i="1"/>
  <c r="K3299" i="1"/>
  <c r="K3314" i="1"/>
  <c r="K3329" i="1"/>
  <c r="K3344" i="1"/>
  <c r="K3359" i="1"/>
  <c r="K3374" i="1"/>
  <c r="K3389" i="1"/>
  <c r="K3404" i="1"/>
  <c r="K3419" i="1"/>
  <c r="K3434" i="1"/>
  <c r="K3449" i="1"/>
  <c r="K3464" i="1"/>
  <c r="K3479" i="1"/>
  <c r="K3494" i="1"/>
  <c r="K3509" i="1"/>
  <c r="K3524" i="1"/>
  <c r="K3539" i="1"/>
  <c r="K3554" i="1"/>
  <c r="K3569" i="1"/>
  <c r="K3584" i="1"/>
  <c r="K3599" i="1"/>
  <c r="K3614" i="1"/>
  <c r="K3642" i="1"/>
  <c r="K3657" i="1"/>
  <c r="K3672" i="1"/>
  <c r="K3687" i="1"/>
  <c r="K15" i="1"/>
  <c r="K30" i="1"/>
  <c r="K45" i="1"/>
  <c r="K60" i="1"/>
  <c r="K75" i="1"/>
  <c r="K90" i="1"/>
  <c r="K105" i="1"/>
  <c r="K120" i="1"/>
  <c r="K135" i="1"/>
  <c r="K150" i="1"/>
  <c r="K165" i="1"/>
  <c r="K180" i="1"/>
  <c r="K195" i="1"/>
  <c r="K210" i="1"/>
  <c r="K225" i="1"/>
  <c r="K240" i="1"/>
  <c r="K255" i="1"/>
  <c r="K270" i="1"/>
  <c r="K285" i="1"/>
  <c r="K300" i="1"/>
  <c r="K315" i="1"/>
  <c r="K330" i="1"/>
  <c r="K345" i="1"/>
  <c r="K360" i="1"/>
  <c r="K375" i="1"/>
  <c r="K390" i="1"/>
  <c r="K405" i="1"/>
  <c r="K420" i="1"/>
  <c r="K435" i="1"/>
  <c r="K450" i="1"/>
  <c r="K465" i="1"/>
  <c r="K480" i="1"/>
  <c r="K495" i="1"/>
  <c r="K510" i="1"/>
  <c r="K525" i="1"/>
  <c r="K540" i="1"/>
  <c r="K555" i="1"/>
  <c r="K570" i="1"/>
  <c r="K585" i="1"/>
  <c r="K600" i="1"/>
  <c r="K615" i="1"/>
  <c r="K630" i="1"/>
  <c r="K645" i="1"/>
  <c r="K660" i="1"/>
  <c r="K675" i="1"/>
  <c r="K690" i="1"/>
  <c r="K705" i="1"/>
  <c r="K720" i="1"/>
  <c r="K735" i="1"/>
  <c r="K750" i="1"/>
  <c r="K765" i="1"/>
  <c r="K780" i="1"/>
  <c r="K795" i="1"/>
  <c r="K810" i="1"/>
  <c r="K825" i="1"/>
  <c r="K840" i="1"/>
  <c r="K855" i="1"/>
  <c r="K870" i="1"/>
  <c r="K885" i="1"/>
  <c r="K900" i="1"/>
  <c r="K915" i="1"/>
  <c r="K930" i="1"/>
  <c r="K945" i="1"/>
  <c r="K960" i="1"/>
  <c r="K975" i="1"/>
  <c r="K990" i="1"/>
  <c r="K1005" i="1"/>
  <c r="K1020" i="1"/>
  <c r="K1035" i="1"/>
  <c r="K1050" i="1"/>
  <c r="K1065" i="1"/>
  <c r="K1080" i="1"/>
  <c r="K1095" i="1"/>
  <c r="K1110" i="1"/>
  <c r="K1125" i="1"/>
  <c r="K1140" i="1"/>
  <c r="K1155" i="1"/>
  <c r="K1170" i="1"/>
  <c r="K1185" i="1"/>
  <c r="K1200" i="1"/>
  <c r="K1215" i="1"/>
  <c r="K1230" i="1"/>
  <c r="K1245" i="1"/>
  <c r="K1260" i="1"/>
  <c r="K1275" i="1"/>
  <c r="K1290" i="1"/>
  <c r="K1305" i="1"/>
  <c r="K1320" i="1"/>
  <c r="K1335" i="1"/>
  <c r="K1350" i="1"/>
  <c r="K1365" i="1"/>
  <c r="K1380" i="1"/>
  <c r="K1395" i="1"/>
  <c r="K1410" i="1"/>
  <c r="K1425" i="1"/>
  <c r="K1440" i="1"/>
  <c r="K1455" i="1"/>
  <c r="K1470" i="1"/>
  <c r="K1485" i="1"/>
  <c r="K1500" i="1"/>
  <c r="K1515" i="1"/>
  <c r="K1530" i="1"/>
  <c r="K1545" i="1"/>
  <c r="K1560" i="1"/>
  <c r="K1575" i="1"/>
  <c r="K1590" i="1"/>
  <c r="K1605" i="1"/>
  <c r="K1620" i="1"/>
  <c r="K1635" i="1"/>
  <c r="K1650" i="1"/>
  <c r="K1665" i="1"/>
  <c r="K1680" i="1"/>
  <c r="K1695" i="1"/>
  <c r="K1710" i="1"/>
  <c r="K1725" i="1"/>
  <c r="K1740" i="1"/>
  <c r="K1755" i="1"/>
  <c r="K1770" i="1"/>
  <c r="K1785" i="1"/>
  <c r="K1800" i="1"/>
  <c r="K1815" i="1"/>
  <c r="K1830" i="1"/>
  <c r="K1845" i="1"/>
  <c r="K1860" i="1"/>
  <c r="K1875" i="1"/>
  <c r="K1890" i="1"/>
  <c r="K1905" i="1"/>
  <c r="K1920" i="1"/>
  <c r="K1935" i="1"/>
  <c r="K1950" i="1"/>
  <c r="K1965" i="1"/>
  <c r="K1980" i="1"/>
  <c r="K1995" i="1"/>
  <c r="K2010" i="1"/>
  <c r="K2025" i="1"/>
  <c r="K2040" i="1"/>
  <c r="K2055" i="1"/>
  <c r="K2070" i="1"/>
  <c r="K2085" i="1"/>
  <c r="K2100" i="1"/>
  <c r="K2115" i="1"/>
  <c r="K2130" i="1"/>
  <c r="K2145" i="1"/>
  <c r="K2160" i="1"/>
  <c r="K2175" i="1"/>
  <c r="K2190" i="1"/>
  <c r="K2205" i="1"/>
  <c r="K2220" i="1"/>
  <c r="K2235" i="1"/>
  <c r="K2250" i="1"/>
  <c r="K2265" i="1"/>
  <c r="K2280" i="1"/>
  <c r="K2295" i="1"/>
  <c r="K2310" i="1"/>
  <c r="K2325" i="1"/>
  <c r="K2340" i="1"/>
  <c r="K2355" i="1"/>
  <c r="K2370" i="1"/>
  <c r="K2385" i="1"/>
  <c r="K2400" i="1"/>
  <c r="K2415" i="1"/>
  <c r="K2430" i="1"/>
  <c r="K2445" i="1"/>
  <c r="K2460" i="1"/>
  <c r="K2475" i="1"/>
  <c r="K2490" i="1"/>
  <c r="K2505" i="1"/>
  <c r="K2520" i="1"/>
  <c r="K2535" i="1"/>
  <c r="K2550" i="1"/>
  <c r="K2565" i="1"/>
  <c r="K2580" i="1"/>
  <c r="K2595" i="1"/>
  <c r="K2610" i="1"/>
  <c r="K2625" i="1"/>
  <c r="K2640" i="1"/>
  <c r="K2655" i="1"/>
  <c r="K2670" i="1"/>
  <c r="K2685" i="1"/>
  <c r="K2700" i="1"/>
  <c r="K2715" i="1"/>
  <c r="K2730" i="1"/>
  <c r="K2745" i="1"/>
  <c r="K2760" i="1"/>
  <c r="K2775" i="1"/>
  <c r="K2790" i="1"/>
  <c r="K2805" i="1"/>
  <c r="K2820" i="1"/>
  <c r="K2835" i="1"/>
  <c r="K2850" i="1"/>
  <c r="K2865" i="1"/>
  <c r="K2880" i="1"/>
  <c r="K2895" i="1"/>
  <c r="K2910" i="1"/>
  <c r="K2925" i="1"/>
  <c r="K2940" i="1"/>
  <c r="K2955" i="1"/>
  <c r="K2970" i="1"/>
  <c r="K2985" i="1"/>
  <c r="K3000" i="1"/>
  <c r="K3015" i="1"/>
  <c r="K3030" i="1"/>
  <c r="K3045" i="1"/>
  <c r="K3060" i="1"/>
  <c r="K3075" i="1"/>
  <c r="K3090" i="1"/>
  <c r="K3105" i="1"/>
  <c r="K3120" i="1"/>
  <c r="K3135" i="1"/>
  <c r="K3150" i="1"/>
  <c r="K3165" i="1"/>
  <c r="K3180" i="1"/>
  <c r="K3195" i="1"/>
  <c r="K3210" i="1"/>
  <c r="K3225" i="1"/>
  <c r="K3240" i="1"/>
  <c r="K3255" i="1"/>
  <c r="K3270" i="1"/>
  <c r="K3285" i="1"/>
  <c r="K3300" i="1"/>
  <c r="K3315" i="1"/>
  <c r="K3330" i="1"/>
  <c r="K3345" i="1"/>
  <c r="K3360" i="1"/>
  <c r="K3375" i="1"/>
  <c r="K3390" i="1"/>
  <c r="K3405" i="1"/>
  <c r="K3420" i="1"/>
  <c r="K3435" i="1"/>
  <c r="K3450" i="1"/>
  <c r="K3465" i="1"/>
  <c r="K3480" i="1"/>
  <c r="K3495" i="1"/>
  <c r="K3510" i="1"/>
  <c r="K3525" i="1"/>
  <c r="K3540" i="1"/>
  <c r="K3555" i="1"/>
  <c r="K3570" i="1"/>
  <c r="K3585" i="1"/>
  <c r="K3600" i="1"/>
  <c r="K3615" i="1"/>
  <c r="K3629" i="1"/>
  <c r="K3643" i="1"/>
  <c r="K3658" i="1"/>
  <c r="K3673" i="1"/>
  <c r="K3688" i="1"/>
  <c r="K16" i="1"/>
  <c r="K31" i="1"/>
  <c r="K46" i="1"/>
  <c r="K61" i="1"/>
  <c r="K76" i="1"/>
  <c r="K91" i="1"/>
  <c r="K106" i="1"/>
  <c r="K121" i="1"/>
  <c r="K136" i="1"/>
  <c r="K151" i="1"/>
  <c r="K166" i="1"/>
  <c r="K181" i="1"/>
  <c r="K196" i="1"/>
  <c r="K211" i="1"/>
  <c r="K226" i="1"/>
  <c r="K241" i="1"/>
  <c r="K256" i="1"/>
  <c r="K271" i="1"/>
  <c r="K286" i="1"/>
  <c r="K301" i="1"/>
  <c r="K316" i="1"/>
  <c r="K331" i="1"/>
  <c r="K346" i="1"/>
  <c r="K361" i="1"/>
  <c r="K376" i="1"/>
  <c r="K391" i="1"/>
  <c r="K406" i="1"/>
  <c r="K421" i="1"/>
  <c r="K436" i="1"/>
  <c r="K451" i="1"/>
  <c r="K466" i="1"/>
  <c r="K481" i="1"/>
  <c r="K496" i="1"/>
  <c r="K511" i="1"/>
  <c r="K526" i="1"/>
  <c r="K541" i="1"/>
  <c r="K556" i="1"/>
  <c r="K571" i="1"/>
  <c r="K586" i="1"/>
  <c r="K601" i="1"/>
  <c r="K616" i="1"/>
  <c r="K631" i="1"/>
  <c r="K646" i="1"/>
  <c r="K661" i="1"/>
  <c r="K676" i="1"/>
  <c r="K691" i="1"/>
  <c r="K706" i="1"/>
  <c r="K721" i="1"/>
  <c r="K736" i="1"/>
  <c r="K751" i="1"/>
  <c r="K766" i="1"/>
  <c r="K781" i="1"/>
  <c r="K796" i="1"/>
  <c r="K811" i="1"/>
  <c r="K826" i="1"/>
  <c r="K841" i="1"/>
  <c r="K856" i="1"/>
  <c r="K871" i="1"/>
  <c r="K886" i="1"/>
  <c r="K901" i="1"/>
  <c r="K916" i="1"/>
  <c r="K931" i="1"/>
  <c r="K946" i="1"/>
  <c r="K961" i="1"/>
  <c r="K976" i="1"/>
  <c r="K991" i="1"/>
  <c r="K1006" i="1"/>
  <c r="K1021" i="1"/>
  <c r="K1036" i="1"/>
  <c r="K1051" i="1"/>
  <c r="K1066" i="1"/>
  <c r="K1081" i="1"/>
  <c r="K1096" i="1"/>
  <c r="K1111" i="1"/>
  <c r="K1126" i="1"/>
  <c r="K1141" i="1"/>
  <c r="K1156" i="1"/>
  <c r="K1171" i="1"/>
  <c r="K1186" i="1"/>
  <c r="K1201" i="1"/>
  <c r="K1216" i="1"/>
  <c r="K1231" i="1"/>
  <c r="K1246" i="1"/>
  <c r="K1261" i="1"/>
  <c r="K1276" i="1"/>
  <c r="K1291" i="1"/>
  <c r="K1306" i="1"/>
  <c r="K1321" i="1"/>
  <c r="K1336" i="1"/>
  <c r="K1351" i="1"/>
  <c r="K1366" i="1"/>
  <c r="K1381" i="1"/>
  <c r="K1396" i="1"/>
  <c r="K1411" i="1"/>
  <c r="K1426" i="1"/>
  <c r="K1441" i="1"/>
  <c r="K1456" i="1"/>
  <c r="K1471" i="1"/>
  <c r="K1486" i="1"/>
  <c r="K1501" i="1"/>
  <c r="K1516" i="1"/>
  <c r="K1531" i="1"/>
  <c r="K1546" i="1"/>
  <c r="K1561" i="1"/>
  <c r="K1576" i="1"/>
  <c r="K1591" i="1"/>
  <c r="K1606" i="1"/>
  <c r="K1621" i="1"/>
  <c r="K1636" i="1"/>
  <c r="K1651" i="1"/>
  <c r="K1666" i="1"/>
  <c r="K1681" i="1"/>
  <c r="K1696" i="1"/>
  <c r="K1711" i="1"/>
  <c r="K1726" i="1"/>
  <c r="K1741" i="1"/>
  <c r="K1756" i="1"/>
  <c r="K1771" i="1"/>
  <c r="K1786" i="1"/>
  <c r="K1801" i="1"/>
  <c r="K1816" i="1"/>
  <c r="K1831" i="1"/>
  <c r="K1846" i="1"/>
  <c r="K1861" i="1"/>
  <c r="K1876" i="1"/>
  <c r="K1891" i="1"/>
  <c r="K1906" i="1"/>
  <c r="K1921" i="1"/>
  <c r="K1936" i="1"/>
  <c r="K1951" i="1"/>
  <c r="K1966" i="1"/>
  <c r="K1981" i="1"/>
  <c r="K1996" i="1"/>
  <c r="K2011" i="1"/>
  <c r="K2026" i="1"/>
  <c r="K2041" i="1"/>
  <c r="K2056" i="1"/>
  <c r="K2071" i="1"/>
  <c r="K2086" i="1"/>
  <c r="K2101" i="1"/>
  <c r="K2116" i="1"/>
  <c r="K2131" i="1"/>
  <c r="K2146" i="1"/>
  <c r="K2161" i="1"/>
  <c r="K2176" i="1"/>
  <c r="K2191" i="1"/>
  <c r="K2206" i="1"/>
  <c r="K2221" i="1"/>
  <c r="K2236" i="1"/>
  <c r="K2251" i="1"/>
  <c r="K2266" i="1"/>
  <c r="K2281" i="1"/>
  <c r="K2296" i="1"/>
  <c r="K2311" i="1"/>
  <c r="K2326" i="1"/>
  <c r="K2341" i="1"/>
  <c r="K2356" i="1"/>
  <c r="K2371" i="1"/>
  <c r="K2386" i="1"/>
  <c r="K2401" i="1"/>
  <c r="K2416" i="1"/>
  <c r="K2431" i="1"/>
  <c r="K2446" i="1"/>
  <c r="K2461" i="1"/>
  <c r="K2476" i="1"/>
  <c r="K2491" i="1"/>
  <c r="K2506" i="1"/>
  <c r="K2521" i="1"/>
  <c r="K2536" i="1"/>
  <c r="K2551" i="1"/>
  <c r="K2566" i="1"/>
  <c r="K2581" i="1"/>
  <c r="K2596" i="1"/>
  <c r="K2611" i="1"/>
  <c r="K2626" i="1"/>
  <c r="K2641" i="1"/>
  <c r="K2656" i="1"/>
  <c r="K2671" i="1"/>
  <c r="K2686" i="1"/>
  <c r="K2701" i="1"/>
  <c r="K2716" i="1"/>
  <c r="K2731" i="1"/>
  <c r="K2746" i="1"/>
  <c r="K2761" i="1"/>
  <c r="K2776" i="1"/>
  <c r="K2791" i="1"/>
  <c r="K2806" i="1"/>
  <c r="K2821" i="1"/>
  <c r="K2836" i="1"/>
  <c r="K2851" i="1"/>
  <c r="K2866" i="1"/>
  <c r="K2881" i="1"/>
  <c r="K2896" i="1"/>
  <c r="K2911" i="1"/>
  <c r="K2926" i="1"/>
  <c r="K2941" i="1"/>
  <c r="K2956" i="1"/>
  <c r="K2971" i="1"/>
  <c r="K2986" i="1"/>
  <c r="K3001" i="1"/>
  <c r="K3016" i="1"/>
  <c r="K3031" i="1"/>
  <c r="K3046" i="1"/>
  <c r="K3061" i="1"/>
  <c r="K3076" i="1"/>
  <c r="K3091" i="1"/>
  <c r="K3106" i="1"/>
  <c r="K3121" i="1"/>
  <c r="K3136" i="1"/>
  <c r="K3151" i="1"/>
  <c r="K3166" i="1"/>
  <c r="K3181" i="1"/>
  <c r="K3196" i="1"/>
  <c r="K3211" i="1"/>
  <c r="K3226" i="1"/>
  <c r="K3241" i="1"/>
  <c r="K3256" i="1"/>
  <c r="K3271" i="1"/>
  <c r="K3286" i="1"/>
  <c r="K3301" i="1"/>
  <c r="K3316" i="1"/>
  <c r="K3331" i="1"/>
  <c r="K3346" i="1"/>
  <c r="K3361" i="1"/>
  <c r="K3376" i="1"/>
  <c r="K3391" i="1"/>
  <c r="K3406" i="1"/>
  <c r="K3421" i="1"/>
  <c r="K3436" i="1"/>
  <c r="K3451" i="1"/>
  <c r="K3466" i="1"/>
  <c r="K3481" i="1"/>
  <c r="K3496" i="1"/>
  <c r="K3511" i="1"/>
  <c r="K3526" i="1"/>
  <c r="K3541" i="1"/>
  <c r="K3556" i="1"/>
  <c r="K3571" i="1"/>
  <c r="K3586" i="1"/>
  <c r="K3601" i="1"/>
  <c r="K3616" i="1"/>
  <c r="K3644" i="1"/>
  <c r="K3659" i="1"/>
  <c r="K3674" i="1"/>
  <c r="K3689" i="1"/>
  <c r="K2" i="1"/>
  <c r="L17" i="1"/>
  <c r="L32" i="1"/>
  <c r="L47" i="1"/>
  <c r="L62" i="1"/>
  <c r="L77" i="1"/>
  <c r="L92" i="1"/>
  <c r="L107" i="1"/>
  <c r="L122" i="1"/>
  <c r="L137" i="1"/>
  <c r="L152" i="1"/>
  <c r="L167" i="1"/>
  <c r="L182" i="1"/>
  <c r="L197" i="1"/>
  <c r="L212" i="1"/>
  <c r="L227" i="1"/>
  <c r="L242" i="1"/>
  <c r="L257" i="1"/>
  <c r="L272" i="1"/>
  <c r="L287" i="1"/>
  <c r="L302" i="1"/>
  <c r="L317" i="1"/>
  <c r="L332" i="1"/>
  <c r="L347" i="1"/>
  <c r="L362" i="1"/>
  <c r="L377" i="1"/>
  <c r="L392" i="1"/>
  <c r="L407" i="1"/>
  <c r="L422" i="1"/>
  <c r="L437" i="1"/>
  <c r="L452" i="1"/>
  <c r="L467" i="1"/>
  <c r="L482" i="1"/>
  <c r="L497" i="1"/>
  <c r="L512" i="1"/>
  <c r="L527" i="1"/>
  <c r="L542" i="1"/>
  <c r="L557" i="1"/>
  <c r="L572" i="1"/>
  <c r="L587" i="1"/>
  <c r="L602" i="1"/>
  <c r="L617" i="1"/>
  <c r="L632" i="1"/>
  <c r="L647" i="1"/>
  <c r="L662" i="1"/>
  <c r="L677" i="1"/>
  <c r="L692" i="1"/>
  <c r="L707" i="1"/>
  <c r="L722" i="1"/>
  <c r="L737" i="1"/>
  <c r="L752" i="1"/>
  <c r="L767" i="1"/>
  <c r="L782" i="1"/>
  <c r="L797" i="1"/>
  <c r="L812" i="1"/>
  <c r="L827" i="1"/>
  <c r="L842" i="1"/>
  <c r="L857" i="1"/>
  <c r="L872" i="1"/>
  <c r="L887" i="1"/>
  <c r="L902" i="1"/>
  <c r="L917" i="1"/>
  <c r="L932" i="1"/>
  <c r="L947" i="1"/>
  <c r="L962" i="1"/>
  <c r="L977" i="1"/>
  <c r="L992" i="1"/>
  <c r="L1007" i="1"/>
  <c r="L1022" i="1"/>
  <c r="L1037" i="1"/>
  <c r="L1052" i="1"/>
  <c r="L1067" i="1"/>
  <c r="L1082" i="1"/>
  <c r="L1097" i="1"/>
  <c r="L1112" i="1"/>
  <c r="L1127" i="1"/>
  <c r="L1142" i="1"/>
  <c r="L1157" i="1"/>
  <c r="L1172" i="1"/>
  <c r="L1187" i="1"/>
  <c r="L1202" i="1"/>
  <c r="L1217" i="1"/>
  <c r="L1232" i="1"/>
  <c r="L1247" i="1"/>
  <c r="L1262" i="1"/>
  <c r="L1277" i="1"/>
  <c r="L1292" i="1"/>
  <c r="L1307" i="1"/>
  <c r="L1322" i="1"/>
  <c r="L1337" i="1"/>
  <c r="L1352" i="1"/>
  <c r="L1367" i="1"/>
  <c r="L1382" i="1"/>
  <c r="L1397" i="1"/>
  <c r="L1412" i="1"/>
  <c r="L1427" i="1"/>
  <c r="L1442" i="1"/>
  <c r="L1457" i="1"/>
  <c r="L1472" i="1"/>
  <c r="L1487" i="1"/>
  <c r="L1502" i="1"/>
  <c r="L1517" i="1"/>
  <c r="L1532" i="1"/>
  <c r="L1547" i="1"/>
  <c r="L1562" i="1"/>
  <c r="L1577" i="1"/>
  <c r="L1592" i="1"/>
  <c r="L1607" i="1"/>
  <c r="L1622" i="1"/>
  <c r="L1637" i="1"/>
  <c r="L1652" i="1"/>
  <c r="L1667" i="1"/>
  <c r="L1682" i="1"/>
  <c r="L1697" i="1"/>
  <c r="L1712" i="1"/>
  <c r="L1727" i="1"/>
  <c r="L1742" i="1"/>
  <c r="L1757" i="1"/>
  <c r="L1772" i="1"/>
  <c r="L1787" i="1"/>
  <c r="L1802" i="1"/>
  <c r="L1817" i="1"/>
  <c r="L1832" i="1"/>
  <c r="L1847" i="1"/>
  <c r="L1862" i="1"/>
  <c r="L1877" i="1"/>
  <c r="L1892" i="1"/>
  <c r="L1907" i="1"/>
  <c r="L1922" i="1"/>
  <c r="L1937" i="1"/>
  <c r="L1952" i="1"/>
  <c r="L1967" i="1"/>
  <c r="L1982" i="1"/>
  <c r="L1997" i="1"/>
  <c r="L2012" i="1"/>
  <c r="L2027" i="1"/>
  <c r="L2042" i="1"/>
  <c r="L2057" i="1"/>
  <c r="L2072" i="1"/>
  <c r="L2087" i="1"/>
  <c r="L2102" i="1"/>
  <c r="L2117" i="1"/>
  <c r="L2132" i="1"/>
  <c r="L2147" i="1"/>
  <c r="L2162" i="1"/>
  <c r="L2177" i="1"/>
  <c r="L2192" i="1"/>
  <c r="L2207" i="1"/>
  <c r="L2222" i="1"/>
  <c r="L2237" i="1"/>
  <c r="L2252" i="1"/>
  <c r="L2267" i="1"/>
  <c r="L2282" i="1"/>
  <c r="L2297" i="1"/>
  <c r="L2312" i="1"/>
  <c r="L2327" i="1"/>
  <c r="L2342" i="1"/>
  <c r="L2357" i="1"/>
  <c r="L2372" i="1"/>
  <c r="L2387" i="1"/>
  <c r="L2402" i="1"/>
  <c r="L2417" i="1"/>
  <c r="L2432" i="1"/>
  <c r="L2447" i="1"/>
  <c r="L2462" i="1"/>
  <c r="L2477" i="1"/>
  <c r="L2492" i="1"/>
  <c r="L2507" i="1"/>
  <c r="L2522" i="1"/>
  <c r="L2537" i="1"/>
  <c r="L2552" i="1"/>
  <c r="L2567" i="1"/>
  <c r="L2582" i="1"/>
  <c r="L2597" i="1"/>
  <c r="L2612" i="1"/>
  <c r="L2627" i="1"/>
  <c r="L2642" i="1"/>
  <c r="L2657" i="1"/>
  <c r="L2672" i="1"/>
  <c r="L2687" i="1"/>
  <c r="L2702" i="1"/>
  <c r="L2717" i="1"/>
  <c r="L2732" i="1"/>
  <c r="L2747" i="1"/>
  <c r="L2762" i="1"/>
  <c r="L2777" i="1"/>
  <c r="L2792" i="1"/>
  <c r="L2807" i="1"/>
  <c r="L2822" i="1"/>
  <c r="L2837" i="1"/>
  <c r="L2852" i="1"/>
  <c r="L2867" i="1"/>
  <c r="L2882" i="1"/>
  <c r="L2897" i="1"/>
  <c r="L2912" i="1"/>
  <c r="L2927" i="1"/>
  <c r="L2942" i="1"/>
  <c r="L2957" i="1"/>
  <c r="L2972" i="1"/>
  <c r="L2987" i="1"/>
  <c r="L3002" i="1"/>
  <c r="L3017" i="1"/>
  <c r="L3032" i="1"/>
  <c r="L3047" i="1"/>
  <c r="L3062" i="1"/>
  <c r="L3077" i="1"/>
  <c r="L3092" i="1"/>
  <c r="L3107" i="1"/>
  <c r="L3122" i="1"/>
  <c r="L3137" i="1"/>
  <c r="L3152" i="1"/>
  <c r="L3167" i="1"/>
  <c r="L3182" i="1"/>
  <c r="L3197" i="1"/>
  <c r="L3212" i="1"/>
  <c r="L3227" i="1"/>
  <c r="L3242" i="1"/>
  <c r="L3257" i="1"/>
  <c r="L3272" i="1"/>
  <c r="L3287" i="1"/>
  <c r="L3302" i="1"/>
  <c r="L3317" i="1"/>
  <c r="L3332" i="1"/>
  <c r="L3347" i="1"/>
  <c r="L3362" i="1"/>
  <c r="L3377" i="1"/>
  <c r="L3392" i="1"/>
  <c r="L3407" i="1"/>
  <c r="L3422" i="1"/>
  <c r="L3437" i="1"/>
  <c r="L3452" i="1"/>
  <c r="L3467" i="1"/>
  <c r="L3482" i="1"/>
  <c r="L3497" i="1"/>
  <c r="L3512" i="1"/>
  <c r="L3527" i="1"/>
  <c r="L3542" i="1"/>
  <c r="L3557" i="1"/>
  <c r="L3572" i="1"/>
  <c r="L3587" i="1"/>
  <c r="L3602" i="1"/>
  <c r="L3617" i="1"/>
  <c r="L3630" i="1"/>
  <c r="L3645" i="1"/>
  <c r="L3660" i="1"/>
  <c r="L3675" i="1"/>
  <c r="L3" i="1"/>
  <c r="L18" i="1"/>
  <c r="L33" i="1"/>
  <c r="L48" i="1"/>
  <c r="L63" i="1"/>
  <c r="L78" i="1"/>
  <c r="L93" i="1"/>
  <c r="L108" i="1"/>
  <c r="L123" i="1"/>
  <c r="L138" i="1"/>
  <c r="L153" i="1"/>
  <c r="L168" i="1"/>
  <c r="L183" i="1"/>
  <c r="L198" i="1"/>
  <c r="L213" i="1"/>
  <c r="L228" i="1"/>
  <c r="L243" i="1"/>
  <c r="L258" i="1"/>
  <c r="L273" i="1"/>
  <c r="L288" i="1"/>
  <c r="L303" i="1"/>
  <c r="L318" i="1"/>
  <c r="L333" i="1"/>
  <c r="L348" i="1"/>
  <c r="L363" i="1"/>
  <c r="L378" i="1"/>
  <c r="L393" i="1"/>
  <c r="L408" i="1"/>
  <c r="L423" i="1"/>
  <c r="L438" i="1"/>
  <c r="L453" i="1"/>
  <c r="L468" i="1"/>
  <c r="L483" i="1"/>
  <c r="L498" i="1"/>
  <c r="L513" i="1"/>
  <c r="L528" i="1"/>
  <c r="L543" i="1"/>
  <c r="L558" i="1"/>
  <c r="L573" i="1"/>
  <c r="L588" i="1"/>
  <c r="L603" i="1"/>
  <c r="L618" i="1"/>
  <c r="L633" i="1"/>
  <c r="L648" i="1"/>
  <c r="L663" i="1"/>
  <c r="L678" i="1"/>
  <c r="L693" i="1"/>
  <c r="L708" i="1"/>
  <c r="L723" i="1"/>
  <c r="L738" i="1"/>
  <c r="L753" i="1"/>
  <c r="L768" i="1"/>
  <c r="L783" i="1"/>
  <c r="L798" i="1"/>
  <c r="L813" i="1"/>
  <c r="L828" i="1"/>
  <c r="L843" i="1"/>
  <c r="L858" i="1"/>
  <c r="L873" i="1"/>
  <c r="L888" i="1"/>
  <c r="L903" i="1"/>
  <c r="L918" i="1"/>
  <c r="L933" i="1"/>
  <c r="L948" i="1"/>
  <c r="L963" i="1"/>
  <c r="L978" i="1"/>
  <c r="L993" i="1"/>
  <c r="L1008" i="1"/>
  <c r="L1023" i="1"/>
  <c r="L1038" i="1"/>
  <c r="L1053" i="1"/>
  <c r="L1068" i="1"/>
  <c r="L1083" i="1"/>
  <c r="L1098" i="1"/>
  <c r="L1113" i="1"/>
  <c r="L1128" i="1"/>
  <c r="L1143" i="1"/>
  <c r="L1158" i="1"/>
  <c r="L1173" i="1"/>
  <c r="L1188" i="1"/>
  <c r="L1203" i="1"/>
  <c r="L1218" i="1"/>
  <c r="L1233" i="1"/>
  <c r="L1248" i="1"/>
  <c r="L1263" i="1"/>
  <c r="L1278" i="1"/>
  <c r="L1293" i="1"/>
  <c r="L1308" i="1"/>
  <c r="L1323" i="1"/>
  <c r="L1338" i="1"/>
  <c r="L1353" i="1"/>
  <c r="L1368" i="1"/>
  <c r="L1383" i="1"/>
  <c r="L1398" i="1"/>
  <c r="L1413" i="1"/>
  <c r="L1428" i="1"/>
  <c r="L1443" i="1"/>
  <c r="L1458" i="1"/>
  <c r="L1473" i="1"/>
  <c r="L1488" i="1"/>
  <c r="L1503" i="1"/>
  <c r="L1518" i="1"/>
  <c r="L1533" i="1"/>
  <c r="L1548" i="1"/>
  <c r="L1563" i="1"/>
  <c r="L1578" i="1"/>
  <c r="L1593" i="1"/>
  <c r="L1608" i="1"/>
  <c r="L1623" i="1"/>
  <c r="L1638" i="1"/>
  <c r="L1653" i="1"/>
  <c r="L1668" i="1"/>
  <c r="L1683" i="1"/>
  <c r="L1698" i="1"/>
  <c r="L1713" i="1"/>
  <c r="L1728" i="1"/>
  <c r="L1743" i="1"/>
  <c r="L1758" i="1"/>
  <c r="L1773" i="1"/>
  <c r="L1788" i="1"/>
  <c r="L1803" i="1"/>
  <c r="L1818" i="1"/>
  <c r="L1833" i="1"/>
  <c r="L1848" i="1"/>
  <c r="L1863" i="1"/>
  <c r="L1878" i="1"/>
  <c r="L1893" i="1"/>
  <c r="L1908" i="1"/>
  <c r="L1923" i="1"/>
  <c r="L1938" i="1"/>
  <c r="L1953" i="1"/>
  <c r="L1968" i="1"/>
  <c r="L1983" i="1"/>
  <c r="L1998" i="1"/>
  <c r="L2013" i="1"/>
  <c r="L2028" i="1"/>
  <c r="L2043" i="1"/>
  <c r="L2058" i="1"/>
  <c r="L2073" i="1"/>
  <c r="L2088" i="1"/>
  <c r="L2103" i="1"/>
  <c r="L2118" i="1"/>
  <c r="L2133" i="1"/>
  <c r="L2148" i="1"/>
  <c r="L2163" i="1"/>
  <c r="L2178" i="1"/>
  <c r="L2193" i="1"/>
  <c r="L2208" i="1"/>
  <c r="L2223" i="1"/>
  <c r="L2238" i="1"/>
  <c r="L2253" i="1"/>
  <c r="L2268" i="1"/>
  <c r="L2283" i="1"/>
  <c r="L2298" i="1"/>
  <c r="L2313" i="1"/>
  <c r="L2328" i="1"/>
  <c r="L2343" i="1"/>
  <c r="L2358" i="1"/>
  <c r="L2373" i="1"/>
  <c r="L2388" i="1"/>
  <c r="L2403" i="1"/>
  <c r="L2418" i="1"/>
  <c r="L2433" i="1"/>
  <c r="L2448" i="1"/>
  <c r="L2463" i="1"/>
  <c r="L2478" i="1"/>
  <c r="L2493" i="1"/>
  <c r="L2508" i="1"/>
  <c r="L2523" i="1"/>
  <c r="L2538" i="1"/>
  <c r="L2553" i="1"/>
  <c r="L2568" i="1"/>
  <c r="L2583" i="1"/>
  <c r="L2598" i="1"/>
  <c r="L2613" i="1"/>
  <c r="L2628" i="1"/>
  <c r="L2643" i="1"/>
  <c r="L2658" i="1"/>
  <c r="L2673" i="1"/>
  <c r="L2688" i="1"/>
  <c r="L2703" i="1"/>
  <c r="L2718" i="1"/>
  <c r="L2733" i="1"/>
  <c r="L2748" i="1"/>
  <c r="L2763" i="1"/>
  <c r="L2778" i="1"/>
  <c r="L2793" i="1"/>
  <c r="L2808" i="1"/>
  <c r="L2823" i="1"/>
  <c r="L2838" i="1"/>
  <c r="L2853" i="1"/>
  <c r="L2868" i="1"/>
  <c r="L2883" i="1"/>
  <c r="L2898" i="1"/>
  <c r="L2913" i="1"/>
  <c r="L2928" i="1"/>
  <c r="L2943" i="1"/>
  <c r="L2958" i="1"/>
  <c r="L2973" i="1"/>
  <c r="L2988" i="1"/>
  <c r="L3003" i="1"/>
  <c r="L3018" i="1"/>
  <c r="L3033" i="1"/>
  <c r="L3048" i="1"/>
  <c r="L3063" i="1"/>
  <c r="L3078" i="1"/>
  <c r="L3093" i="1"/>
  <c r="L3108" i="1"/>
  <c r="L3123" i="1"/>
  <c r="L3138" i="1"/>
  <c r="L3153" i="1"/>
  <c r="L3168" i="1"/>
  <c r="L3183" i="1"/>
  <c r="L3198" i="1"/>
  <c r="L3213" i="1"/>
  <c r="L3228" i="1"/>
  <c r="L3243" i="1"/>
  <c r="L3258" i="1"/>
  <c r="L3273" i="1"/>
  <c r="L3288" i="1"/>
  <c r="L3303" i="1"/>
  <c r="L3318" i="1"/>
  <c r="L3333" i="1"/>
  <c r="L3348" i="1"/>
  <c r="L3363" i="1"/>
  <c r="L3378" i="1"/>
  <c r="L3393" i="1"/>
  <c r="L3408" i="1"/>
  <c r="L3423" i="1"/>
  <c r="L3438" i="1"/>
  <c r="L3453" i="1"/>
  <c r="L3468" i="1"/>
  <c r="L3483" i="1"/>
  <c r="L3498" i="1"/>
  <c r="L3513" i="1"/>
  <c r="L3528" i="1"/>
  <c r="L3543" i="1"/>
  <c r="L3558" i="1"/>
  <c r="L3573" i="1"/>
  <c r="L3588" i="1"/>
  <c r="L3603" i="1"/>
  <c r="L3618" i="1"/>
  <c r="L3631" i="1"/>
  <c r="L3646" i="1"/>
  <c r="L3661" i="1"/>
  <c r="L3676" i="1"/>
  <c r="L4" i="1"/>
  <c r="L19" i="1"/>
  <c r="L34" i="1"/>
  <c r="L49" i="1"/>
  <c r="L64" i="1"/>
  <c r="L79" i="1"/>
  <c r="L94" i="1"/>
  <c r="L109" i="1"/>
  <c r="L124" i="1"/>
  <c r="L139" i="1"/>
  <c r="L154" i="1"/>
  <c r="L169" i="1"/>
  <c r="L184" i="1"/>
  <c r="L199" i="1"/>
  <c r="L214" i="1"/>
  <c r="L229" i="1"/>
  <c r="L244" i="1"/>
  <c r="L259" i="1"/>
  <c r="L274" i="1"/>
  <c r="L289" i="1"/>
  <c r="L304" i="1"/>
  <c r="L319" i="1"/>
  <c r="L334" i="1"/>
  <c r="L349" i="1"/>
  <c r="L364" i="1"/>
  <c r="L379" i="1"/>
  <c r="L394" i="1"/>
  <c r="L409" i="1"/>
  <c r="L424" i="1"/>
  <c r="L439" i="1"/>
  <c r="L454" i="1"/>
  <c r="L469" i="1"/>
  <c r="L484" i="1"/>
  <c r="L499" i="1"/>
  <c r="L514" i="1"/>
  <c r="L529" i="1"/>
  <c r="L544" i="1"/>
  <c r="L559" i="1"/>
  <c r="L574" i="1"/>
  <c r="L589" i="1"/>
  <c r="L604" i="1"/>
  <c r="L619" i="1"/>
  <c r="L634" i="1"/>
  <c r="L649" i="1"/>
  <c r="L664" i="1"/>
  <c r="L679" i="1"/>
  <c r="L694" i="1"/>
  <c r="L709" i="1"/>
  <c r="L724" i="1"/>
  <c r="L739" i="1"/>
  <c r="L754" i="1"/>
  <c r="L769" i="1"/>
  <c r="L784" i="1"/>
  <c r="L799" i="1"/>
  <c r="L814" i="1"/>
  <c r="L829" i="1"/>
  <c r="L844" i="1"/>
  <c r="L859" i="1"/>
  <c r="L874" i="1"/>
  <c r="L889" i="1"/>
  <c r="L904" i="1"/>
  <c r="L919" i="1"/>
  <c r="L934" i="1"/>
  <c r="L949" i="1"/>
  <c r="L964" i="1"/>
  <c r="L979" i="1"/>
  <c r="L994" i="1"/>
  <c r="L1009" i="1"/>
  <c r="L1024" i="1"/>
  <c r="L1039" i="1"/>
  <c r="L1054" i="1"/>
  <c r="L1069" i="1"/>
  <c r="L1084" i="1"/>
  <c r="L1099" i="1"/>
  <c r="L1114" i="1"/>
  <c r="L1129" i="1"/>
  <c r="L1144" i="1"/>
  <c r="L1159" i="1"/>
  <c r="L1174" i="1"/>
  <c r="L1189" i="1"/>
  <c r="L1204" i="1"/>
  <c r="L1219" i="1"/>
  <c r="L1234" i="1"/>
  <c r="L1249" i="1"/>
  <c r="L1264" i="1"/>
  <c r="L1279" i="1"/>
  <c r="L1294" i="1"/>
  <c r="L1309" i="1"/>
  <c r="L1324" i="1"/>
  <c r="L1339" i="1"/>
  <c r="L1354" i="1"/>
  <c r="L1369" i="1"/>
  <c r="L1384" i="1"/>
  <c r="L1399" i="1"/>
  <c r="L1414" i="1"/>
  <c r="L1429" i="1"/>
  <c r="L1444" i="1"/>
  <c r="L1459" i="1"/>
  <c r="L1474" i="1"/>
  <c r="L1489" i="1"/>
  <c r="L1504" i="1"/>
  <c r="L1519" i="1"/>
  <c r="L1534" i="1"/>
  <c r="L1549" i="1"/>
  <c r="L1564" i="1"/>
  <c r="L1579" i="1"/>
  <c r="L1594" i="1"/>
  <c r="L1609" i="1"/>
  <c r="L1624" i="1"/>
  <c r="L1639" i="1"/>
  <c r="L1654" i="1"/>
  <c r="L1669" i="1"/>
  <c r="L1684" i="1"/>
  <c r="L1699" i="1"/>
  <c r="L1714" i="1"/>
  <c r="L1729" i="1"/>
  <c r="L1744" i="1"/>
  <c r="L1759" i="1"/>
  <c r="L1774" i="1"/>
  <c r="L1789" i="1"/>
  <c r="L1804" i="1"/>
  <c r="L1819" i="1"/>
  <c r="L1834" i="1"/>
  <c r="L1849" i="1"/>
  <c r="L1864" i="1"/>
  <c r="L1879" i="1"/>
  <c r="L1894" i="1"/>
  <c r="L1909" i="1"/>
  <c r="L1924" i="1"/>
  <c r="L1939" i="1"/>
  <c r="L1954" i="1"/>
  <c r="L1969" i="1"/>
  <c r="L1984" i="1"/>
  <c r="L1999" i="1"/>
  <c r="L2014" i="1"/>
  <c r="L2029" i="1"/>
  <c r="L2044" i="1"/>
  <c r="L2059" i="1"/>
  <c r="L2074" i="1"/>
  <c r="L2089" i="1"/>
  <c r="L2104" i="1"/>
  <c r="L2119" i="1"/>
  <c r="L2134" i="1"/>
  <c r="L2149" i="1"/>
  <c r="L2164" i="1"/>
  <c r="L2179" i="1"/>
  <c r="L2194" i="1"/>
  <c r="L2209" i="1"/>
  <c r="L2224" i="1"/>
  <c r="L2239" i="1"/>
  <c r="L2254" i="1"/>
  <c r="L2269" i="1"/>
  <c r="L2284" i="1"/>
  <c r="L2299" i="1"/>
  <c r="L2314" i="1"/>
  <c r="L2329" i="1"/>
  <c r="L2344" i="1"/>
  <c r="L2359" i="1"/>
  <c r="L2374" i="1"/>
  <c r="L2389" i="1"/>
  <c r="L2404" i="1"/>
  <c r="L2419" i="1"/>
  <c r="L2434" i="1"/>
  <c r="L2449" i="1"/>
  <c r="L2464" i="1"/>
  <c r="L2479" i="1"/>
  <c r="L2494" i="1"/>
  <c r="L2509" i="1"/>
  <c r="L2524" i="1"/>
  <c r="L2539" i="1"/>
  <c r="L2554" i="1"/>
  <c r="L2569" i="1"/>
  <c r="L2584" i="1"/>
  <c r="L2599" i="1"/>
  <c r="L2614" i="1"/>
  <c r="L2629" i="1"/>
  <c r="L2644" i="1"/>
  <c r="L2659" i="1"/>
  <c r="L2674" i="1"/>
  <c r="L2689" i="1"/>
  <c r="L2704" i="1"/>
  <c r="L2719" i="1"/>
  <c r="L2734" i="1"/>
  <c r="L2749" i="1"/>
  <c r="L2764" i="1"/>
  <c r="L2779" i="1"/>
  <c r="L2794" i="1"/>
  <c r="L2809" i="1"/>
  <c r="L2824" i="1"/>
  <c r="L2839" i="1"/>
  <c r="L2854" i="1"/>
  <c r="L2869" i="1"/>
  <c r="L2884" i="1"/>
  <c r="L2899" i="1"/>
  <c r="L2914" i="1"/>
  <c r="L2929" i="1"/>
  <c r="L2944" i="1"/>
  <c r="L2959" i="1"/>
  <c r="L2974" i="1"/>
  <c r="L2989" i="1"/>
  <c r="L3004" i="1"/>
  <c r="L3019" i="1"/>
  <c r="L3034" i="1"/>
  <c r="L3049" i="1"/>
  <c r="L3064" i="1"/>
  <c r="L3079" i="1"/>
  <c r="L3094" i="1"/>
  <c r="L3109" i="1"/>
  <c r="L3124" i="1"/>
  <c r="L3139" i="1"/>
  <c r="L3154" i="1"/>
  <c r="L3169" i="1"/>
  <c r="L3184" i="1"/>
  <c r="L3199" i="1"/>
  <c r="L3214" i="1"/>
  <c r="L3229" i="1"/>
  <c r="L3244" i="1"/>
  <c r="L3259" i="1"/>
  <c r="L3274" i="1"/>
  <c r="L3289" i="1"/>
  <c r="L3304" i="1"/>
  <c r="L3319" i="1"/>
  <c r="L3334" i="1"/>
  <c r="L3349" i="1"/>
  <c r="L3364" i="1"/>
  <c r="L3379" i="1"/>
  <c r="L3394" i="1"/>
  <c r="L3409" i="1"/>
  <c r="L3424" i="1"/>
  <c r="L3439" i="1"/>
  <c r="L3454" i="1"/>
  <c r="L3469" i="1"/>
  <c r="L3484" i="1"/>
  <c r="L3499" i="1"/>
  <c r="L3514" i="1"/>
  <c r="L3529" i="1"/>
  <c r="L3544" i="1"/>
  <c r="L3559" i="1"/>
  <c r="L3574" i="1"/>
  <c r="L3589" i="1"/>
  <c r="L3604" i="1"/>
  <c r="L3619" i="1"/>
  <c r="L3632" i="1"/>
  <c r="L3647" i="1"/>
  <c r="L3662" i="1"/>
  <c r="L3677" i="1"/>
  <c r="L5" i="1"/>
  <c r="L20" i="1"/>
  <c r="L35" i="1"/>
  <c r="L50" i="1"/>
  <c r="L65" i="1"/>
  <c r="L80" i="1"/>
  <c r="L95" i="1"/>
  <c r="L110" i="1"/>
  <c r="L125" i="1"/>
  <c r="L140" i="1"/>
  <c r="L155" i="1"/>
  <c r="L170" i="1"/>
  <c r="L185" i="1"/>
  <c r="L200" i="1"/>
  <c r="L215" i="1"/>
  <c r="L230" i="1"/>
  <c r="L245" i="1"/>
  <c r="L260" i="1"/>
  <c r="L275" i="1"/>
  <c r="L290" i="1"/>
  <c r="L305" i="1"/>
  <c r="L320" i="1"/>
  <c r="L335" i="1"/>
  <c r="L350" i="1"/>
  <c r="L365" i="1"/>
  <c r="L380" i="1"/>
  <c r="L395" i="1"/>
  <c r="L410" i="1"/>
  <c r="L425" i="1"/>
  <c r="L440" i="1"/>
  <c r="L455" i="1"/>
  <c r="L470" i="1"/>
  <c r="L485" i="1"/>
  <c r="L500" i="1"/>
  <c r="L515" i="1"/>
  <c r="L530" i="1"/>
  <c r="L545" i="1"/>
  <c r="L560" i="1"/>
  <c r="L575" i="1"/>
  <c r="L590" i="1"/>
  <c r="L605" i="1"/>
  <c r="L620" i="1"/>
  <c r="L635" i="1"/>
  <c r="L650" i="1"/>
  <c r="L665" i="1"/>
  <c r="L680" i="1"/>
  <c r="L695" i="1"/>
  <c r="L710" i="1"/>
  <c r="L725" i="1"/>
  <c r="L740" i="1"/>
  <c r="L755" i="1"/>
  <c r="L770" i="1"/>
  <c r="L785" i="1"/>
  <c r="L800" i="1"/>
  <c r="L815" i="1"/>
  <c r="L830" i="1"/>
  <c r="L845" i="1"/>
  <c r="L860" i="1"/>
  <c r="L875" i="1"/>
  <c r="L890" i="1"/>
  <c r="L905" i="1"/>
  <c r="L920" i="1"/>
  <c r="L935" i="1"/>
  <c r="L950" i="1"/>
  <c r="L965" i="1"/>
  <c r="L980" i="1"/>
  <c r="L995" i="1"/>
  <c r="L1010" i="1"/>
  <c r="L1025" i="1"/>
  <c r="L1040" i="1"/>
  <c r="L1055" i="1"/>
  <c r="L1070" i="1"/>
  <c r="L1085" i="1"/>
  <c r="L1100" i="1"/>
  <c r="L1115" i="1"/>
  <c r="L1130" i="1"/>
  <c r="L1145" i="1"/>
  <c r="L1160" i="1"/>
  <c r="L1175" i="1"/>
  <c r="L1190" i="1"/>
  <c r="L1205" i="1"/>
  <c r="L1220" i="1"/>
  <c r="L1235" i="1"/>
  <c r="L1250" i="1"/>
  <c r="L1265" i="1"/>
  <c r="L1280" i="1"/>
  <c r="L1295" i="1"/>
  <c r="L1310" i="1"/>
  <c r="L1325" i="1"/>
  <c r="L1340" i="1"/>
  <c r="L1355" i="1"/>
  <c r="L1370" i="1"/>
  <c r="L1385" i="1"/>
  <c r="L1400" i="1"/>
  <c r="L1415" i="1"/>
  <c r="L1430" i="1"/>
  <c r="L1445" i="1"/>
  <c r="L1460" i="1"/>
  <c r="L1475" i="1"/>
  <c r="L1490" i="1"/>
  <c r="L1505" i="1"/>
  <c r="L1520" i="1"/>
  <c r="L1535" i="1"/>
  <c r="L1550" i="1"/>
  <c r="L1565" i="1"/>
  <c r="L1580" i="1"/>
  <c r="L1595" i="1"/>
  <c r="L1610" i="1"/>
  <c r="L1625" i="1"/>
  <c r="L1640" i="1"/>
  <c r="L1655" i="1"/>
  <c r="L1670" i="1"/>
  <c r="L1685" i="1"/>
  <c r="L1700" i="1"/>
  <c r="L1715" i="1"/>
  <c r="L1730" i="1"/>
  <c r="L1745" i="1"/>
  <c r="L1760" i="1"/>
  <c r="L1775" i="1"/>
  <c r="L1790" i="1"/>
  <c r="L1805" i="1"/>
  <c r="L1820" i="1"/>
  <c r="L1835" i="1"/>
  <c r="L1850" i="1"/>
  <c r="L1865" i="1"/>
  <c r="L1880" i="1"/>
  <c r="L1895" i="1"/>
  <c r="L1910" i="1"/>
  <c r="L1925" i="1"/>
  <c r="L1940" i="1"/>
  <c r="L1955" i="1"/>
  <c r="L1970" i="1"/>
  <c r="L1985" i="1"/>
  <c r="L2000" i="1"/>
  <c r="L2015" i="1"/>
  <c r="L2030" i="1"/>
  <c r="L2045" i="1"/>
  <c r="L2060" i="1"/>
  <c r="L2075" i="1"/>
  <c r="L2090" i="1"/>
  <c r="L2105" i="1"/>
  <c r="L2120" i="1"/>
  <c r="L2135" i="1"/>
  <c r="L2150" i="1"/>
  <c r="L2165" i="1"/>
  <c r="L2180" i="1"/>
  <c r="L2195" i="1"/>
  <c r="L2210" i="1"/>
  <c r="L2225" i="1"/>
  <c r="L2240" i="1"/>
  <c r="L2255" i="1"/>
  <c r="L2270" i="1"/>
  <c r="L2285" i="1"/>
  <c r="L2300" i="1"/>
  <c r="L2315" i="1"/>
  <c r="L2330" i="1"/>
  <c r="L2345" i="1"/>
  <c r="L2360" i="1"/>
  <c r="L2375" i="1"/>
  <c r="L2390" i="1"/>
  <c r="L2405" i="1"/>
  <c r="L2420" i="1"/>
  <c r="L2435" i="1"/>
  <c r="L2450" i="1"/>
  <c r="L2465" i="1"/>
  <c r="L2480" i="1"/>
  <c r="L2495" i="1"/>
  <c r="L2510" i="1"/>
  <c r="L2525" i="1"/>
  <c r="L2540" i="1"/>
  <c r="L2555" i="1"/>
  <c r="L2570" i="1"/>
  <c r="L2585" i="1"/>
  <c r="L2600" i="1"/>
  <c r="L2615" i="1"/>
  <c r="L2630" i="1"/>
  <c r="L2645" i="1"/>
  <c r="L2660" i="1"/>
  <c r="L2675" i="1"/>
  <c r="L2690" i="1"/>
  <c r="L2705" i="1"/>
  <c r="L2720" i="1"/>
  <c r="L2735" i="1"/>
  <c r="L2750" i="1"/>
  <c r="L2765" i="1"/>
  <c r="L2780" i="1"/>
  <c r="L2795" i="1"/>
  <c r="L2810" i="1"/>
  <c r="L2825" i="1"/>
  <c r="L2840" i="1"/>
  <c r="L2855" i="1"/>
  <c r="L2870" i="1"/>
  <c r="L2885" i="1"/>
  <c r="L2900" i="1"/>
  <c r="L2915" i="1"/>
  <c r="L2930" i="1"/>
  <c r="L2945" i="1"/>
  <c r="L2960" i="1"/>
  <c r="L2975" i="1"/>
  <c r="L2990" i="1"/>
  <c r="L3005" i="1"/>
  <c r="L3020" i="1"/>
  <c r="L3035" i="1"/>
  <c r="L3050" i="1"/>
  <c r="L3065" i="1"/>
  <c r="L3080" i="1"/>
  <c r="L3095" i="1"/>
  <c r="L3110" i="1"/>
  <c r="L3125" i="1"/>
  <c r="L3140" i="1"/>
  <c r="L3155" i="1"/>
  <c r="L3170" i="1"/>
  <c r="L3185" i="1"/>
  <c r="L3200" i="1"/>
  <c r="L3215" i="1"/>
  <c r="L3230" i="1"/>
  <c r="L3245" i="1"/>
  <c r="L3260" i="1"/>
  <c r="L3275" i="1"/>
  <c r="L3290" i="1"/>
  <c r="L3305" i="1"/>
  <c r="L3320" i="1"/>
  <c r="L3335" i="1"/>
  <c r="L3350" i="1"/>
  <c r="L3365" i="1"/>
  <c r="L3380" i="1"/>
  <c r="L3395" i="1"/>
  <c r="L3410" i="1"/>
  <c r="L3425" i="1"/>
  <c r="L3440" i="1"/>
  <c r="L3455" i="1"/>
  <c r="L3470" i="1"/>
  <c r="L3485" i="1"/>
  <c r="L3500" i="1"/>
  <c r="L3515" i="1"/>
  <c r="L3530" i="1"/>
  <c r="L3545" i="1"/>
  <c r="L3560" i="1"/>
  <c r="L3575" i="1"/>
  <c r="L3590" i="1"/>
  <c r="L3605" i="1"/>
  <c r="L3620" i="1"/>
  <c r="L3633" i="1"/>
  <c r="L3648" i="1"/>
  <c r="L3663" i="1"/>
  <c r="L3678" i="1"/>
  <c r="L6" i="1"/>
  <c r="L21" i="1"/>
  <c r="L36" i="1"/>
  <c r="L51" i="1"/>
  <c r="L66" i="1"/>
  <c r="L81" i="1"/>
  <c r="L96" i="1"/>
  <c r="L111" i="1"/>
  <c r="L126" i="1"/>
  <c r="L141" i="1"/>
  <c r="L156" i="1"/>
  <c r="L171" i="1"/>
  <c r="L186" i="1"/>
  <c r="L201" i="1"/>
  <c r="L216" i="1"/>
  <c r="L231" i="1"/>
  <c r="L246" i="1"/>
  <c r="L261" i="1"/>
  <c r="L276" i="1"/>
  <c r="L291" i="1"/>
  <c r="L306" i="1"/>
  <c r="L321" i="1"/>
  <c r="L336" i="1"/>
  <c r="L351" i="1"/>
  <c r="L366" i="1"/>
  <c r="L381" i="1"/>
  <c r="L396" i="1"/>
  <c r="L411" i="1"/>
  <c r="L426" i="1"/>
  <c r="L441" i="1"/>
  <c r="L456" i="1"/>
  <c r="L471" i="1"/>
  <c r="L486" i="1"/>
  <c r="L501" i="1"/>
  <c r="L516" i="1"/>
  <c r="L531" i="1"/>
  <c r="L546" i="1"/>
  <c r="L561" i="1"/>
  <c r="L576" i="1"/>
  <c r="L591" i="1"/>
  <c r="L606" i="1"/>
  <c r="L621" i="1"/>
  <c r="L636" i="1"/>
  <c r="L651" i="1"/>
  <c r="L666" i="1"/>
  <c r="L681" i="1"/>
  <c r="L696" i="1"/>
  <c r="L711" i="1"/>
  <c r="L726" i="1"/>
  <c r="L741" i="1"/>
  <c r="L756" i="1"/>
  <c r="L771" i="1"/>
  <c r="L786" i="1"/>
  <c r="L801" i="1"/>
  <c r="L816" i="1"/>
  <c r="L831" i="1"/>
  <c r="L846" i="1"/>
  <c r="L861" i="1"/>
  <c r="L876" i="1"/>
  <c r="L891" i="1"/>
  <c r="L906" i="1"/>
  <c r="L921" i="1"/>
  <c r="L936" i="1"/>
  <c r="L951" i="1"/>
  <c r="L966" i="1"/>
  <c r="L981" i="1"/>
  <c r="L996" i="1"/>
  <c r="L1011" i="1"/>
  <c r="L1026" i="1"/>
  <c r="L1041" i="1"/>
  <c r="L1056" i="1"/>
  <c r="L1071" i="1"/>
  <c r="L1086" i="1"/>
  <c r="L1101" i="1"/>
  <c r="L1116" i="1"/>
  <c r="L1131" i="1"/>
  <c r="L1146" i="1"/>
  <c r="L1161" i="1"/>
  <c r="L1176" i="1"/>
  <c r="L1191" i="1"/>
  <c r="L1206" i="1"/>
  <c r="L1221" i="1"/>
  <c r="L1236" i="1"/>
  <c r="L1251" i="1"/>
  <c r="L1266" i="1"/>
  <c r="L1281" i="1"/>
  <c r="L1296" i="1"/>
  <c r="L1311" i="1"/>
  <c r="L1326" i="1"/>
  <c r="L1341" i="1"/>
  <c r="L1356" i="1"/>
  <c r="L1371" i="1"/>
  <c r="L1386" i="1"/>
  <c r="L1401" i="1"/>
  <c r="L1416" i="1"/>
  <c r="L1431" i="1"/>
  <c r="L1446" i="1"/>
  <c r="L1461" i="1"/>
  <c r="L1476" i="1"/>
  <c r="L1491" i="1"/>
  <c r="L1506" i="1"/>
  <c r="L1521" i="1"/>
  <c r="L1536" i="1"/>
  <c r="L1551" i="1"/>
  <c r="L1566" i="1"/>
  <c r="L1581" i="1"/>
  <c r="L1596" i="1"/>
  <c r="L1611" i="1"/>
  <c r="L1626" i="1"/>
  <c r="L1641" i="1"/>
  <c r="L1656" i="1"/>
  <c r="L1671" i="1"/>
  <c r="L1686" i="1"/>
  <c r="L1701" i="1"/>
  <c r="L1716" i="1"/>
  <c r="L1731" i="1"/>
  <c r="L1746" i="1"/>
  <c r="L1761" i="1"/>
  <c r="L1776" i="1"/>
  <c r="L1791" i="1"/>
  <c r="L1806" i="1"/>
  <c r="L1821" i="1"/>
  <c r="L1836" i="1"/>
  <c r="L1851" i="1"/>
  <c r="L1866" i="1"/>
  <c r="L1881" i="1"/>
  <c r="L1896" i="1"/>
  <c r="L1911" i="1"/>
  <c r="L1926" i="1"/>
  <c r="L1941" i="1"/>
  <c r="L1956" i="1"/>
  <c r="L1971" i="1"/>
  <c r="L1986" i="1"/>
  <c r="L2001" i="1"/>
  <c r="L2016" i="1"/>
  <c r="L2031" i="1"/>
  <c r="L2046" i="1"/>
  <c r="L2061" i="1"/>
  <c r="L2076" i="1"/>
  <c r="L2091" i="1"/>
  <c r="L2106" i="1"/>
  <c r="L2121" i="1"/>
  <c r="L2136" i="1"/>
  <c r="L2151" i="1"/>
  <c r="L2166" i="1"/>
  <c r="L2181" i="1"/>
  <c r="L2196" i="1"/>
  <c r="L2211" i="1"/>
  <c r="L2226" i="1"/>
  <c r="L2241" i="1"/>
  <c r="L2256" i="1"/>
  <c r="L2271" i="1"/>
  <c r="L2286" i="1"/>
  <c r="L2301" i="1"/>
  <c r="L2316" i="1"/>
  <c r="L2331" i="1"/>
  <c r="L2346" i="1"/>
  <c r="L2361" i="1"/>
  <c r="L2376" i="1"/>
  <c r="L2391" i="1"/>
  <c r="L2406" i="1"/>
  <c r="L2421" i="1"/>
  <c r="L2436" i="1"/>
  <c r="L2451" i="1"/>
  <c r="L2466" i="1"/>
  <c r="L2481" i="1"/>
  <c r="L2496" i="1"/>
  <c r="L2511" i="1"/>
  <c r="L2526" i="1"/>
  <c r="L2541" i="1"/>
  <c r="L2556" i="1"/>
  <c r="L2571" i="1"/>
  <c r="L2586" i="1"/>
  <c r="L2601" i="1"/>
  <c r="L2616" i="1"/>
  <c r="L2631" i="1"/>
  <c r="L2646" i="1"/>
  <c r="L2661" i="1"/>
  <c r="L2676" i="1"/>
  <c r="L2691" i="1"/>
  <c r="L2706" i="1"/>
  <c r="L2721" i="1"/>
  <c r="L2736" i="1"/>
  <c r="L2751" i="1"/>
  <c r="L2766" i="1"/>
  <c r="L2781" i="1"/>
  <c r="L2796" i="1"/>
  <c r="L2811" i="1"/>
  <c r="L2826" i="1"/>
  <c r="L2841" i="1"/>
  <c r="L2856" i="1"/>
  <c r="L2871" i="1"/>
  <c r="L2886" i="1"/>
  <c r="L2901" i="1"/>
  <c r="L2916" i="1"/>
  <c r="L2931" i="1"/>
  <c r="L2946" i="1"/>
  <c r="L2961" i="1"/>
  <c r="L2976" i="1"/>
  <c r="L2991" i="1"/>
  <c r="L3006" i="1"/>
  <c r="L3021" i="1"/>
  <c r="L3036" i="1"/>
  <c r="L3051" i="1"/>
  <c r="L3066" i="1"/>
  <c r="L3081" i="1"/>
  <c r="L3096" i="1"/>
  <c r="L3111" i="1"/>
  <c r="L3126" i="1"/>
  <c r="L3141" i="1"/>
  <c r="L3156" i="1"/>
  <c r="L3171" i="1"/>
  <c r="L3186" i="1"/>
  <c r="L3201" i="1"/>
  <c r="L3216" i="1"/>
  <c r="L3231" i="1"/>
  <c r="L3246" i="1"/>
  <c r="L3261" i="1"/>
  <c r="L3276" i="1"/>
  <c r="L3291" i="1"/>
  <c r="L3306" i="1"/>
  <c r="L3321" i="1"/>
  <c r="L3336" i="1"/>
  <c r="L3351" i="1"/>
  <c r="L3366" i="1"/>
  <c r="L3381" i="1"/>
  <c r="L3396" i="1"/>
  <c r="L3411" i="1"/>
  <c r="L3426" i="1"/>
  <c r="L3441" i="1"/>
  <c r="L3456" i="1"/>
  <c r="L3471" i="1"/>
  <c r="L3486" i="1"/>
  <c r="L3501" i="1"/>
  <c r="L3516" i="1"/>
  <c r="L3531" i="1"/>
  <c r="L3546" i="1"/>
  <c r="L3561" i="1"/>
  <c r="L3576" i="1"/>
  <c r="L3591" i="1"/>
  <c r="L3606" i="1"/>
  <c r="L3621" i="1"/>
  <c r="L3634" i="1"/>
  <c r="L3649" i="1"/>
  <c r="L3664" i="1"/>
  <c r="L3679" i="1"/>
  <c r="L7" i="1"/>
  <c r="L22" i="1"/>
  <c r="L37" i="1"/>
  <c r="L52" i="1"/>
  <c r="L67" i="1"/>
  <c r="L82" i="1"/>
  <c r="L97" i="1"/>
  <c r="L112" i="1"/>
  <c r="L127" i="1"/>
  <c r="L142" i="1"/>
  <c r="L157" i="1"/>
  <c r="L172" i="1"/>
  <c r="L187" i="1"/>
  <c r="L202" i="1"/>
  <c r="L217" i="1"/>
  <c r="L232" i="1"/>
  <c r="L247" i="1"/>
  <c r="L262" i="1"/>
  <c r="L277" i="1"/>
  <c r="L292" i="1"/>
  <c r="L307" i="1"/>
  <c r="L322" i="1"/>
  <c r="L337" i="1"/>
  <c r="L352" i="1"/>
  <c r="L367" i="1"/>
  <c r="L382" i="1"/>
  <c r="L397" i="1"/>
  <c r="L412" i="1"/>
  <c r="L427" i="1"/>
  <c r="L442" i="1"/>
  <c r="L457" i="1"/>
  <c r="L472" i="1"/>
  <c r="L487" i="1"/>
  <c r="L502" i="1"/>
  <c r="L517" i="1"/>
  <c r="L532" i="1"/>
  <c r="L547" i="1"/>
  <c r="L562" i="1"/>
  <c r="L577" i="1"/>
  <c r="L592" i="1"/>
  <c r="L607" i="1"/>
  <c r="L622" i="1"/>
  <c r="L637" i="1"/>
  <c r="L652" i="1"/>
  <c r="L667" i="1"/>
  <c r="L682" i="1"/>
  <c r="L697" i="1"/>
  <c r="L712" i="1"/>
  <c r="L727" i="1"/>
  <c r="L742" i="1"/>
  <c r="L757" i="1"/>
  <c r="L772" i="1"/>
  <c r="L787" i="1"/>
  <c r="L802" i="1"/>
  <c r="L817" i="1"/>
  <c r="L832" i="1"/>
  <c r="L847" i="1"/>
  <c r="L862" i="1"/>
  <c r="L877" i="1"/>
  <c r="L892" i="1"/>
  <c r="L907" i="1"/>
  <c r="L922" i="1"/>
  <c r="L937" i="1"/>
  <c r="L952" i="1"/>
  <c r="L967" i="1"/>
  <c r="L982" i="1"/>
  <c r="L997" i="1"/>
  <c r="L1012" i="1"/>
  <c r="L1027" i="1"/>
  <c r="L1042" i="1"/>
  <c r="L1057" i="1"/>
  <c r="L1072" i="1"/>
  <c r="L1087" i="1"/>
  <c r="L1102" i="1"/>
  <c r="L1117" i="1"/>
  <c r="L1132" i="1"/>
  <c r="L1147" i="1"/>
  <c r="L1162" i="1"/>
  <c r="L1177" i="1"/>
  <c r="L1192" i="1"/>
  <c r="L1207" i="1"/>
  <c r="L1222" i="1"/>
  <c r="L1237" i="1"/>
  <c r="L1252" i="1"/>
  <c r="L1267" i="1"/>
  <c r="L1282" i="1"/>
  <c r="L1297" i="1"/>
  <c r="L1312" i="1"/>
  <c r="L1327" i="1"/>
  <c r="L1342" i="1"/>
  <c r="L1357" i="1"/>
  <c r="L1372" i="1"/>
  <c r="L1387" i="1"/>
  <c r="L1402" i="1"/>
  <c r="L1417" i="1"/>
  <c r="L1432" i="1"/>
  <c r="L1447" i="1"/>
  <c r="L1462" i="1"/>
  <c r="L1477" i="1"/>
  <c r="L1492" i="1"/>
  <c r="L1507" i="1"/>
  <c r="L1522" i="1"/>
  <c r="L1537" i="1"/>
  <c r="L1552" i="1"/>
  <c r="L1567" i="1"/>
  <c r="L1582" i="1"/>
  <c r="L1597" i="1"/>
  <c r="L1612" i="1"/>
  <c r="L1627" i="1"/>
  <c r="L1642" i="1"/>
  <c r="L1657" i="1"/>
  <c r="L1672" i="1"/>
  <c r="L1687" i="1"/>
  <c r="L1702" i="1"/>
  <c r="L1717" i="1"/>
  <c r="L1732" i="1"/>
  <c r="L1747" i="1"/>
  <c r="L1762" i="1"/>
  <c r="L1777" i="1"/>
  <c r="L1792" i="1"/>
  <c r="L1807" i="1"/>
  <c r="L1822" i="1"/>
  <c r="L1837" i="1"/>
  <c r="L1852" i="1"/>
  <c r="L1867" i="1"/>
  <c r="L1882" i="1"/>
  <c r="L1897" i="1"/>
  <c r="L1912" i="1"/>
  <c r="L1927" i="1"/>
  <c r="L1942" i="1"/>
  <c r="L1957" i="1"/>
  <c r="L1972" i="1"/>
  <c r="L1987" i="1"/>
  <c r="L2002" i="1"/>
  <c r="L2017" i="1"/>
  <c r="L2032" i="1"/>
  <c r="L2047" i="1"/>
  <c r="L2062" i="1"/>
  <c r="L2077" i="1"/>
  <c r="L2092" i="1"/>
  <c r="L2107" i="1"/>
  <c r="L2122" i="1"/>
  <c r="L2137" i="1"/>
  <c r="L2152" i="1"/>
  <c r="L2167" i="1"/>
  <c r="L2182" i="1"/>
  <c r="L2197" i="1"/>
  <c r="L2212" i="1"/>
  <c r="L2227" i="1"/>
  <c r="L2242" i="1"/>
  <c r="L2257" i="1"/>
  <c r="L2272" i="1"/>
  <c r="L2287" i="1"/>
  <c r="L2302" i="1"/>
  <c r="L2317" i="1"/>
  <c r="L2332" i="1"/>
  <c r="L2347" i="1"/>
  <c r="L2362" i="1"/>
  <c r="L2377" i="1"/>
  <c r="L2392" i="1"/>
  <c r="L2407" i="1"/>
  <c r="L2422" i="1"/>
  <c r="L2437" i="1"/>
  <c r="L2452" i="1"/>
  <c r="L2467" i="1"/>
  <c r="L2482" i="1"/>
  <c r="L2497" i="1"/>
  <c r="L2512" i="1"/>
  <c r="L2527" i="1"/>
  <c r="L2542" i="1"/>
  <c r="L2557" i="1"/>
  <c r="L2572" i="1"/>
  <c r="L2587" i="1"/>
  <c r="L2602" i="1"/>
  <c r="L2617" i="1"/>
  <c r="L2632" i="1"/>
  <c r="L2647" i="1"/>
  <c r="L2662" i="1"/>
  <c r="L2677" i="1"/>
  <c r="L2692" i="1"/>
  <c r="L2707" i="1"/>
  <c r="L2722" i="1"/>
  <c r="L2737" i="1"/>
  <c r="L2752" i="1"/>
  <c r="L2767" i="1"/>
  <c r="L2782" i="1"/>
  <c r="L2797" i="1"/>
  <c r="L2812" i="1"/>
  <c r="L2827" i="1"/>
  <c r="L2842" i="1"/>
  <c r="L2857" i="1"/>
  <c r="L2872" i="1"/>
  <c r="L2887" i="1"/>
  <c r="L2902" i="1"/>
  <c r="L2917" i="1"/>
  <c r="L2932" i="1"/>
  <c r="L2947" i="1"/>
  <c r="L2962" i="1"/>
  <c r="L2977" i="1"/>
  <c r="L2992" i="1"/>
  <c r="L3007" i="1"/>
  <c r="L3022" i="1"/>
  <c r="L3037" i="1"/>
  <c r="L3052" i="1"/>
  <c r="L3067" i="1"/>
  <c r="L3082" i="1"/>
  <c r="L3097" i="1"/>
  <c r="L3112" i="1"/>
  <c r="L3127" i="1"/>
  <c r="L3142" i="1"/>
  <c r="L3157" i="1"/>
  <c r="L3172" i="1"/>
  <c r="L3187" i="1"/>
  <c r="L3202" i="1"/>
  <c r="L3217" i="1"/>
  <c r="L3232" i="1"/>
  <c r="L3247" i="1"/>
  <c r="L3262" i="1"/>
  <c r="L3277" i="1"/>
  <c r="L3292" i="1"/>
  <c r="L3307" i="1"/>
  <c r="L3322" i="1"/>
  <c r="L3337" i="1"/>
  <c r="L3352" i="1"/>
  <c r="L3367" i="1"/>
  <c r="L3382" i="1"/>
  <c r="L3397" i="1"/>
  <c r="L3412" i="1"/>
  <c r="L3427" i="1"/>
  <c r="L3442" i="1"/>
  <c r="L3457" i="1"/>
  <c r="L3472" i="1"/>
  <c r="L3487" i="1"/>
  <c r="L3502" i="1"/>
  <c r="L3517" i="1"/>
  <c r="L3532" i="1"/>
  <c r="L3547" i="1"/>
  <c r="L3562" i="1"/>
  <c r="L3577" i="1"/>
  <c r="L3592" i="1"/>
  <c r="L3607" i="1"/>
  <c r="L3622" i="1"/>
  <c r="L3635" i="1"/>
  <c r="L3650" i="1"/>
  <c r="L3665" i="1"/>
  <c r="L3680" i="1"/>
  <c r="L8" i="1"/>
  <c r="L23" i="1"/>
  <c r="L38" i="1"/>
  <c r="L53" i="1"/>
  <c r="L68" i="1"/>
  <c r="L83" i="1"/>
  <c r="L98" i="1"/>
  <c r="L113" i="1"/>
  <c r="L128" i="1"/>
  <c r="L143" i="1"/>
  <c r="L158" i="1"/>
  <c r="L173" i="1"/>
  <c r="L188" i="1"/>
  <c r="L203" i="1"/>
  <c r="L218" i="1"/>
  <c r="L233" i="1"/>
  <c r="L248" i="1"/>
  <c r="L263" i="1"/>
  <c r="L278" i="1"/>
  <c r="L293" i="1"/>
  <c r="L308" i="1"/>
  <c r="L323" i="1"/>
  <c r="L338" i="1"/>
  <c r="L353" i="1"/>
  <c r="L368" i="1"/>
  <c r="L383" i="1"/>
  <c r="L398" i="1"/>
  <c r="L413" i="1"/>
  <c r="L428" i="1"/>
  <c r="L443" i="1"/>
  <c r="L458" i="1"/>
  <c r="L473" i="1"/>
  <c r="L488" i="1"/>
  <c r="L503" i="1"/>
  <c r="L518" i="1"/>
  <c r="L533" i="1"/>
  <c r="L548" i="1"/>
  <c r="L563" i="1"/>
  <c r="L578" i="1"/>
  <c r="L593" i="1"/>
  <c r="L608" i="1"/>
  <c r="L623" i="1"/>
  <c r="L638" i="1"/>
  <c r="L653" i="1"/>
  <c r="L668" i="1"/>
  <c r="L683" i="1"/>
  <c r="L698" i="1"/>
  <c r="L713" i="1"/>
  <c r="L728" i="1"/>
  <c r="L743" i="1"/>
  <c r="L758" i="1"/>
  <c r="L773" i="1"/>
  <c r="L788" i="1"/>
  <c r="L803" i="1"/>
  <c r="L818" i="1"/>
  <c r="L833" i="1"/>
  <c r="L848" i="1"/>
  <c r="L863" i="1"/>
  <c r="L878" i="1"/>
  <c r="L893" i="1"/>
  <c r="L908" i="1"/>
  <c r="L923" i="1"/>
  <c r="L938" i="1"/>
  <c r="L953" i="1"/>
  <c r="L968" i="1"/>
  <c r="L983" i="1"/>
  <c r="L998" i="1"/>
  <c r="L1013" i="1"/>
  <c r="L1028" i="1"/>
  <c r="L1043" i="1"/>
  <c r="L1058" i="1"/>
  <c r="L1073" i="1"/>
  <c r="L1088" i="1"/>
  <c r="L1103" i="1"/>
  <c r="L1118" i="1"/>
  <c r="L1133" i="1"/>
  <c r="L1148" i="1"/>
  <c r="L1163" i="1"/>
  <c r="L1178" i="1"/>
  <c r="L1193" i="1"/>
  <c r="L1208" i="1"/>
  <c r="L1223" i="1"/>
  <c r="L1238" i="1"/>
  <c r="L1253" i="1"/>
  <c r="L1268" i="1"/>
  <c r="L1283" i="1"/>
  <c r="L1298" i="1"/>
  <c r="L1313" i="1"/>
  <c r="L1328" i="1"/>
  <c r="L1343" i="1"/>
  <c r="L1358" i="1"/>
  <c r="L1373" i="1"/>
  <c r="L1388" i="1"/>
  <c r="L1403" i="1"/>
  <c r="L1418" i="1"/>
  <c r="L1433" i="1"/>
  <c r="L1448" i="1"/>
  <c r="L1463" i="1"/>
  <c r="L1478" i="1"/>
  <c r="L1493" i="1"/>
  <c r="L1508" i="1"/>
  <c r="L1523" i="1"/>
  <c r="L1538" i="1"/>
  <c r="L1553" i="1"/>
  <c r="L1568" i="1"/>
  <c r="L1583" i="1"/>
  <c r="L1598" i="1"/>
  <c r="L1613" i="1"/>
  <c r="L1628" i="1"/>
  <c r="L1643" i="1"/>
  <c r="L1658" i="1"/>
  <c r="L1673" i="1"/>
  <c r="L1688" i="1"/>
  <c r="L1703" i="1"/>
  <c r="L1718" i="1"/>
  <c r="L1733" i="1"/>
  <c r="L1748" i="1"/>
  <c r="L1763" i="1"/>
  <c r="L1778" i="1"/>
  <c r="L1793" i="1"/>
  <c r="L1808" i="1"/>
  <c r="L1823" i="1"/>
  <c r="L1838" i="1"/>
  <c r="L1853" i="1"/>
  <c r="L1868" i="1"/>
  <c r="L1883" i="1"/>
  <c r="L1898" i="1"/>
  <c r="L1913" i="1"/>
  <c r="L1928" i="1"/>
  <c r="L1943" i="1"/>
  <c r="L1958" i="1"/>
  <c r="L1973" i="1"/>
  <c r="L1988" i="1"/>
  <c r="L2003" i="1"/>
  <c r="L2018" i="1"/>
  <c r="L2033" i="1"/>
  <c r="L2048" i="1"/>
  <c r="L2063" i="1"/>
  <c r="L2078" i="1"/>
  <c r="L2093" i="1"/>
  <c r="L2108" i="1"/>
  <c r="L2123" i="1"/>
  <c r="L2138" i="1"/>
  <c r="L2153" i="1"/>
  <c r="L2168" i="1"/>
  <c r="L2183" i="1"/>
  <c r="L2198" i="1"/>
  <c r="L2213" i="1"/>
  <c r="L2228" i="1"/>
  <c r="L2243" i="1"/>
  <c r="L2258" i="1"/>
  <c r="L2273" i="1"/>
  <c r="L2288" i="1"/>
  <c r="L2303" i="1"/>
  <c r="L2318" i="1"/>
  <c r="L2333" i="1"/>
  <c r="L2348" i="1"/>
  <c r="L2363" i="1"/>
  <c r="L2378" i="1"/>
  <c r="L2393" i="1"/>
  <c r="L2408" i="1"/>
  <c r="L2423" i="1"/>
  <c r="L2438" i="1"/>
  <c r="L2453" i="1"/>
  <c r="L2468" i="1"/>
  <c r="L2483" i="1"/>
  <c r="L2498" i="1"/>
  <c r="L2513" i="1"/>
  <c r="L2528" i="1"/>
  <c r="L2543" i="1"/>
  <c r="L2558" i="1"/>
  <c r="L2573" i="1"/>
  <c r="L2588" i="1"/>
  <c r="L2603" i="1"/>
  <c r="L2618" i="1"/>
  <c r="L2633" i="1"/>
  <c r="L2648" i="1"/>
  <c r="L2663" i="1"/>
  <c r="L2678" i="1"/>
  <c r="L2693" i="1"/>
  <c r="L2708" i="1"/>
  <c r="L2723" i="1"/>
  <c r="L2738" i="1"/>
  <c r="L2753" i="1"/>
  <c r="L2768" i="1"/>
  <c r="L2783" i="1"/>
  <c r="L2798" i="1"/>
  <c r="L2813" i="1"/>
  <c r="L2828" i="1"/>
  <c r="L2843" i="1"/>
  <c r="L2858" i="1"/>
  <c r="L2873" i="1"/>
  <c r="L2888" i="1"/>
  <c r="L2903" i="1"/>
  <c r="L2918" i="1"/>
  <c r="L2933" i="1"/>
  <c r="L2948" i="1"/>
  <c r="L2963" i="1"/>
  <c r="L2978" i="1"/>
  <c r="L2993" i="1"/>
  <c r="L3008" i="1"/>
  <c r="L3023" i="1"/>
  <c r="L3038" i="1"/>
  <c r="L3053" i="1"/>
  <c r="L3068" i="1"/>
  <c r="L3083" i="1"/>
  <c r="L3098" i="1"/>
  <c r="L3113" i="1"/>
  <c r="L3128" i="1"/>
  <c r="L3143" i="1"/>
  <c r="L3158" i="1"/>
  <c r="L3173" i="1"/>
  <c r="L3188" i="1"/>
  <c r="L3203" i="1"/>
  <c r="L3218" i="1"/>
  <c r="L3233" i="1"/>
  <c r="L3248" i="1"/>
  <c r="L3263" i="1"/>
  <c r="L3278" i="1"/>
  <c r="L3293" i="1"/>
  <c r="L3308" i="1"/>
  <c r="L3323" i="1"/>
  <c r="L3338" i="1"/>
  <c r="L3353" i="1"/>
  <c r="L3368" i="1"/>
  <c r="L3383" i="1"/>
  <c r="L3398" i="1"/>
  <c r="L3413" i="1"/>
  <c r="L3428" i="1"/>
  <c r="L3443" i="1"/>
  <c r="L3458" i="1"/>
  <c r="L3473" i="1"/>
  <c r="L3488" i="1"/>
  <c r="L3503" i="1"/>
  <c r="L3518" i="1"/>
  <c r="L3533" i="1"/>
  <c r="L3548" i="1"/>
  <c r="L3563" i="1"/>
  <c r="L3578" i="1"/>
  <c r="L3593" i="1"/>
  <c r="L3608" i="1"/>
  <c r="L3623" i="1"/>
  <c r="L3636" i="1"/>
  <c r="L3651" i="1"/>
  <c r="L3666" i="1"/>
  <c r="L3681" i="1"/>
  <c r="L9" i="1"/>
  <c r="L24" i="1"/>
  <c r="L39" i="1"/>
  <c r="L54" i="1"/>
  <c r="L69" i="1"/>
  <c r="L84" i="1"/>
  <c r="L99" i="1"/>
  <c r="L114" i="1"/>
  <c r="L129" i="1"/>
  <c r="L144" i="1"/>
  <c r="L159" i="1"/>
  <c r="L174" i="1"/>
  <c r="L189" i="1"/>
  <c r="L204" i="1"/>
  <c r="L219" i="1"/>
  <c r="L234" i="1"/>
  <c r="L249" i="1"/>
  <c r="L264" i="1"/>
  <c r="L279" i="1"/>
  <c r="L294" i="1"/>
  <c r="L309" i="1"/>
  <c r="L324" i="1"/>
  <c r="L339" i="1"/>
  <c r="L354" i="1"/>
  <c r="L369" i="1"/>
  <c r="L384" i="1"/>
  <c r="L399" i="1"/>
  <c r="L414" i="1"/>
  <c r="L429" i="1"/>
  <c r="L444" i="1"/>
  <c r="L459" i="1"/>
  <c r="L474" i="1"/>
  <c r="L489" i="1"/>
  <c r="L504" i="1"/>
  <c r="L519" i="1"/>
  <c r="L534" i="1"/>
  <c r="L549" i="1"/>
  <c r="L564" i="1"/>
  <c r="L579" i="1"/>
  <c r="L594" i="1"/>
  <c r="L609" i="1"/>
  <c r="L624" i="1"/>
  <c r="L639" i="1"/>
  <c r="L654" i="1"/>
  <c r="L669" i="1"/>
  <c r="L684" i="1"/>
  <c r="L699" i="1"/>
  <c r="L714" i="1"/>
  <c r="L729" i="1"/>
  <c r="L744" i="1"/>
  <c r="L759" i="1"/>
  <c r="L774" i="1"/>
  <c r="L789" i="1"/>
  <c r="L804" i="1"/>
  <c r="L819" i="1"/>
  <c r="L834" i="1"/>
  <c r="L849" i="1"/>
  <c r="L864" i="1"/>
  <c r="L879" i="1"/>
  <c r="L894" i="1"/>
  <c r="L909" i="1"/>
  <c r="L924" i="1"/>
  <c r="L939" i="1"/>
  <c r="L954" i="1"/>
  <c r="L969" i="1"/>
  <c r="L984" i="1"/>
  <c r="L999" i="1"/>
  <c r="L1014" i="1"/>
  <c r="L1029" i="1"/>
  <c r="L1044" i="1"/>
  <c r="L1059" i="1"/>
  <c r="L1074" i="1"/>
  <c r="L1089" i="1"/>
  <c r="L1104" i="1"/>
  <c r="L1119" i="1"/>
  <c r="L1134" i="1"/>
  <c r="L1149" i="1"/>
  <c r="L1164" i="1"/>
  <c r="L1179" i="1"/>
  <c r="L1194" i="1"/>
  <c r="L1209" i="1"/>
  <c r="L1224" i="1"/>
  <c r="L1239" i="1"/>
  <c r="L1254" i="1"/>
  <c r="L1269" i="1"/>
  <c r="L1284" i="1"/>
  <c r="L1299" i="1"/>
  <c r="L1314" i="1"/>
  <c r="L1329" i="1"/>
  <c r="L1344" i="1"/>
  <c r="L1359" i="1"/>
  <c r="L1374" i="1"/>
  <c r="L1389" i="1"/>
  <c r="L1404" i="1"/>
  <c r="L1419" i="1"/>
  <c r="L1434" i="1"/>
  <c r="L1449" i="1"/>
  <c r="L1464" i="1"/>
  <c r="L1479" i="1"/>
  <c r="L1494" i="1"/>
  <c r="L1509" i="1"/>
  <c r="L1524" i="1"/>
  <c r="L1539" i="1"/>
  <c r="L1554" i="1"/>
  <c r="L1569" i="1"/>
  <c r="L1584" i="1"/>
  <c r="L1599" i="1"/>
  <c r="L1614" i="1"/>
  <c r="L1629" i="1"/>
  <c r="L1644" i="1"/>
  <c r="L1659" i="1"/>
  <c r="L1674" i="1"/>
  <c r="L1689" i="1"/>
  <c r="L1704" i="1"/>
  <c r="L1719" i="1"/>
  <c r="L1734" i="1"/>
  <c r="L1749" i="1"/>
  <c r="L1764" i="1"/>
  <c r="L1779" i="1"/>
  <c r="L1794" i="1"/>
  <c r="L1809" i="1"/>
  <c r="L1824" i="1"/>
  <c r="L1839" i="1"/>
  <c r="L1854" i="1"/>
  <c r="L1869" i="1"/>
  <c r="L1884" i="1"/>
  <c r="L1899" i="1"/>
  <c r="L1914" i="1"/>
  <c r="L1929" i="1"/>
  <c r="L1944" i="1"/>
  <c r="L1959" i="1"/>
  <c r="L1974" i="1"/>
  <c r="L1989" i="1"/>
  <c r="L2004" i="1"/>
  <c r="L2019" i="1"/>
  <c r="L2034" i="1"/>
  <c r="L2049" i="1"/>
  <c r="L2064" i="1"/>
  <c r="L2079" i="1"/>
  <c r="L2094" i="1"/>
  <c r="L2109" i="1"/>
  <c r="L2124" i="1"/>
  <c r="L2139" i="1"/>
  <c r="L2154" i="1"/>
  <c r="L2169" i="1"/>
  <c r="L2184" i="1"/>
  <c r="L2199" i="1"/>
  <c r="L2214" i="1"/>
  <c r="L2229" i="1"/>
  <c r="L2244" i="1"/>
  <c r="L2259" i="1"/>
  <c r="L2274" i="1"/>
  <c r="L2289" i="1"/>
  <c r="L2304" i="1"/>
  <c r="L2319" i="1"/>
  <c r="L2334" i="1"/>
  <c r="L2349" i="1"/>
  <c r="L2364" i="1"/>
  <c r="L2379" i="1"/>
  <c r="L2394" i="1"/>
  <c r="L2409" i="1"/>
  <c r="L2424" i="1"/>
  <c r="L2439" i="1"/>
  <c r="L2454" i="1"/>
  <c r="L2469" i="1"/>
  <c r="L2484" i="1"/>
  <c r="L2499" i="1"/>
  <c r="L2514" i="1"/>
  <c r="L2529" i="1"/>
  <c r="L2544" i="1"/>
  <c r="L2559" i="1"/>
  <c r="L2574" i="1"/>
  <c r="L2589" i="1"/>
  <c r="L2604" i="1"/>
  <c r="L2619" i="1"/>
  <c r="L2634" i="1"/>
  <c r="L2649" i="1"/>
  <c r="L2664" i="1"/>
  <c r="L2679" i="1"/>
  <c r="L2694" i="1"/>
  <c r="L2709" i="1"/>
  <c r="L2724" i="1"/>
  <c r="L2739" i="1"/>
  <c r="L2754" i="1"/>
  <c r="L2769" i="1"/>
  <c r="L2784" i="1"/>
  <c r="L2799" i="1"/>
  <c r="L2814" i="1"/>
  <c r="L2829" i="1"/>
  <c r="L2844" i="1"/>
  <c r="L2859" i="1"/>
  <c r="L2874" i="1"/>
  <c r="L2889" i="1"/>
  <c r="L2904" i="1"/>
  <c r="L2919" i="1"/>
  <c r="L2934" i="1"/>
  <c r="L2949" i="1"/>
  <c r="L2964" i="1"/>
  <c r="L2979" i="1"/>
  <c r="L2994" i="1"/>
  <c r="L3009" i="1"/>
  <c r="L3024" i="1"/>
  <c r="L3039" i="1"/>
  <c r="L3054" i="1"/>
  <c r="L3069" i="1"/>
  <c r="L3084" i="1"/>
  <c r="L3099" i="1"/>
  <c r="L3114" i="1"/>
  <c r="L3129" i="1"/>
  <c r="L3144" i="1"/>
  <c r="L3159" i="1"/>
  <c r="L3174" i="1"/>
  <c r="L3189" i="1"/>
  <c r="L3204" i="1"/>
  <c r="L3219" i="1"/>
  <c r="L3234" i="1"/>
  <c r="L3249" i="1"/>
  <c r="L3264" i="1"/>
  <c r="L3279" i="1"/>
  <c r="L3294" i="1"/>
  <c r="L3309" i="1"/>
  <c r="L3324" i="1"/>
  <c r="L3339" i="1"/>
  <c r="L3354" i="1"/>
  <c r="L3369" i="1"/>
  <c r="L3384" i="1"/>
  <c r="L3399" i="1"/>
  <c r="L3414" i="1"/>
  <c r="L3429" i="1"/>
  <c r="L3444" i="1"/>
  <c r="L3459" i="1"/>
  <c r="L3474" i="1"/>
  <c r="L3489" i="1"/>
  <c r="L3504" i="1"/>
  <c r="L3519" i="1"/>
  <c r="L3534" i="1"/>
  <c r="L3549" i="1"/>
  <c r="L3564" i="1"/>
  <c r="L3579" i="1"/>
  <c r="L3594" i="1"/>
  <c r="L3609" i="1"/>
  <c r="L3624" i="1"/>
  <c r="L3637" i="1"/>
  <c r="L3652" i="1"/>
  <c r="L3667" i="1"/>
  <c r="L3682" i="1"/>
  <c r="L10" i="1"/>
  <c r="L25" i="1"/>
  <c r="L40" i="1"/>
  <c r="L55" i="1"/>
  <c r="L70" i="1"/>
  <c r="L85" i="1"/>
  <c r="L100" i="1"/>
  <c r="L115" i="1"/>
  <c r="L130" i="1"/>
  <c r="L145" i="1"/>
  <c r="L160" i="1"/>
  <c r="L175" i="1"/>
  <c r="L190" i="1"/>
  <c r="L205" i="1"/>
  <c r="L220" i="1"/>
  <c r="L235" i="1"/>
  <c r="L250" i="1"/>
  <c r="L265" i="1"/>
  <c r="L280" i="1"/>
  <c r="L295" i="1"/>
  <c r="L310" i="1"/>
  <c r="L325" i="1"/>
  <c r="L340" i="1"/>
  <c r="L355" i="1"/>
  <c r="L370" i="1"/>
  <c r="L385" i="1"/>
  <c r="L400" i="1"/>
  <c r="L415" i="1"/>
  <c r="L430" i="1"/>
  <c r="L445" i="1"/>
  <c r="L460" i="1"/>
  <c r="L475" i="1"/>
  <c r="L490" i="1"/>
  <c r="L505" i="1"/>
  <c r="L520" i="1"/>
  <c r="L535" i="1"/>
  <c r="L550" i="1"/>
  <c r="L565" i="1"/>
  <c r="L580" i="1"/>
  <c r="L595" i="1"/>
  <c r="L610" i="1"/>
  <c r="L625" i="1"/>
  <c r="L640" i="1"/>
  <c r="L655" i="1"/>
  <c r="L670" i="1"/>
  <c r="L685" i="1"/>
  <c r="L700" i="1"/>
  <c r="L715" i="1"/>
  <c r="L730" i="1"/>
  <c r="L745" i="1"/>
  <c r="L760" i="1"/>
  <c r="L775" i="1"/>
  <c r="L790" i="1"/>
  <c r="L805" i="1"/>
  <c r="L820" i="1"/>
  <c r="L835" i="1"/>
  <c r="L850" i="1"/>
  <c r="L865" i="1"/>
  <c r="L880" i="1"/>
  <c r="L895" i="1"/>
  <c r="L910" i="1"/>
  <c r="L925" i="1"/>
  <c r="L940" i="1"/>
  <c r="L955" i="1"/>
  <c r="L970" i="1"/>
  <c r="L985" i="1"/>
  <c r="L1000" i="1"/>
  <c r="L1015" i="1"/>
  <c r="L1030" i="1"/>
  <c r="L1045" i="1"/>
  <c r="L1060" i="1"/>
  <c r="L1075" i="1"/>
  <c r="L1090" i="1"/>
  <c r="L1105" i="1"/>
  <c r="L1120" i="1"/>
  <c r="L1135" i="1"/>
  <c r="L1150" i="1"/>
  <c r="L1165" i="1"/>
  <c r="L1180" i="1"/>
  <c r="L1195" i="1"/>
  <c r="L1210" i="1"/>
  <c r="L1225" i="1"/>
  <c r="L1240" i="1"/>
  <c r="L1255" i="1"/>
  <c r="L1270" i="1"/>
  <c r="L1285" i="1"/>
  <c r="L1300" i="1"/>
  <c r="L1315" i="1"/>
  <c r="L1330" i="1"/>
  <c r="L1345" i="1"/>
  <c r="L1360" i="1"/>
  <c r="L1375" i="1"/>
  <c r="L1390" i="1"/>
  <c r="L1405" i="1"/>
  <c r="L1420" i="1"/>
  <c r="L1435" i="1"/>
  <c r="L1450" i="1"/>
  <c r="L1465" i="1"/>
  <c r="L1480" i="1"/>
  <c r="L1495" i="1"/>
  <c r="L1510" i="1"/>
  <c r="L1525" i="1"/>
  <c r="L1540" i="1"/>
  <c r="L1555" i="1"/>
  <c r="L1570" i="1"/>
  <c r="L1585" i="1"/>
  <c r="L1600" i="1"/>
  <c r="L1615" i="1"/>
  <c r="L1630" i="1"/>
  <c r="L1645" i="1"/>
  <c r="L1660" i="1"/>
  <c r="L1675" i="1"/>
  <c r="L1690" i="1"/>
  <c r="L1705" i="1"/>
  <c r="L1720" i="1"/>
  <c r="L1735" i="1"/>
  <c r="L1750" i="1"/>
  <c r="L1765" i="1"/>
  <c r="L1780" i="1"/>
  <c r="L1795" i="1"/>
  <c r="L1810" i="1"/>
  <c r="L1825" i="1"/>
  <c r="L1840" i="1"/>
  <c r="L1855" i="1"/>
  <c r="L1870" i="1"/>
  <c r="L1885" i="1"/>
  <c r="L1900" i="1"/>
  <c r="L1915" i="1"/>
  <c r="L1930" i="1"/>
  <c r="L1945" i="1"/>
  <c r="L1960" i="1"/>
  <c r="L1975" i="1"/>
  <c r="L1990" i="1"/>
  <c r="L2005" i="1"/>
  <c r="L2020" i="1"/>
  <c r="L2035" i="1"/>
  <c r="L2050" i="1"/>
  <c r="L2065" i="1"/>
  <c r="L2080" i="1"/>
  <c r="L2095" i="1"/>
  <c r="L2110" i="1"/>
  <c r="L2125" i="1"/>
  <c r="L2140" i="1"/>
  <c r="L2155" i="1"/>
  <c r="L2170" i="1"/>
  <c r="L2185" i="1"/>
  <c r="L2200" i="1"/>
  <c r="L2215" i="1"/>
  <c r="L2230" i="1"/>
  <c r="L2245" i="1"/>
  <c r="L2260" i="1"/>
  <c r="L2275" i="1"/>
  <c r="L2290" i="1"/>
  <c r="L2305" i="1"/>
  <c r="L2320" i="1"/>
  <c r="L2335" i="1"/>
  <c r="L2350" i="1"/>
  <c r="L2365" i="1"/>
  <c r="L2380" i="1"/>
  <c r="L2395" i="1"/>
  <c r="L2410" i="1"/>
  <c r="L2425" i="1"/>
  <c r="L2440" i="1"/>
  <c r="L2455" i="1"/>
  <c r="L2470" i="1"/>
  <c r="L2485" i="1"/>
  <c r="L2500" i="1"/>
  <c r="L2515" i="1"/>
  <c r="L2530" i="1"/>
  <c r="L2545" i="1"/>
  <c r="L2560" i="1"/>
  <c r="L2575" i="1"/>
  <c r="L2590" i="1"/>
  <c r="L2605" i="1"/>
  <c r="L2620" i="1"/>
  <c r="L2635" i="1"/>
  <c r="L2650" i="1"/>
  <c r="L2665" i="1"/>
  <c r="L2680" i="1"/>
  <c r="L2695" i="1"/>
  <c r="L2710" i="1"/>
  <c r="L2725" i="1"/>
  <c r="L2740" i="1"/>
  <c r="L2755" i="1"/>
  <c r="L2770" i="1"/>
  <c r="L2785" i="1"/>
  <c r="L2800" i="1"/>
  <c r="L2815" i="1"/>
  <c r="L2830" i="1"/>
  <c r="L2845" i="1"/>
  <c r="L2860" i="1"/>
  <c r="L2875" i="1"/>
  <c r="L2890" i="1"/>
  <c r="L2905" i="1"/>
  <c r="L2920" i="1"/>
  <c r="L2935" i="1"/>
  <c r="L2950" i="1"/>
  <c r="L2965" i="1"/>
  <c r="L2980" i="1"/>
  <c r="L2995" i="1"/>
  <c r="L3010" i="1"/>
  <c r="L3025" i="1"/>
  <c r="L3040" i="1"/>
  <c r="L3055" i="1"/>
  <c r="L3070" i="1"/>
  <c r="L3085" i="1"/>
  <c r="L3100" i="1"/>
  <c r="L3115" i="1"/>
  <c r="L3130" i="1"/>
  <c r="L3145" i="1"/>
  <c r="L3160" i="1"/>
  <c r="L3175" i="1"/>
  <c r="L3190" i="1"/>
  <c r="L3205" i="1"/>
  <c r="L3220" i="1"/>
  <c r="L3235" i="1"/>
  <c r="L3250" i="1"/>
  <c r="L3265" i="1"/>
  <c r="L3280" i="1"/>
  <c r="L3295" i="1"/>
  <c r="L3310" i="1"/>
  <c r="L3325" i="1"/>
  <c r="L3340" i="1"/>
  <c r="L3355" i="1"/>
  <c r="L3370" i="1"/>
  <c r="L3385" i="1"/>
  <c r="L3400" i="1"/>
  <c r="L3415" i="1"/>
  <c r="L3430" i="1"/>
  <c r="L3445" i="1"/>
  <c r="L3460" i="1"/>
  <c r="L3475" i="1"/>
  <c r="L3490" i="1"/>
  <c r="L3505" i="1"/>
  <c r="L3520" i="1"/>
  <c r="L3535" i="1"/>
  <c r="L3550" i="1"/>
  <c r="L3565" i="1"/>
  <c r="L3580" i="1"/>
  <c r="L3595" i="1"/>
  <c r="L3610" i="1"/>
  <c r="L3625" i="1"/>
  <c r="L3638" i="1"/>
  <c r="L3653" i="1"/>
  <c r="L3668" i="1"/>
  <c r="L3683" i="1"/>
  <c r="L11" i="1"/>
  <c r="L26" i="1"/>
  <c r="L41" i="1"/>
  <c r="L56" i="1"/>
  <c r="L71" i="1"/>
  <c r="L86" i="1"/>
  <c r="L101" i="1"/>
  <c r="L116" i="1"/>
  <c r="L131" i="1"/>
  <c r="L146" i="1"/>
  <c r="L161" i="1"/>
  <c r="L176" i="1"/>
  <c r="L191" i="1"/>
  <c r="L206" i="1"/>
  <c r="L221" i="1"/>
  <c r="L236" i="1"/>
  <c r="L251" i="1"/>
  <c r="L266" i="1"/>
  <c r="L281" i="1"/>
  <c r="L296" i="1"/>
  <c r="L311" i="1"/>
  <c r="L326" i="1"/>
  <c r="L341" i="1"/>
  <c r="L356" i="1"/>
  <c r="L371" i="1"/>
  <c r="L386" i="1"/>
  <c r="L401" i="1"/>
  <c r="L416" i="1"/>
  <c r="L431" i="1"/>
  <c r="L446" i="1"/>
  <c r="L461" i="1"/>
  <c r="L476" i="1"/>
  <c r="L491" i="1"/>
  <c r="L506" i="1"/>
  <c r="L521" i="1"/>
  <c r="L536" i="1"/>
  <c r="L551" i="1"/>
  <c r="L566" i="1"/>
  <c r="L581" i="1"/>
  <c r="L596" i="1"/>
  <c r="L611" i="1"/>
  <c r="L626" i="1"/>
  <c r="L641" i="1"/>
  <c r="L656" i="1"/>
  <c r="L671" i="1"/>
  <c r="L686" i="1"/>
  <c r="L701" i="1"/>
  <c r="L716" i="1"/>
  <c r="L731" i="1"/>
  <c r="L746" i="1"/>
  <c r="L761" i="1"/>
  <c r="L776" i="1"/>
  <c r="L791" i="1"/>
  <c r="L806" i="1"/>
  <c r="L821" i="1"/>
  <c r="L836" i="1"/>
  <c r="L851" i="1"/>
  <c r="L866" i="1"/>
  <c r="L881" i="1"/>
  <c r="L896" i="1"/>
  <c r="L911" i="1"/>
  <c r="L926" i="1"/>
  <c r="L941" i="1"/>
  <c r="L956" i="1"/>
  <c r="L971" i="1"/>
  <c r="L986" i="1"/>
  <c r="L1001" i="1"/>
  <c r="L1016" i="1"/>
  <c r="L1031" i="1"/>
  <c r="L1046" i="1"/>
  <c r="L1061" i="1"/>
  <c r="L1076" i="1"/>
  <c r="L1091" i="1"/>
  <c r="L1106" i="1"/>
  <c r="L1121" i="1"/>
  <c r="L1136" i="1"/>
  <c r="L1151" i="1"/>
  <c r="L1166" i="1"/>
  <c r="L1181" i="1"/>
  <c r="L1196" i="1"/>
  <c r="L1211" i="1"/>
  <c r="L1226" i="1"/>
  <c r="L1241" i="1"/>
  <c r="L1256" i="1"/>
  <c r="L1271" i="1"/>
  <c r="L1286" i="1"/>
  <c r="L1301" i="1"/>
  <c r="L1316" i="1"/>
  <c r="L1331" i="1"/>
  <c r="L1346" i="1"/>
  <c r="L1361" i="1"/>
  <c r="L1376" i="1"/>
  <c r="L1391" i="1"/>
  <c r="L1406" i="1"/>
  <c r="L1421" i="1"/>
  <c r="L1436" i="1"/>
  <c r="L1451" i="1"/>
  <c r="L1466" i="1"/>
  <c r="L1481" i="1"/>
  <c r="L1496" i="1"/>
  <c r="L1511" i="1"/>
  <c r="L1526" i="1"/>
  <c r="L1541" i="1"/>
  <c r="L1556" i="1"/>
  <c r="L1571" i="1"/>
  <c r="L1586" i="1"/>
  <c r="L1601" i="1"/>
  <c r="L1616" i="1"/>
  <c r="L1631" i="1"/>
  <c r="L1646" i="1"/>
  <c r="L1661" i="1"/>
  <c r="L1676" i="1"/>
  <c r="L1691" i="1"/>
  <c r="L1706" i="1"/>
  <c r="L1721" i="1"/>
  <c r="L1736" i="1"/>
  <c r="L1751" i="1"/>
  <c r="L1766" i="1"/>
  <c r="L1781" i="1"/>
  <c r="L1796" i="1"/>
  <c r="L1811" i="1"/>
  <c r="L1826" i="1"/>
  <c r="L1841" i="1"/>
  <c r="L1856" i="1"/>
  <c r="L1871" i="1"/>
  <c r="L1886" i="1"/>
  <c r="L1901" i="1"/>
  <c r="L1916" i="1"/>
  <c r="L1931" i="1"/>
  <c r="L1946" i="1"/>
  <c r="L1961" i="1"/>
  <c r="L1976" i="1"/>
  <c r="L1991" i="1"/>
  <c r="L2006" i="1"/>
  <c r="L2021" i="1"/>
  <c r="L2036" i="1"/>
  <c r="L2051" i="1"/>
  <c r="L2066" i="1"/>
  <c r="L2081" i="1"/>
  <c r="L2096" i="1"/>
  <c r="L2111" i="1"/>
  <c r="L2126" i="1"/>
  <c r="L2141" i="1"/>
  <c r="L2156" i="1"/>
  <c r="L2171" i="1"/>
  <c r="L2186" i="1"/>
  <c r="L2201" i="1"/>
  <c r="L2216" i="1"/>
  <c r="L2231" i="1"/>
  <c r="L2246" i="1"/>
  <c r="L2261" i="1"/>
  <c r="L2276" i="1"/>
  <c r="L2291" i="1"/>
  <c r="L2306" i="1"/>
  <c r="L2321" i="1"/>
  <c r="L2336" i="1"/>
  <c r="L2351" i="1"/>
  <c r="L2366" i="1"/>
  <c r="L2381" i="1"/>
  <c r="L2396" i="1"/>
  <c r="L2411" i="1"/>
  <c r="L2426" i="1"/>
  <c r="L2441" i="1"/>
  <c r="L2456" i="1"/>
  <c r="L2471" i="1"/>
  <c r="L2486" i="1"/>
  <c r="L2501" i="1"/>
  <c r="L2516" i="1"/>
  <c r="L2531" i="1"/>
  <c r="L2546" i="1"/>
  <c r="L2561" i="1"/>
  <c r="L2576" i="1"/>
  <c r="L2591" i="1"/>
  <c r="L2606" i="1"/>
  <c r="L2621" i="1"/>
  <c r="L2636" i="1"/>
  <c r="L2651" i="1"/>
  <c r="L2666" i="1"/>
  <c r="L2681" i="1"/>
  <c r="L2696" i="1"/>
  <c r="L2711" i="1"/>
  <c r="L2726" i="1"/>
  <c r="L2741" i="1"/>
  <c r="L2756" i="1"/>
  <c r="L2771" i="1"/>
  <c r="L2786" i="1"/>
  <c r="L2801" i="1"/>
  <c r="L2816" i="1"/>
  <c r="L2831" i="1"/>
  <c r="L2846" i="1"/>
  <c r="L2861" i="1"/>
  <c r="L2876" i="1"/>
  <c r="L2891" i="1"/>
  <c r="L2906" i="1"/>
  <c r="L2921" i="1"/>
  <c r="L2936" i="1"/>
  <c r="L2951" i="1"/>
  <c r="L2966" i="1"/>
  <c r="L2981" i="1"/>
  <c r="L2996" i="1"/>
  <c r="L3011" i="1"/>
  <c r="L3026" i="1"/>
  <c r="L3041" i="1"/>
  <c r="L3056" i="1"/>
  <c r="L3071" i="1"/>
  <c r="L3086" i="1"/>
  <c r="L3101" i="1"/>
  <c r="L3116" i="1"/>
  <c r="L3131" i="1"/>
  <c r="L3146" i="1"/>
  <c r="L3161" i="1"/>
  <c r="L3176" i="1"/>
  <c r="L3191" i="1"/>
  <c r="L3206" i="1"/>
  <c r="L3221" i="1"/>
  <c r="L3236" i="1"/>
  <c r="L3251" i="1"/>
  <c r="L3266" i="1"/>
  <c r="L3281" i="1"/>
  <c r="L3296" i="1"/>
  <c r="L3311" i="1"/>
  <c r="L3326" i="1"/>
  <c r="L3341" i="1"/>
  <c r="L3356" i="1"/>
  <c r="L3371" i="1"/>
  <c r="L3386" i="1"/>
  <c r="L3401" i="1"/>
  <c r="L3416" i="1"/>
  <c r="L3431" i="1"/>
  <c r="L3446" i="1"/>
  <c r="L3461" i="1"/>
  <c r="L3476" i="1"/>
  <c r="L3491" i="1"/>
  <c r="L3506" i="1"/>
  <c r="L3521" i="1"/>
  <c r="L3536" i="1"/>
  <c r="L3551" i="1"/>
  <c r="L3566" i="1"/>
  <c r="L3581" i="1"/>
  <c r="L3596" i="1"/>
  <c r="L3611" i="1"/>
  <c r="L3626" i="1"/>
  <c r="L3639" i="1"/>
  <c r="L3654" i="1"/>
  <c r="L3669" i="1"/>
  <c r="L3684" i="1"/>
  <c r="L12" i="1"/>
  <c r="L27" i="1"/>
  <c r="L42" i="1"/>
  <c r="L57" i="1"/>
  <c r="L72" i="1"/>
  <c r="L87" i="1"/>
  <c r="L102" i="1"/>
  <c r="L117" i="1"/>
  <c r="L132" i="1"/>
  <c r="L147" i="1"/>
  <c r="L162" i="1"/>
  <c r="L177" i="1"/>
  <c r="L192" i="1"/>
  <c r="L207" i="1"/>
  <c r="L222" i="1"/>
  <c r="L237" i="1"/>
  <c r="L252" i="1"/>
  <c r="L267" i="1"/>
  <c r="L282" i="1"/>
  <c r="L297" i="1"/>
  <c r="L312" i="1"/>
  <c r="L327" i="1"/>
  <c r="L342" i="1"/>
  <c r="L357" i="1"/>
  <c r="L372" i="1"/>
  <c r="L387" i="1"/>
  <c r="L402" i="1"/>
  <c r="L417" i="1"/>
  <c r="L432" i="1"/>
  <c r="L447" i="1"/>
  <c r="L462" i="1"/>
  <c r="L477" i="1"/>
  <c r="L492" i="1"/>
  <c r="L507" i="1"/>
  <c r="L522" i="1"/>
  <c r="L537" i="1"/>
  <c r="L552" i="1"/>
  <c r="L567" i="1"/>
  <c r="L582" i="1"/>
  <c r="L597" i="1"/>
  <c r="L612" i="1"/>
  <c r="L627" i="1"/>
  <c r="L642" i="1"/>
  <c r="L657" i="1"/>
  <c r="L672" i="1"/>
  <c r="L687" i="1"/>
  <c r="L702" i="1"/>
  <c r="L717" i="1"/>
  <c r="L732" i="1"/>
  <c r="L747" i="1"/>
  <c r="L762" i="1"/>
  <c r="L777" i="1"/>
  <c r="L792" i="1"/>
  <c r="L807" i="1"/>
  <c r="L822" i="1"/>
  <c r="L837" i="1"/>
  <c r="L852" i="1"/>
  <c r="L867" i="1"/>
  <c r="L882" i="1"/>
  <c r="L897" i="1"/>
  <c r="L912" i="1"/>
  <c r="L927" i="1"/>
  <c r="L942" i="1"/>
  <c r="L957" i="1"/>
  <c r="L972" i="1"/>
  <c r="L987" i="1"/>
  <c r="L1002" i="1"/>
  <c r="L1017" i="1"/>
  <c r="L1032" i="1"/>
  <c r="L1047" i="1"/>
  <c r="L1062" i="1"/>
  <c r="L1077" i="1"/>
  <c r="L1092" i="1"/>
  <c r="L1107" i="1"/>
  <c r="L1122" i="1"/>
  <c r="L1137" i="1"/>
  <c r="L1152" i="1"/>
  <c r="L1167" i="1"/>
  <c r="L1182" i="1"/>
  <c r="L1197" i="1"/>
  <c r="L1212" i="1"/>
  <c r="L1227" i="1"/>
  <c r="L1242" i="1"/>
  <c r="L1257" i="1"/>
  <c r="L1272" i="1"/>
  <c r="L1287" i="1"/>
  <c r="L1302" i="1"/>
  <c r="L1317" i="1"/>
  <c r="L1332" i="1"/>
  <c r="L1347" i="1"/>
  <c r="L1362" i="1"/>
  <c r="L1377" i="1"/>
  <c r="L1392" i="1"/>
  <c r="L1407" i="1"/>
  <c r="L1422" i="1"/>
  <c r="L1437" i="1"/>
  <c r="L1452" i="1"/>
  <c r="L1467" i="1"/>
  <c r="L1482" i="1"/>
  <c r="L1497" i="1"/>
  <c r="L1512" i="1"/>
  <c r="L1527" i="1"/>
  <c r="L1542" i="1"/>
  <c r="L1557" i="1"/>
  <c r="L1572" i="1"/>
  <c r="L1587" i="1"/>
  <c r="L1602" i="1"/>
  <c r="L1617" i="1"/>
  <c r="L1632" i="1"/>
  <c r="L1647" i="1"/>
  <c r="L1662" i="1"/>
  <c r="L1677" i="1"/>
  <c r="L1692" i="1"/>
  <c r="L1707" i="1"/>
  <c r="L1722" i="1"/>
  <c r="L1737" i="1"/>
  <c r="L1752" i="1"/>
  <c r="L1767" i="1"/>
  <c r="L1782" i="1"/>
  <c r="L1797" i="1"/>
  <c r="L1812" i="1"/>
  <c r="L1827" i="1"/>
  <c r="L1842" i="1"/>
  <c r="L1857" i="1"/>
  <c r="L1872" i="1"/>
  <c r="L1887" i="1"/>
  <c r="L1902" i="1"/>
  <c r="L1917" i="1"/>
  <c r="L1932" i="1"/>
  <c r="L1947" i="1"/>
  <c r="L1962" i="1"/>
  <c r="L1977" i="1"/>
  <c r="L1992" i="1"/>
  <c r="L2007" i="1"/>
  <c r="L2022" i="1"/>
  <c r="L2037" i="1"/>
  <c r="L2052" i="1"/>
  <c r="L2067" i="1"/>
  <c r="L2082" i="1"/>
  <c r="L2097" i="1"/>
  <c r="L2112" i="1"/>
  <c r="L2127" i="1"/>
  <c r="L2142" i="1"/>
  <c r="L2157" i="1"/>
  <c r="L2172" i="1"/>
  <c r="L2187" i="1"/>
  <c r="L2202" i="1"/>
  <c r="L2217" i="1"/>
  <c r="L2232" i="1"/>
  <c r="L2247" i="1"/>
  <c r="L2262" i="1"/>
  <c r="L2277" i="1"/>
  <c r="L2292" i="1"/>
  <c r="L2307" i="1"/>
  <c r="L2322" i="1"/>
  <c r="L2337" i="1"/>
  <c r="L2352" i="1"/>
  <c r="L2367" i="1"/>
  <c r="L2382" i="1"/>
  <c r="L2397" i="1"/>
  <c r="L2412" i="1"/>
  <c r="L2427" i="1"/>
  <c r="L2442" i="1"/>
  <c r="L2457" i="1"/>
  <c r="L2472" i="1"/>
  <c r="L2487" i="1"/>
  <c r="L2502" i="1"/>
  <c r="L2517" i="1"/>
  <c r="L2532" i="1"/>
  <c r="L2547" i="1"/>
  <c r="L2562" i="1"/>
  <c r="L2577" i="1"/>
  <c r="L2592" i="1"/>
  <c r="L2607" i="1"/>
  <c r="L2622" i="1"/>
  <c r="L2637" i="1"/>
  <c r="L2652" i="1"/>
  <c r="L2667" i="1"/>
  <c r="L2682" i="1"/>
  <c r="L2697" i="1"/>
  <c r="L2712" i="1"/>
  <c r="L2727" i="1"/>
  <c r="L2742" i="1"/>
  <c r="L2757" i="1"/>
  <c r="L2772" i="1"/>
  <c r="L2787" i="1"/>
  <c r="L2802" i="1"/>
  <c r="L2817" i="1"/>
  <c r="L2832" i="1"/>
  <c r="L2847" i="1"/>
  <c r="L2862" i="1"/>
  <c r="L2877" i="1"/>
  <c r="L2892" i="1"/>
  <c r="L2907" i="1"/>
  <c r="L2922" i="1"/>
  <c r="L2937" i="1"/>
  <c r="L2952" i="1"/>
  <c r="L2967" i="1"/>
  <c r="L2982" i="1"/>
  <c r="L2997" i="1"/>
  <c r="L3012" i="1"/>
  <c r="L3027" i="1"/>
  <c r="L3042" i="1"/>
  <c r="L3057" i="1"/>
  <c r="L3072" i="1"/>
  <c r="L3087" i="1"/>
  <c r="L3102" i="1"/>
  <c r="L3117" i="1"/>
  <c r="L3132" i="1"/>
  <c r="L3147" i="1"/>
  <c r="L3162" i="1"/>
  <c r="L3177" i="1"/>
  <c r="L3192" i="1"/>
  <c r="L3207" i="1"/>
  <c r="L3222" i="1"/>
  <c r="L3237" i="1"/>
  <c r="L3252" i="1"/>
  <c r="L3267" i="1"/>
  <c r="L3282" i="1"/>
  <c r="L3297" i="1"/>
  <c r="L3312" i="1"/>
  <c r="L3327" i="1"/>
  <c r="L3342" i="1"/>
  <c r="L3357" i="1"/>
  <c r="L3372" i="1"/>
  <c r="L3387" i="1"/>
  <c r="L3402" i="1"/>
  <c r="L3417" i="1"/>
  <c r="L3432" i="1"/>
  <c r="L3447" i="1"/>
  <c r="L3462" i="1"/>
  <c r="L3477" i="1"/>
  <c r="L3492" i="1"/>
  <c r="L3507" i="1"/>
  <c r="L3522" i="1"/>
  <c r="L3537" i="1"/>
  <c r="L3552" i="1"/>
  <c r="L3567" i="1"/>
  <c r="L3582" i="1"/>
  <c r="L3597" i="1"/>
  <c r="L3612" i="1"/>
  <c r="L3627" i="1"/>
  <c r="L3640" i="1"/>
  <c r="L3655" i="1"/>
  <c r="L3670" i="1"/>
  <c r="L3685" i="1"/>
  <c r="L13" i="1"/>
  <c r="L28" i="1"/>
  <c r="L43" i="1"/>
  <c r="L58" i="1"/>
  <c r="L73" i="1"/>
  <c r="L88" i="1"/>
  <c r="L103" i="1"/>
  <c r="L118" i="1"/>
  <c r="L133" i="1"/>
  <c r="L148" i="1"/>
  <c r="L163" i="1"/>
  <c r="L178" i="1"/>
  <c r="L193" i="1"/>
  <c r="L208" i="1"/>
  <c r="L223" i="1"/>
  <c r="L238" i="1"/>
  <c r="L253" i="1"/>
  <c r="L268" i="1"/>
  <c r="L283" i="1"/>
  <c r="L298" i="1"/>
  <c r="L313" i="1"/>
  <c r="L328" i="1"/>
  <c r="L343" i="1"/>
  <c r="L358" i="1"/>
  <c r="L373" i="1"/>
  <c r="L388" i="1"/>
  <c r="L403" i="1"/>
  <c r="L418" i="1"/>
  <c r="L433" i="1"/>
  <c r="L448" i="1"/>
  <c r="L463" i="1"/>
  <c r="L478" i="1"/>
  <c r="L493" i="1"/>
  <c r="L508" i="1"/>
  <c r="L523" i="1"/>
  <c r="L538" i="1"/>
  <c r="L553" i="1"/>
  <c r="L568" i="1"/>
  <c r="L583" i="1"/>
  <c r="L598" i="1"/>
  <c r="L613" i="1"/>
  <c r="L628" i="1"/>
  <c r="L643" i="1"/>
  <c r="L658" i="1"/>
  <c r="L673" i="1"/>
  <c r="L688" i="1"/>
  <c r="L703" i="1"/>
  <c r="L718" i="1"/>
  <c r="L733" i="1"/>
  <c r="L748" i="1"/>
  <c r="L763" i="1"/>
  <c r="L778" i="1"/>
  <c r="L793" i="1"/>
  <c r="L808" i="1"/>
  <c r="L823" i="1"/>
  <c r="L838" i="1"/>
  <c r="L853" i="1"/>
  <c r="L868" i="1"/>
  <c r="L883" i="1"/>
  <c r="L898" i="1"/>
  <c r="L913" i="1"/>
  <c r="L928" i="1"/>
  <c r="L943" i="1"/>
  <c r="L958" i="1"/>
  <c r="L973" i="1"/>
  <c r="L988" i="1"/>
  <c r="L1003" i="1"/>
  <c r="L1018" i="1"/>
  <c r="L1033" i="1"/>
  <c r="L1048" i="1"/>
  <c r="L1063" i="1"/>
  <c r="L1078" i="1"/>
  <c r="L1093" i="1"/>
  <c r="L1108" i="1"/>
  <c r="L1123" i="1"/>
  <c r="L1138" i="1"/>
  <c r="L1153" i="1"/>
  <c r="L1168" i="1"/>
  <c r="L1183" i="1"/>
  <c r="L1198" i="1"/>
  <c r="L1213" i="1"/>
  <c r="L1228" i="1"/>
  <c r="L1243" i="1"/>
  <c r="L1258" i="1"/>
  <c r="L1273" i="1"/>
  <c r="L1288" i="1"/>
  <c r="L1303" i="1"/>
  <c r="L1318" i="1"/>
  <c r="L1333" i="1"/>
  <c r="L1348" i="1"/>
  <c r="L1363" i="1"/>
  <c r="L1378" i="1"/>
  <c r="L1393" i="1"/>
  <c r="L1408" i="1"/>
  <c r="L1423" i="1"/>
  <c r="L1438" i="1"/>
  <c r="L1453" i="1"/>
  <c r="L1468" i="1"/>
  <c r="L1483" i="1"/>
  <c r="L1498" i="1"/>
  <c r="L1513" i="1"/>
  <c r="L1528" i="1"/>
  <c r="L1543" i="1"/>
  <c r="L1558" i="1"/>
  <c r="L1573" i="1"/>
  <c r="L1588" i="1"/>
  <c r="L1603" i="1"/>
  <c r="L1618" i="1"/>
  <c r="L1633" i="1"/>
  <c r="L1648" i="1"/>
  <c r="L1663" i="1"/>
  <c r="L1678" i="1"/>
  <c r="L1693" i="1"/>
  <c r="L1708" i="1"/>
  <c r="L1723" i="1"/>
  <c r="L1738" i="1"/>
  <c r="L1753" i="1"/>
  <c r="L1768" i="1"/>
  <c r="L1783" i="1"/>
  <c r="L1798" i="1"/>
  <c r="L1813" i="1"/>
  <c r="L1828" i="1"/>
  <c r="L1843" i="1"/>
  <c r="L1858" i="1"/>
  <c r="L1873" i="1"/>
  <c r="L1888" i="1"/>
  <c r="L1903" i="1"/>
  <c r="L1918" i="1"/>
  <c r="L1933" i="1"/>
  <c r="L1948" i="1"/>
  <c r="L1963" i="1"/>
  <c r="L1978" i="1"/>
  <c r="L1993" i="1"/>
  <c r="L2008" i="1"/>
  <c r="L2023" i="1"/>
  <c r="L2038" i="1"/>
  <c r="L2053" i="1"/>
  <c r="L2068" i="1"/>
  <c r="L2083" i="1"/>
  <c r="L2098" i="1"/>
  <c r="L2113" i="1"/>
  <c r="L2128" i="1"/>
  <c r="L2143" i="1"/>
  <c r="L2158" i="1"/>
  <c r="L2173" i="1"/>
  <c r="L2188" i="1"/>
  <c r="L2203" i="1"/>
  <c r="L2218" i="1"/>
  <c r="L2233" i="1"/>
  <c r="L2248" i="1"/>
  <c r="L2263" i="1"/>
  <c r="L2278" i="1"/>
  <c r="L2293" i="1"/>
  <c r="L2308" i="1"/>
  <c r="L2323" i="1"/>
  <c r="L2338" i="1"/>
  <c r="L2353" i="1"/>
  <c r="L2368" i="1"/>
  <c r="L2383" i="1"/>
  <c r="L2398" i="1"/>
  <c r="L2413" i="1"/>
  <c r="L2428" i="1"/>
  <c r="L2443" i="1"/>
  <c r="L2458" i="1"/>
  <c r="L2473" i="1"/>
  <c r="L2488" i="1"/>
  <c r="L2503" i="1"/>
  <c r="L2518" i="1"/>
  <c r="L2533" i="1"/>
  <c r="L2548" i="1"/>
  <c r="L2563" i="1"/>
  <c r="L2578" i="1"/>
  <c r="L2593" i="1"/>
  <c r="L2608" i="1"/>
  <c r="L2623" i="1"/>
  <c r="L2638" i="1"/>
  <c r="L2653" i="1"/>
  <c r="L2668" i="1"/>
  <c r="L2683" i="1"/>
  <c r="L2698" i="1"/>
  <c r="L2713" i="1"/>
  <c r="L2728" i="1"/>
  <c r="L2743" i="1"/>
  <c r="L2758" i="1"/>
  <c r="L2773" i="1"/>
  <c r="L2788" i="1"/>
  <c r="L2803" i="1"/>
  <c r="L2818" i="1"/>
  <c r="L2833" i="1"/>
  <c r="L2848" i="1"/>
  <c r="L2863" i="1"/>
  <c r="L2878" i="1"/>
  <c r="L2893" i="1"/>
  <c r="L2908" i="1"/>
  <c r="L2923" i="1"/>
  <c r="L2938" i="1"/>
  <c r="L2953" i="1"/>
  <c r="L2968" i="1"/>
  <c r="L2983" i="1"/>
  <c r="L2998" i="1"/>
  <c r="L3013" i="1"/>
  <c r="L3028" i="1"/>
  <c r="L3043" i="1"/>
  <c r="L3058" i="1"/>
  <c r="L3073" i="1"/>
  <c r="L3088" i="1"/>
  <c r="L3103" i="1"/>
  <c r="L3118" i="1"/>
  <c r="L3133" i="1"/>
  <c r="L3148" i="1"/>
  <c r="L3163" i="1"/>
  <c r="L3178" i="1"/>
  <c r="L3193" i="1"/>
  <c r="L3208" i="1"/>
  <c r="L3223" i="1"/>
  <c r="L3238" i="1"/>
  <c r="L3253" i="1"/>
  <c r="L3268" i="1"/>
  <c r="L3283" i="1"/>
  <c r="L3298" i="1"/>
  <c r="L3313" i="1"/>
  <c r="L3328" i="1"/>
  <c r="L3343" i="1"/>
  <c r="L3358" i="1"/>
  <c r="L3373" i="1"/>
  <c r="L3388" i="1"/>
  <c r="L3403" i="1"/>
  <c r="L3418" i="1"/>
  <c r="L3433" i="1"/>
  <c r="L3448" i="1"/>
  <c r="L3463" i="1"/>
  <c r="L3478" i="1"/>
  <c r="L3493" i="1"/>
  <c r="L3508" i="1"/>
  <c r="L3523" i="1"/>
  <c r="L3538" i="1"/>
  <c r="L3553" i="1"/>
  <c r="L3568" i="1"/>
  <c r="L3583" i="1"/>
  <c r="L3598" i="1"/>
  <c r="L3613" i="1"/>
  <c r="L3628" i="1"/>
  <c r="L3641" i="1"/>
  <c r="L3656" i="1"/>
  <c r="L3671" i="1"/>
  <c r="L3686" i="1"/>
  <c r="L14" i="1"/>
  <c r="L29" i="1"/>
  <c r="L44" i="1"/>
  <c r="L59" i="1"/>
  <c r="L74" i="1"/>
  <c r="L89" i="1"/>
  <c r="L104" i="1"/>
  <c r="L119" i="1"/>
  <c r="L134" i="1"/>
  <c r="L149" i="1"/>
  <c r="L164" i="1"/>
  <c r="L179" i="1"/>
  <c r="L194" i="1"/>
  <c r="L209" i="1"/>
  <c r="L224" i="1"/>
  <c r="L239" i="1"/>
  <c r="L254" i="1"/>
  <c r="L269" i="1"/>
  <c r="L284" i="1"/>
  <c r="L299" i="1"/>
  <c r="L314" i="1"/>
  <c r="L329" i="1"/>
  <c r="L344" i="1"/>
  <c r="L359" i="1"/>
  <c r="L374" i="1"/>
  <c r="L389" i="1"/>
  <c r="L404" i="1"/>
  <c r="L419" i="1"/>
  <c r="L434" i="1"/>
  <c r="L449" i="1"/>
  <c r="L464" i="1"/>
  <c r="L479" i="1"/>
  <c r="L494" i="1"/>
  <c r="L509" i="1"/>
  <c r="L524" i="1"/>
  <c r="L539" i="1"/>
  <c r="L554" i="1"/>
  <c r="L569" i="1"/>
  <c r="L584" i="1"/>
  <c r="L599" i="1"/>
  <c r="L614" i="1"/>
  <c r="L629" i="1"/>
  <c r="L644" i="1"/>
  <c r="L659" i="1"/>
  <c r="L674" i="1"/>
  <c r="L689" i="1"/>
  <c r="L704" i="1"/>
  <c r="L719" i="1"/>
  <c r="L734" i="1"/>
  <c r="L749" i="1"/>
  <c r="L764" i="1"/>
  <c r="L779" i="1"/>
  <c r="L794" i="1"/>
  <c r="L809" i="1"/>
  <c r="L824" i="1"/>
  <c r="L839" i="1"/>
  <c r="L854" i="1"/>
  <c r="L869" i="1"/>
  <c r="L884" i="1"/>
  <c r="L899" i="1"/>
  <c r="L914" i="1"/>
  <c r="L929" i="1"/>
  <c r="L944" i="1"/>
  <c r="L959" i="1"/>
  <c r="L974" i="1"/>
  <c r="L989" i="1"/>
  <c r="L1004" i="1"/>
  <c r="L1019" i="1"/>
  <c r="L1034" i="1"/>
  <c r="L1049" i="1"/>
  <c r="L1064" i="1"/>
  <c r="L1079" i="1"/>
  <c r="L1094" i="1"/>
  <c r="L1109" i="1"/>
  <c r="L1124" i="1"/>
  <c r="L1139" i="1"/>
  <c r="L1154" i="1"/>
  <c r="L1169" i="1"/>
  <c r="L1184" i="1"/>
  <c r="L1199" i="1"/>
  <c r="L1214" i="1"/>
  <c r="L1229" i="1"/>
  <c r="L1244" i="1"/>
  <c r="L1259" i="1"/>
  <c r="L1274" i="1"/>
  <c r="L1289" i="1"/>
  <c r="L1304" i="1"/>
  <c r="L1319" i="1"/>
  <c r="L1334" i="1"/>
  <c r="L1349" i="1"/>
  <c r="L1364" i="1"/>
  <c r="L1379" i="1"/>
  <c r="L1394" i="1"/>
  <c r="L1409" i="1"/>
  <c r="L1424" i="1"/>
  <c r="L1439" i="1"/>
  <c r="L1454" i="1"/>
  <c r="L1469" i="1"/>
  <c r="L1484" i="1"/>
  <c r="L1499" i="1"/>
  <c r="L1514" i="1"/>
  <c r="L1529" i="1"/>
  <c r="L1544" i="1"/>
  <c r="L1559" i="1"/>
  <c r="L1574" i="1"/>
  <c r="L1589" i="1"/>
  <c r="L1604" i="1"/>
  <c r="L1619" i="1"/>
  <c r="L1634" i="1"/>
  <c r="L1649" i="1"/>
  <c r="L1664" i="1"/>
  <c r="L1679" i="1"/>
  <c r="L1694" i="1"/>
  <c r="L1709" i="1"/>
  <c r="L1724" i="1"/>
  <c r="L1739" i="1"/>
  <c r="L1754" i="1"/>
  <c r="L1769" i="1"/>
  <c r="L1784" i="1"/>
  <c r="L1799" i="1"/>
  <c r="L1814" i="1"/>
  <c r="L1829" i="1"/>
  <c r="L1844" i="1"/>
  <c r="L1859" i="1"/>
  <c r="L1874" i="1"/>
  <c r="L1889" i="1"/>
  <c r="L1904" i="1"/>
  <c r="L1919" i="1"/>
  <c r="L1934" i="1"/>
  <c r="L1949" i="1"/>
  <c r="L1964" i="1"/>
  <c r="L1979" i="1"/>
  <c r="L1994" i="1"/>
  <c r="L2009" i="1"/>
  <c r="L2024" i="1"/>
  <c r="L2039" i="1"/>
  <c r="L2054" i="1"/>
  <c r="L2069" i="1"/>
  <c r="L2084" i="1"/>
  <c r="L2099" i="1"/>
  <c r="L2114" i="1"/>
  <c r="L2129" i="1"/>
  <c r="L2144" i="1"/>
  <c r="L2159" i="1"/>
  <c r="L2174" i="1"/>
  <c r="L2189" i="1"/>
  <c r="L2204" i="1"/>
  <c r="L2219" i="1"/>
  <c r="L2234" i="1"/>
  <c r="L2249" i="1"/>
  <c r="L2264" i="1"/>
  <c r="L2279" i="1"/>
  <c r="L2294" i="1"/>
  <c r="L2309" i="1"/>
  <c r="L2324" i="1"/>
  <c r="L2339" i="1"/>
  <c r="L2354" i="1"/>
  <c r="L2369" i="1"/>
  <c r="L2384" i="1"/>
  <c r="L2399" i="1"/>
  <c r="L2414" i="1"/>
  <c r="L2429" i="1"/>
  <c r="L2444" i="1"/>
  <c r="L2459" i="1"/>
  <c r="L2474" i="1"/>
  <c r="L2489" i="1"/>
  <c r="L2504" i="1"/>
  <c r="L2519" i="1"/>
  <c r="L2534" i="1"/>
  <c r="L2549" i="1"/>
  <c r="L2564" i="1"/>
  <c r="L2579" i="1"/>
  <c r="L2594" i="1"/>
  <c r="L2609" i="1"/>
  <c r="L2624" i="1"/>
  <c r="L2639" i="1"/>
  <c r="L2654" i="1"/>
  <c r="L2669" i="1"/>
  <c r="L2684" i="1"/>
  <c r="L2699" i="1"/>
  <c r="L2714" i="1"/>
  <c r="L2729" i="1"/>
  <c r="L2744" i="1"/>
  <c r="L2759" i="1"/>
  <c r="L2774" i="1"/>
  <c r="L2789" i="1"/>
  <c r="L2804" i="1"/>
  <c r="L2819" i="1"/>
  <c r="L2834" i="1"/>
  <c r="L2849" i="1"/>
  <c r="L2864" i="1"/>
  <c r="L2879" i="1"/>
  <c r="L2894" i="1"/>
  <c r="L2909" i="1"/>
  <c r="L2924" i="1"/>
  <c r="L2939" i="1"/>
  <c r="L2954" i="1"/>
  <c r="L2969" i="1"/>
  <c r="L2984" i="1"/>
  <c r="L2999" i="1"/>
  <c r="L3014" i="1"/>
  <c r="L3029" i="1"/>
  <c r="L3044" i="1"/>
  <c r="L3059" i="1"/>
  <c r="L3074" i="1"/>
  <c r="L3089" i="1"/>
  <c r="L3104" i="1"/>
  <c r="L3119" i="1"/>
  <c r="L3134" i="1"/>
  <c r="L3149" i="1"/>
  <c r="L3164" i="1"/>
  <c r="L3179" i="1"/>
  <c r="L3194" i="1"/>
  <c r="L3209" i="1"/>
  <c r="L3224" i="1"/>
  <c r="L3239" i="1"/>
  <c r="L3254" i="1"/>
  <c r="L3269" i="1"/>
  <c r="L3284" i="1"/>
  <c r="L3299" i="1"/>
  <c r="L3314" i="1"/>
  <c r="L3329" i="1"/>
  <c r="L3344" i="1"/>
  <c r="L3359" i="1"/>
  <c r="L3374" i="1"/>
  <c r="L3389" i="1"/>
  <c r="L3404" i="1"/>
  <c r="L3419" i="1"/>
  <c r="L3434" i="1"/>
  <c r="L3449" i="1"/>
  <c r="L3464" i="1"/>
  <c r="L3479" i="1"/>
  <c r="L3494" i="1"/>
  <c r="L3509" i="1"/>
  <c r="L3524" i="1"/>
  <c r="L3539" i="1"/>
  <c r="L3554" i="1"/>
  <c r="L3569" i="1"/>
  <c r="L3584" i="1"/>
  <c r="L3599" i="1"/>
  <c r="L3614" i="1"/>
  <c r="L3642" i="1"/>
  <c r="L3657" i="1"/>
  <c r="L3672" i="1"/>
  <c r="L3687" i="1"/>
  <c r="L15" i="1"/>
  <c r="L30" i="1"/>
  <c r="L45" i="1"/>
  <c r="L60" i="1"/>
  <c r="L75" i="1"/>
  <c r="L90" i="1"/>
  <c r="L105" i="1"/>
  <c r="L120" i="1"/>
  <c r="L135" i="1"/>
  <c r="L150" i="1"/>
  <c r="L165" i="1"/>
  <c r="L180" i="1"/>
  <c r="L195" i="1"/>
  <c r="L210" i="1"/>
  <c r="L225" i="1"/>
  <c r="L240" i="1"/>
  <c r="L255" i="1"/>
  <c r="L270" i="1"/>
  <c r="L285" i="1"/>
  <c r="L300" i="1"/>
  <c r="L315" i="1"/>
  <c r="L330" i="1"/>
  <c r="L345" i="1"/>
  <c r="L360" i="1"/>
  <c r="L375" i="1"/>
  <c r="L390" i="1"/>
  <c r="L405" i="1"/>
  <c r="L420" i="1"/>
  <c r="L435" i="1"/>
  <c r="L450" i="1"/>
  <c r="L465" i="1"/>
  <c r="L480" i="1"/>
  <c r="L495" i="1"/>
  <c r="L510" i="1"/>
  <c r="L525" i="1"/>
  <c r="L540" i="1"/>
  <c r="L555" i="1"/>
  <c r="L570" i="1"/>
  <c r="L585" i="1"/>
  <c r="L600" i="1"/>
  <c r="L615" i="1"/>
  <c r="L630" i="1"/>
  <c r="L645" i="1"/>
  <c r="L660" i="1"/>
  <c r="L675" i="1"/>
  <c r="L690" i="1"/>
  <c r="L705" i="1"/>
  <c r="L720" i="1"/>
  <c r="L735" i="1"/>
  <c r="L750" i="1"/>
  <c r="L765" i="1"/>
  <c r="L780" i="1"/>
  <c r="L795" i="1"/>
  <c r="L810" i="1"/>
  <c r="L825" i="1"/>
  <c r="L840" i="1"/>
  <c r="L855" i="1"/>
  <c r="L870" i="1"/>
  <c r="L885" i="1"/>
  <c r="L900" i="1"/>
  <c r="L915" i="1"/>
  <c r="L930" i="1"/>
  <c r="L945" i="1"/>
  <c r="L960" i="1"/>
  <c r="L975" i="1"/>
  <c r="L990" i="1"/>
  <c r="L1005" i="1"/>
  <c r="L1020" i="1"/>
  <c r="L1035" i="1"/>
  <c r="L1050" i="1"/>
  <c r="L1065" i="1"/>
  <c r="L1080" i="1"/>
  <c r="L1095" i="1"/>
  <c r="L1110" i="1"/>
  <c r="L1125" i="1"/>
  <c r="L1140" i="1"/>
  <c r="L1155" i="1"/>
  <c r="L1170" i="1"/>
  <c r="L1185" i="1"/>
  <c r="L1200" i="1"/>
  <c r="L1215" i="1"/>
  <c r="L1230" i="1"/>
  <c r="L1245" i="1"/>
  <c r="L1260" i="1"/>
  <c r="L1275" i="1"/>
  <c r="L1290" i="1"/>
  <c r="L1305" i="1"/>
  <c r="L1320" i="1"/>
  <c r="L1335" i="1"/>
  <c r="L1350" i="1"/>
  <c r="L1365" i="1"/>
  <c r="L1380" i="1"/>
  <c r="L1395" i="1"/>
  <c r="L1410" i="1"/>
  <c r="L1425" i="1"/>
  <c r="L1440" i="1"/>
  <c r="L1455" i="1"/>
  <c r="L1470" i="1"/>
  <c r="L1485" i="1"/>
  <c r="L1500" i="1"/>
  <c r="L1515" i="1"/>
  <c r="L1530" i="1"/>
  <c r="L1545" i="1"/>
  <c r="L1560" i="1"/>
  <c r="L1575" i="1"/>
  <c r="L1590" i="1"/>
  <c r="L1605" i="1"/>
  <c r="L1620" i="1"/>
  <c r="L1635" i="1"/>
  <c r="L1650" i="1"/>
  <c r="L1665" i="1"/>
  <c r="L1680" i="1"/>
  <c r="L1695" i="1"/>
  <c r="L1710" i="1"/>
  <c r="L1725" i="1"/>
  <c r="L1740" i="1"/>
  <c r="L1755" i="1"/>
  <c r="L1770" i="1"/>
  <c r="L1785" i="1"/>
  <c r="L1800" i="1"/>
  <c r="L1815" i="1"/>
  <c r="L1830" i="1"/>
  <c r="L1845" i="1"/>
  <c r="L1860" i="1"/>
  <c r="L1875" i="1"/>
  <c r="L1890" i="1"/>
  <c r="L1905" i="1"/>
  <c r="L1920" i="1"/>
  <c r="L1935" i="1"/>
  <c r="L1950" i="1"/>
  <c r="L1965" i="1"/>
  <c r="L1980" i="1"/>
  <c r="L1995" i="1"/>
  <c r="L2010" i="1"/>
  <c r="L2025" i="1"/>
  <c r="L2040" i="1"/>
  <c r="L2055" i="1"/>
  <c r="L2070" i="1"/>
  <c r="L2085" i="1"/>
  <c r="L2100" i="1"/>
  <c r="L2115" i="1"/>
  <c r="L2130" i="1"/>
  <c r="L2145" i="1"/>
  <c r="L2160" i="1"/>
  <c r="L2175" i="1"/>
  <c r="L2190" i="1"/>
  <c r="L2205" i="1"/>
  <c r="L2220" i="1"/>
  <c r="L2235" i="1"/>
  <c r="L2250" i="1"/>
  <c r="L2265" i="1"/>
  <c r="L2280" i="1"/>
  <c r="L2295" i="1"/>
  <c r="L2310" i="1"/>
  <c r="L2325" i="1"/>
  <c r="L2340" i="1"/>
  <c r="L2355" i="1"/>
  <c r="L2370" i="1"/>
  <c r="L2385" i="1"/>
  <c r="L2400" i="1"/>
  <c r="L2415" i="1"/>
  <c r="L2430" i="1"/>
  <c r="L2445" i="1"/>
  <c r="L2460" i="1"/>
  <c r="L2475" i="1"/>
  <c r="L2490" i="1"/>
  <c r="L2505" i="1"/>
  <c r="L2520" i="1"/>
  <c r="L2535" i="1"/>
  <c r="L2550" i="1"/>
  <c r="L2565" i="1"/>
  <c r="L2580" i="1"/>
  <c r="L2595" i="1"/>
  <c r="L2610" i="1"/>
  <c r="L2625" i="1"/>
  <c r="L2640" i="1"/>
  <c r="L2655" i="1"/>
  <c r="L2670" i="1"/>
  <c r="L2685" i="1"/>
  <c r="L2700" i="1"/>
  <c r="L2715" i="1"/>
  <c r="L2730" i="1"/>
  <c r="L2745" i="1"/>
  <c r="L2760" i="1"/>
  <c r="L2775" i="1"/>
  <c r="L2790" i="1"/>
  <c r="L2805" i="1"/>
  <c r="L2820" i="1"/>
  <c r="L2835" i="1"/>
  <c r="L2850" i="1"/>
  <c r="L2865" i="1"/>
  <c r="L2880" i="1"/>
  <c r="L2895" i="1"/>
  <c r="L2910" i="1"/>
  <c r="L2925" i="1"/>
  <c r="L2940" i="1"/>
  <c r="L2955" i="1"/>
  <c r="L2970" i="1"/>
  <c r="L2985" i="1"/>
  <c r="L3000" i="1"/>
  <c r="L3015" i="1"/>
  <c r="L3030" i="1"/>
  <c r="L3045" i="1"/>
  <c r="L3060" i="1"/>
  <c r="L3075" i="1"/>
  <c r="L3090" i="1"/>
  <c r="L3105" i="1"/>
  <c r="L3120" i="1"/>
  <c r="L3135" i="1"/>
  <c r="L3150" i="1"/>
  <c r="L3165" i="1"/>
  <c r="L3180" i="1"/>
  <c r="L3195" i="1"/>
  <c r="L3210" i="1"/>
  <c r="L3225" i="1"/>
  <c r="L3240" i="1"/>
  <c r="L3255" i="1"/>
  <c r="L3270" i="1"/>
  <c r="L3285" i="1"/>
  <c r="L3300" i="1"/>
  <c r="L3315" i="1"/>
  <c r="L3330" i="1"/>
  <c r="L3345" i="1"/>
  <c r="L3360" i="1"/>
  <c r="L3375" i="1"/>
  <c r="L3390" i="1"/>
  <c r="L3405" i="1"/>
  <c r="L3420" i="1"/>
  <c r="L3435" i="1"/>
  <c r="L3450" i="1"/>
  <c r="L3465" i="1"/>
  <c r="L3480" i="1"/>
  <c r="L3495" i="1"/>
  <c r="L3510" i="1"/>
  <c r="L3525" i="1"/>
  <c r="L3540" i="1"/>
  <c r="L3555" i="1"/>
  <c r="L3570" i="1"/>
  <c r="L3585" i="1"/>
  <c r="L3600" i="1"/>
  <c r="L3615" i="1"/>
  <c r="L3629" i="1"/>
  <c r="L3643" i="1"/>
  <c r="L3658" i="1"/>
  <c r="L3673" i="1"/>
  <c r="L3688" i="1"/>
  <c r="L16" i="1"/>
  <c r="L31" i="1"/>
  <c r="L46" i="1"/>
  <c r="L61" i="1"/>
  <c r="L76" i="1"/>
  <c r="L91" i="1"/>
  <c r="L106" i="1"/>
  <c r="L121" i="1"/>
  <c r="L136" i="1"/>
  <c r="L151" i="1"/>
  <c r="L166" i="1"/>
  <c r="L181" i="1"/>
  <c r="L196" i="1"/>
  <c r="L211" i="1"/>
  <c r="L226" i="1"/>
  <c r="L241" i="1"/>
  <c r="L256" i="1"/>
  <c r="L271" i="1"/>
  <c r="L286" i="1"/>
  <c r="L301" i="1"/>
  <c r="L316" i="1"/>
  <c r="L331" i="1"/>
  <c r="L346" i="1"/>
  <c r="L361" i="1"/>
  <c r="L376" i="1"/>
  <c r="L391" i="1"/>
  <c r="L406" i="1"/>
  <c r="L421" i="1"/>
  <c r="L436" i="1"/>
  <c r="L451" i="1"/>
  <c r="L466" i="1"/>
  <c r="L481" i="1"/>
  <c r="L496" i="1"/>
  <c r="L511" i="1"/>
  <c r="L526" i="1"/>
  <c r="L541" i="1"/>
  <c r="L556" i="1"/>
  <c r="L571" i="1"/>
  <c r="L586" i="1"/>
  <c r="L601" i="1"/>
  <c r="L616" i="1"/>
  <c r="L631" i="1"/>
  <c r="L646" i="1"/>
  <c r="L661" i="1"/>
  <c r="L676" i="1"/>
  <c r="L691" i="1"/>
  <c r="L706" i="1"/>
  <c r="L721" i="1"/>
  <c r="L736" i="1"/>
  <c r="L751" i="1"/>
  <c r="L766" i="1"/>
  <c r="L781" i="1"/>
  <c r="L796" i="1"/>
  <c r="L811" i="1"/>
  <c r="L826" i="1"/>
  <c r="L841" i="1"/>
  <c r="L856" i="1"/>
  <c r="L871" i="1"/>
  <c r="L886" i="1"/>
  <c r="L901" i="1"/>
  <c r="L916" i="1"/>
  <c r="L931" i="1"/>
  <c r="L946" i="1"/>
  <c r="L961" i="1"/>
  <c r="L976" i="1"/>
  <c r="L991" i="1"/>
  <c r="L1006" i="1"/>
  <c r="L1021" i="1"/>
  <c r="L1036" i="1"/>
  <c r="L1051" i="1"/>
  <c r="L1066" i="1"/>
  <c r="L1081" i="1"/>
  <c r="L1096" i="1"/>
  <c r="L1111" i="1"/>
  <c r="L1126" i="1"/>
  <c r="L1141" i="1"/>
  <c r="L1156" i="1"/>
  <c r="L1171" i="1"/>
  <c r="L1186" i="1"/>
  <c r="L1201" i="1"/>
  <c r="L1216" i="1"/>
  <c r="L1231" i="1"/>
  <c r="L1246" i="1"/>
  <c r="L1261" i="1"/>
  <c r="L1276" i="1"/>
  <c r="L1291" i="1"/>
  <c r="L1306" i="1"/>
  <c r="L1321" i="1"/>
  <c r="L1336" i="1"/>
  <c r="L1351" i="1"/>
  <c r="L1366" i="1"/>
  <c r="L1381" i="1"/>
  <c r="L1396" i="1"/>
  <c r="L1411" i="1"/>
  <c r="L1426" i="1"/>
  <c r="L1441" i="1"/>
  <c r="L1456" i="1"/>
  <c r="L1471" i="1"/>
  <c r="L1486" i="1"/>
  <c r="L1501" i="1"/>
  <c r="L1516" i="1"/>
  <c r="L1531" i="1"/>
  <c r="L1546" i="1"/>
  <c r="L1561" i="1"/>
  <c r="L1576" i="1"/>
  <c r="L1591" i="1"/>
  <c r="L1606" i="1"/>
  <c r="L1621" i="1"/>
  <c r="L1636" i="1"/>
  <c r="L1651" i="1"/>
  <c r="L1666" i="1"/>
  <c r="L1681" i="1"/>
  <c r="L1696" i="1"/>
  <c r="L1711" i="1"/>
  <c r="L1726" i="1"/>
  <c r="L1741" i="1"/>
  <c r="L1756" i="1"/>
  <c r="L1771" i="1"/>
  <c r="L1786" i="1"/>
  <c r="L1801" i="1"/>
  <c r="L1816" i="1"/>
  <c r="L1831" i="1"/>
  <c r="L1846" i="1"/>
  <c r="L1861" i="1"/>
  <c r="L1876" i="1"/>
  <c r="L1891" i="1"/>
  <c r="L1906" i="1"/>
  <c r="L1921" i="1"/>
  <c r="L1936" i="1"/>
  <c r="L1951" i="1"/>
  <c r="L1966" i="1"/>
  <c r="L1981" i="1"/>
  <c r="L1996" i="1"/>
  <c r="L2011" i="1"/>
  <c r="L2026" i="1"/>
  <c r="L2041" i="1"/>
  <c r="L2056" i="1"/>
  <c r="L2071" i="1"/>
  <c r="L2086" i="1"/>
  <c r="L2101" i="1"/>
  <c r="L2116" i="1"/>
  <c r="L2131" i="1"/>
  <c r="L2146" i="1"/>
  <c r="L2161" i="1"/>
  <c r="L2176" i="1"/>
  <c r="L2191" i="1"/>
  <c r="L2206" i="1"/>
  <c r="L2221" i="1"/>
  <c r="L2236" i="1"/>
  <c r="L2251" i="1"/>
  <c r="L2266" i="1"/>
  <c r="L2281" i="1"/>
  <c r="L2296" i="1"/>
  <c r="L2311" i="1"/>
  <c r="L2326" i="1"/>
  <c r="L2341" i="1"/>
  <c r="L2356" i="1"/>
  <c r="L2371" i="1"/>
  <c r="L2386" i="1"/>
  <c r="L2401" i="1"/>
  <c r="L2416" i="1"/>
  <c r="L2431" i="1"/>
  <c r="L2446" i="1"/>
  <c r="L2461" i="1"/>
  <c r="L2476" i="1"/>
  <c r="L2491" i="1"/>
  <c r="L2506" i="1"/>
  <c r="L2521" i="1"/>
  <c r="L2536" i="1"/>
  <c r="L2551" i="1"/>
  <c r="L2566" i="1"/>
  <c r="L2581" i="1"/>
  <c r="L2596" i="1"/>
  <c r="L2611" i="1"/>
  <c r="L2626" i="1"/>
  <c r="L2641" i="1"/>
  <c r="L2656" i="1"/>
  <c r="L2671" i="1"/>
  <c r="L2686" i="1"/>
  <c r="L2701" i="1"/>
  <c r="L2716" i="1"/>
  <c r="L2731" i="1"/>
  <c r="L2746" i="1"/>
  <c r="L2761" i="1"/>
  <c r="L2776" i="1"/>
  <c r="L2791" i="1"/>
  <c r="L2806" i="1"/>
  <c r="L2821" i="1"/>
  <c r="L2836" i="1"/>
  <c r="L2851" i="1"/>
  <c r="L2866" i="1"/>
  <c r="L2881" i="1"/>
  <c r="L2896" i="1"/>
  <c r="L2911" i="1"/>
  <c r="L2926" i="1"/>
  <c r="L2941" i="1"/>
  <c r="L2956" i="1"/>
  <c r="L2971" i="1"/>
  <c r="L2986" i="1"/>
  <c r="L3001" i="1"/>
  <c r="L3016" i="1"/>
  <c r="L3031" i="1"/>
  <c r="L3046" i="1"/>
  <c r="L3061" i="1"/>
  <c r="L3076" i="1"/>
  <c r="L3091" i="1"/>
  <c r="L3106" i="1"/>
  <c r="L3121" i="1"/>
  <c r="L3136" i="1"/>
  <c r="L3151" i="1"/>
  <c r="L3166" i="1"/>
  <c r="L3181" i="1"/>
  <c r="L3196" i="1"/>
  <c r="L3211" i="1"/>
  <c r="L3226" i="1"/>
  <c r="L3241" i="1"/>
  <c r="L3256" i="1"/>
  <c r="L3271" i="1"/>
  <c r="L3286" i="1"/>
  <c r="L3301" i="1"/>
  <c r="L3316" i="1"/>
  <c r="L3331" i="1"/>
  <c r="L3346" i="1"/>
  <c r="L3361" i="1"/>
  <c r="L3376" i="1"/>
  <c r="L3391" i="1"/>
  <c r="L3406" i="1"/>
  <c r="L3421" i="1"/>
  <c r="L3436" i="1"/>
  <c r="L3451" i="1"/>
  <c r="L3466" i="1"/>
  <c r="L3481" i="1"/>
  <c r="L3496" i="1"/>
  <c r="L3511" i="1"/>
  <c r="L3526" i="1"/>
  <c r="L3541" i="1"/>
  <c r="L3556" i="1"/>
  <c r="L3571" i="1"/>
  <c r="L3586" i="1"/>
  <c r="L3601" i="1"/>
  <c r="L3616" i="1"/>
  <c r="L3644" i="1"/>
  <c r="L3659" i="1"/>
  <c r="L3674" i="1"/>
  <c r="L3689" i="1"/>
  <c r="L2" i="1"/>
  <c r="J17" i="1"/>
  <c r="J32" i="1"/>
  <c r="J47" i="1"/>
  <c r="J62" i="1"/>
  <c r="J77" i="1"/>
  <c r="J92" i="1"/>
  <c r="J107" i="1"/>
  <c r="J122" i="1"/>
  <c r="J137" i="1"/>
  <c r="J152" i="1"/>
  <c r="J167" i="1"/>
  <c r="J182" i="1"/>
  <c r="J197" i="1"/>
  <c r="J212" i="1"/>
  <c r="J227" i="1"/>
  <c r="J242" i="1"/>
  <c r="J257" i="1"/>
  <c r="J272" i="1"/>
  <c r="J287" i="1"/>
  <c r="J302" i="1"/>
  <c r="J317" i="1"/>
  <c r="J332" i="1"/>
  <c r="J347" i="1"/>
  <c r="J362" i="1"/>
  <c r="J377" i="1"/>
  <c r="J392" i="1"/>
  <c r="J407" i="1"/>
  <c r="J422" i="1"/>
  <c r="J437" i="1"/>
  <c r="J452" i="1"/>
  <c r="J467" i="1"/>
  <c r="J482" i="1"/>
  <c r="J497" i="1"/>
  <c r="J512" i="1"/>
  <c r="J527" i="1"/>
  <c r="J542" i="1"/>
  <c r="J557" i="1"/>
  <c r="J572" i="1"/>
  <c r="J587" i="1"/>
  <c r="J602" i="1"/>
  <c r="J617" i="1"/>
  <c r="J632" i="1"/>
  <c r="J647" i="1"/>
  <c r="J662" i="1"/>
  <c r="J677" i="1"/>
  <c r="J692" i="1"/>
  <c r="J707" i="1"/>
  <c r="J722" i="1"/>
  <c r="J737" i="1"/>
  <c r="J752" i="1"/>
  <c r="J767" i="1"/>
  <c r="J782" i="1"/>
  <c r="J797" i="1"/>
  <c r="J812" i="1"/>
  <c r="J827" i="1"/>
  <c r="J842" i="1"/>
  <c r="J857" i="1"/>
  <c r="J872" i="1"/>
  <c r="J887" i="1"/>
  <c r="J902" i="1"/>
  <c r="J917" i="1"/>
  <c r="J932" i="1"/>
  <c r="J947" i="1"/>
  <c r="J962" i="1"/>
  <c r="J977" i="1"/>
  <c r="J992" i="1"/>
  <c r="J1007" i="1"/>
  <c r="J1022" i="1"/>
  <c r="J1037" i="1"/>
  <c r="J1052" i="1"/>
  <c r="J1067" i="1"/>
  <c r="J1082" i="1"/>
  <c r="J1097" i="1"/>
  <c r="J1112" i="1"/>
  <c r="J1127" i="1"/>
  <c r="J1142" i="1"/>
  <c r="J1157" i="1"/>
  <c r="J1172" i="1"/>
  <c r="J1187" i="1"/>
  <c r="J1202" i="1"/>
  <c r="J1217" i="1"/>
  <c r="J1232" i="1"/>
  <c r="J1247" i="1"/>
  <c r="J1262" i="1"/>
  <c r="J1277" i="1"/>
  <c r="J1292" i="1"/>
  <c r="J1307" i="1"/>
  <c r="J1322" i="1"/>
  <c r="J1337" i="1"/>
  <c r="J1352" i="1"/>
  <c r="J1367" i="1"/>
  <c r="J1382" i="1"/>
  <c r="J1397" i="1"/>
  <c r="J1412" i="1"/>
  <c r="J1427" i="1"/>
  <c r="J1442" i="1"/>
  <c r="J1457" i="1"/>
  <c r="J1472" i="1"/>
  <c r="J1487" i="1"/>
  <c r="J1502" i="1"/>
  <c r="J1517" i="1"/>
  <c r="J1532" i="1"/>
  <c r="J1547" i="1"/>
  <c r="J1562" i="1"/>
  <c r="J1577" i="1"/>
  <c r="J1592" i="1"/>
  <c r="J1607" i="1"/>
  <c r="J1622" i="1"/>
  <c r="J1637" i="1"/>
  <c r="J1652" i="1"/>
  <c r="J1667" i="1"/>
  <c r="J1682" i="1"/>
  <c r="J1697" i="1"/>
  <c r="J1712" i="1"/>
  <c r="J1727" i="1"/>
  <c r="J1742" i="1"/>
  <c r="J1757" i="1"/>
  <c r="J1772" i="1"/>
  <c r="J1787" i="1"/>
  <c r="J1802" i="1"/>
  <c r="J1817" i="1"/>
  <c r="J1832" i="1"/>
  <c r="J1847" i="1"/>
  <c r="J1862" i="1"/>
  <c r="J1877" i="1"/>
  <c r="J1892" i="1"/>
  <c r="J1907" i="1"/>
  <c r="J1922" i="1"/>
  <c r="J1937" i="1"/>
  <c r="J1952" i="1"/>
  <c r="J1967" i="1"/>
  <c r="J1982" i="1"/>
  <c r="J1997" i="1"/>
  <c r="J2012" i="1"/>
  <c r="J2027" i="1"/>
  <c r="J2042" i="1"/>
  <c r="J2057" i="1"/>
  <c r="J2072" i="1"/>
  <c r="J2087" i="1"/>
  <c r="J2102" i="1"/>
  <c r="J2117" i="1"/>
  <c r="J2132" i="1"/>
  <c r="J2147" i="1"/>
  <c r="J2162" i="1"/>
  <c r="J2177" i="1"/>
  <c r="J2192" i="1"/>
  <c r="J2207" i="1"/>
  <c r="J2222" i="1"/>
  <c r="J2237" i="1"/>
  <c r="J2252" i="1"/>
  <c r="J2267" i="1"/>
  <c r="J2282" i="1"/>
  <c r="J2297" i="1"/>
  <c r="J2312" i="1"/>
  <c r="J2327" i="1"/>
  <c r="J2342" i="1"/>
  <c r="J2357" i="1"/>
  <c r="J2372" i="1"/>
  <c r="J2387" i="1"/>
  <c r="J2402" i="1"/>
  <c r="J2417" i="1"/>
  <c r="J2432" i="1"/>
  <c r="J2447" i="1"/>
  <c r="J2462" i="1"/>
  <c r="J2477" i="1"/>
  <c r="J2492" i="1"/>
  <c r="J2507" i="1"/>
  <c r="J2522" i="1"/>
  <c r="J2537" i="1"/>
  <c r="J2552" i="1"/>
  <c r="J2567" i="1"/>
  <c r="J2582" i="1"/>
  <c r="J2597" i="1"/>
  <c r="J2612" i="1"/>
  <c r="J2627" i="1"/>
  <c r="J2642" i="1"/>
  <c r="J2657" i="1"/>
  <c r="J2672" i="1"/>
  <c r="J2687" i="1"/>
  <c r="J2702" i="1"/>
  <c r="J2717" i="1"/>
  <c r="J2732" i="1"/>
  <c r="J2747" i="1"/>
  <c r="J2762" i="1"/>
  <c r="J2777" i="1"/>
  <c r="J2792" i="1"/>
  <c r="J2807" i="1"/>
  <c r="J2822" i="1"/>
  <c r="J2837" i="1"/>
  <c r="J2852" i="1"/>
  <c r="J2867" i="1"/>
  <c r="J2882" i="1"/>
  <c r="J2897" i="1"/>
  <c r="J2912" i="1"/>
  <c r="J2927" i="1"/>
  <c r="J2942" i="1"/>
  <c r="J2957" i="1"/>
  <c r="J2972" i="1"/>
  <c r="J2987" i="1"/>
  <c r="J3002" i="1"/>
  <c r="J3017" i="1"/>
  <c r="J3032" i="1"/>
  <c r="J3047" i="1"/>
  <c r="J3062" i="1"/>
  <c r="J3077" i="1"/>
  <c r="J3092" i="1"/>
  <c r="J3107" i="1"/>
  <c r="J3122" i="1"/>
  <c r="J3137" i="1"/>
  <c r="J3152" i="1"/>
  <c r="J3167" i="1"/>
  <c r="J3182" i="1"/>
  <c r="J3197" i="1"/>
  <c r="J3212" i="1"/>
  <c r="J3227" i="1"/>
  <c r="J3242" i="1"/>
  <c r="J3257" i="1"/>
  <c r="J3272" i="1"/>
  <c r="J3287" i="1"/>
  <c r="J3302" i="1"/>
  <c r="J3317" i="1"/>
  <c r="J3332" i="1"/>
  <c r="J3347" i="1"/>
  <c r="J3362" i="1"/>
  <c r="J3377" i="1"/>
  <c r="J3392" i="1"/>
  <c r="J3407" i="1"/>
  <c r="J3422" i="1"/>
  <c r="J3437" i="1"/>
  <c r="J3452" i="1"/>
  <c r="J3467" i="1"/>
  <c r="J3482" i="1"/>
  <c r="J3497" i="1"/>
  <c r="J3512" i="1"/>
  <c r="J3527" i="1"/>
  <c r="J3542" i="1"/>
  <c r="J3557" i="1"/>
  <c r="J3572" i="1"/>
  <c r="J3587" i="1"/>
  <c r="J3602" i="1"/>
  <c r="J3617" i="1"/>
  <c r="J3630" i="1"/>
  <c r="J3645" i="1"/>
  <c r="J3660" i="1"/>
  <c r="J3675" i="1"/>
  <c r="J3" i="1"/>
  <c r="J18" i="1"/>
  <c r="J33" i="1"/>
  <c r="J48" i="1"/>
  <c r="J63" i="1"/>
  <c r="J78" i="1"/>
  <c r="J93" i="1"/>
  <c r="J108" i="1"/>
  <c r="J123" i="1"/>
  <c r="J138" i="1"/>
  <c r="J153" i="1"/>
  <c r="J168" i="1"/>
  <c r="J183" i="1"/>
  <c r="J198" i="1"/>
  <c r="J213" i="1"/>
  <c r="J228" i="1"/>
  <c r="J243" i="1"/>
  <c r="J258" i="1"/>
  <c r="J273" i="1"/>
  <c r="J288" i="1"/>
  <c r="J303" i="1"/>
  <c r="J318" i="1"/>
  <c r="J333" i="1"/>
  <c r="J348" i="1"/>
  <c r="J363" i="1"/>
  <c r="J378" i="1"/>
  <c r="J393" i="1"/>
  <c r="J408" i="1"/>
  <c r="J423" i="1"/>
  <c r="J438" i="1"/>
  <c r="J453" i="1"/>
  <c r="J468" i="1"/>
  <c r="J483" i="1"/>
  <c r="J498" i="1"/>
  <c r="J513" i="1"/>
  <c r="J528" i="1"/>
  <c r="J543" i="1"/>
  <c r="J558" i="1"/>
  <c r="J573" i="1"/>
  <c r="J588" i="1"/>
  <c r="J603" i="1"/>
  <c r="J618" i="1"/>
  <c r="J633" i="1"/>
  <c r="J648" i="1"/>
  <c r="J663" i="1"/>
  <c r="J678" i="1"/>
  <c r="J693" i="1"/>
  <c r="J708" i="1"/>
  <c r="J723" i="1"/>
  <c r="J738" i="1"/>
  <c r="J753" i="1"/>
  <c r="J768" i="1"/>
  <c r="J783" i="1"/>
  <c r="J798" i="1"/>
  <c r="J813" i="1"/>
  <c r="J828" i="1"/>
  <c r="J843" i="1"/>
  <c r="J858" i="1"/>
  <c r="J873" i="1"/>
  <c r="J888" i="1"/>
  <c r="J903" i="1"/>
  <c r="J918" i="1"/>
  <c r="J933" i="1"/>
  <c r="J948" i="1"/>
  <c r="J963" i="1"/>
  <c r="J978" i="1"/>
  <c r="J993" i="1"/>
  <c r="J1008" i="1"/>
  <c r="J1023" i="1"/>
  <c r="J1038" i="1"/>
  <c r="J1053" i="1"/>
  <c r="J1068" i="1"/>
  <c r="J1083" i="1"/>
  <c r="J1098" i="1"/>
  <c r="J1113" i="1"/>
  <c r="J1128" i="1"/>
  <c r="J1143" i="1"/>
  <c r="J1158" i="1"/>
  <c r="J1173" i="1"/>
  <c r="J1188" i="1"/>
  <c r="J1203" i="1"/>
  <c r="J1218" i="1"/>
  <c r="J1233" i="1"/>
  <c r="J1248" i="1"/>
  <c r="J1263" i="1"/>
  <c r="J1278" i="1"/>
  <c r="J1293" i="1"/>
  <c r="J1308" i="1"/>
  <c r="J1323" i="1"/>
  <c r="J1338" i="1"/>
  <c r="J1353" i="1"/>
  <c r="J1368" i="1"/>
  <c r="J1383" i="1"/>
  <c r="J1398" i="1"/>
  <c r="J1413" i="1"/>
  <c r="J1428" i="1"/>
  <c r="J1443" i="1"/>
  <c r="J1458" i="1"/>
  <c r="J1473" i="1"/>
  <c r="J1488" i="1"/>
  <c r="J1503" i="1"/>
  <c r="J1518" i="1"/>
  <c r="J1533" i="1"/>
  <c r="J1548" i="1"/>
  <c r="J1563" i="1"/>
  <c r="J1578" i="1"/>
  <c r="J1593" i="1"/>
  <c r="J1608" i="1"/>
  <c r="J1623" i="1"/>
  <c r="J1638" i="1"/>
  <c r="J1653" i="1"/>
  <c r="J1668" i="1"/>
  <c r="J1683" i="1"/>
  <c r="J1698" i="1"/>
  <c r="J1713" i="1"/>
  <c r="J1728" i="1"/>
  <c r="J1743" i="1"/>
  <c r="J1758" i="1"/>
  <c r="J1773" i="1"/>
  <c r="J1788" i="1"/>
  <c r="J1803" i="1"/>
  <c r="J1818" i="1"/>
  <c r="J1833" i="1"/>
  <c r="J1848" i="1"/>
  <c r="J1863" i="1"/>
  <c r="J1878" i="1"/>
  <c r="J1893" i="1"/>
  <c r="J1908" i="1"/>
  <c r="J1923" i="1"/>
  <c r="J1938" i="1"/>
  <c r="J1953" i="1"/>
  <c r="J1968" i="1"/>
  <c r="J1983" i="1"/>
  <c r="J1998" i="1"/>
  <c r="J2013" i="1"/>
  <c r="J2028" i="1"/>
  <c r="J2043" i="1"/>
  <c r="J2058" i="1"/>
  <c r="J2073" i="1"/>
  <c r="J2088" i="1"/>
  <c r="J2103" i="1"/>
  <c r="J2118" i="1"/>
  <c r="J2133" i="1"/>
  <c r="J2148" i="1"/>
  <c r="J2163" i="1"/>
  <c r="J2178" i="1"/>
  <c r="J2193" i="1"/>
  <c r="J2208" i="1"/>
  <c r="J2223" i="1"/>
  <c r="J2238" i="1"/>
  <c r="J2253" i="1"/>
  <c r="J2268" i="1"/>
  <c r="J2283" i="1"/>
  <c r="J2298" i="1"/>
  <c r="J2313" i="1"/>
  <c r="J2328" i="1"/>
  <c r="J2343" i="1"/>
  <c r="J2358" i="1"/>
  <c r="J2373" i="1"/>
  <c r="J2388" i="1"/>
  <c r="J2403" i="1"/>
  <c r="J2418" i="1"/>
  <c r="J2433" i="1"/>
  <c r="J2448" i="1"/>
  <c r="J2463" i="1"/>
  <c r="J2478" i="1"/>
  <c r="J2493" i="1"/>
  <c r="J2508" i="1"/>
  <c r="J2523" i="1"/>
  <c r="J2538" i="1"/>
  <c r="J2553" i="1"/>
  <c r="J2568" i="1"/>
  <c r="J2583" i="1"/>
  <c r="J2598" i="1"/>
  <c r="J2613" i="1"/>
  <c r="J2628" i="1"/>
  <c r="J2643" i="1"/>
  <c r="J2658" i="1"/>
  <c r="J2673" i="1"/>
  <c r="J2688" i="1"/>
  <c r="J2703" i="1"/>
  <c r="J2718" i="1"/>
  <c r="J2733" i="1"/>
  <c r="J2748" i="1"/>
  <c r="J2763" i="1"/>
  <c r="J2778" i="1"/>
  <c r="J2793" i="1"/>
  <c r="J2808" i="1"/>
  <c r="J2823" i="1"/>
  <c r="J2838" i="1"/>
  <c r="J2853" i="1"/>
  <c r="J2868" i="1"/>
  <c r="J2883" i="1"/>
  <c r="J2898" i="1"/>
  <c r="J2913" i="1"/>
  <c r="J2928" i="1"/>
  <c r="J2943" i="1"/>
  <c r="J2958" i="1"/>
  <c r="J2973" i="1"/>
  <c r="J2988" i="1"/>
  <c r="J3003" i="1"/>
  <c r="J3018" i="1"/>
  <c r="J3033" i="1"/>
  <c r="J3048" i="1"/>
  <c r="J3063" i="1"/>
  <c r="J3078" i="1"/>
  <c r="J3093" i="1"/>
  <c r="J3108" i="1"/>
  <c r="J3123" i="1"/>
  <c r="J3138" i="1"/>
  <c r="J3153" i="1"/>
  <c r="J3168" i="1"/>
  <c r="J3183" i="1"/>
  <c r="J3198" i="1"/>
  <c r="J3213" i="1"/>
  <c r="J3228" i="1"/>
  <c r="J3243" i="1"/>
  <c r="J3258" i="1"/>
  <c r="J3273" i="1"/>
  <c r="J3288" i="1"/>
  <c r="J3303" i="1"/>
  <c r="J3318" i="1"/>
  <c r="J3333" i="1"/>
  <c r="J3348" i="1"/>
  <c r="J3363" i="1"/>
  <c r="J3378" i="1"/>
  <c r="J3393" i="1"/>
  <c r="J3408" i="1"/>
  <c r="J3423" i="1"/>
  <c r="J3438" i="1"/>
  <c r="J3453" i="1"/>
  <c r="J3468" i="1"/>
  <c r="J3483" i="1"/>
  <c r="J3498" i="1"/>
  <c r="J3513" i="1"/>
  <c r="J3528" i="1"/>
  <c r="J3543" i="1"/>
  <c r="J3558" i="1"/>
  <c r="J3573" i="1"/>
  <c r="J3588" i="1"/>
  <c r="J3603" i="1"/>
  <c r="J3618" i="1"/>
  <c r="J3631" i="1"/>
  <c r="J3646" i="1"/>
  <c r="J3661" i="1"/>
  <c r="J3676" i="1"/>
  <c r="J4" i="1"/>
  <c r="J19" i="1"/>
  <c r="J34" i="1"/>
  <c r="J49" i="1"/>
  <c r="J64" i="1"/>
  <c r="J79" i="1"/>
  <c r="J94" i="1"/>
  <c r="J109" i="1"/>
  <c r="J124" i="1"/>
  <c r="J139" i="1"/>
  <c r="J154" i="1"/>
  <c r="J169" i="1"/>
  <c r="J184" i="1"/>
  <c r="J199" i="1"/>
  <c r="J214" i="1"/>
  <c r="J229" i="1"/>
  <c r="J244" i="1"/>
  <c r="J259" i="1"/>
  <c r="J274" i="1"/>
  <c r="J289" i="1"/>
  <c r="J304" i="1"/>
  <c r="J319" i="1"/>
  <c r="J334" i="1"/>
  <c r="J349" i="1"/>
  <c r="J364" i="1"/>
  <c r="J379" i="1"/>
  <c r="J394" i="1"/>
  <c r="J409" i="1"/>
  <c r="J424" i="1"/>
  <c r="J439" i="1"/>
  <c r="J454" i="1"/>
  <c r="J469" i="1"/>
  <c r="J484" i="1"/>
  <c r="J499" i="1"/>
  <c r="J514" i="1"/>
  <c r="J529" i="1"/>
  <c r="J544" i="1"/>
  <c r="J559" i="1"/>
  <c r="J574" i="1"/>
  <c r="J589" i="1"/>
  <c r="J604" i="1"/>
  <c r="J619" i="1"/>
  <c r="J634" i="1"/>
  <c r="J649" i="1"/>
  <c r="J664" i="1"/>
  <c r="J679" i="1"/>
  <c r="J694" i="1"/>
  <c r="J709" i="1"/>
  <c r="J724" i="1"/>
  <c r="J739" i="1"/>
  <c r="J754" i="1"/>
  <c r="J769" i="1"/>
  <c r="J784" i="1"/>
  <c r="J799" i="1"/>
  <c r="J814" i="1"/>
  <c r="J829" i="1"/>
  <c r="J844" i="1"/>
  <c r="J859" i="1"/>
  <c r="J874" i="1"/>
  <c r="J889" i="1"/>
  <c r="J904" i="1"/>
  <c r="J919" i="1"/>
  <c r="J934" i="1"/>
  <c r="J949" i="1"/>
  <c r="J964" i="1"/>
  <c r="J979" i="1"/>
  <c r="J994" i="1"/>
  <c r="J1009" i="1"/>
  <c r="J1024" i="1"/>
  <c r="J1039" i="1"/>
  <c r="J1054" i="1"/>
  <c r="J1069" i="1"/>
  <c r="J1084" i="1"/>
  <c r="J1099" i="1"/>
  <c r="J1114" i="1"/>
  <c r="J1129" i="1"/>
  <c r="J1144" i="1"/>
  <c r="J1159" i="1"/>
  <c r="J1174" i="1"/>
  <c r="J1189" i="1"/>
  <c r="J1204" i="1"/>
  <c r="J1219" i="1"/>
  <c r="J1234" i="1"/>
  <c r="J1249" i="1"/>
  <c r="J1264" i="1"/>
  <c r="J1279" i="1"/>
  <c r="J1294" i="1"/>
  <c r="J1309" i="1"/>
  <c r="J1324" i="1"/>
  <c r="J1339" i="1"/>
  <c r="J1354" i="1"/>
  <c r="J1369" i="1"/>
  <c r="J1384" i="1"/>
  <c r="J1399" i="1"/>
  <c r="J1414" i="1"/>
  <c r="J1429" i="1"/>
  <c r="J1444" i="1"/>
  <c r="J1459" i="1"/>
  <c r="J1474" i="1"/>
  <c r="J1489" i="1"/>
  <c r="J1504" i="1"/>
  <c r="J1519" i="1"/>
  <c r="J1534" i="1"/>
  <c r="J1549" i="1"/>
  <c r="J1564" i="1"/>
  <c r="J1579" i="1"/>
  <c r="J1594" i="1"/>
  <c r="J1609" i="1"/>
  <c r="J1624" i="1"/>
  <c r="J1639" i="1"/>
  <c r="J1654" i="1"/>
  <c r="J1669" i="1"/>
  <c r="J1684" i="1"/>
  <c r="J1699" i="1"/>
  <c r="J1714" i="1"/>
  <c r="J1729" i="1"/>
  <c r="J1744" i="1"/>
  <c r="J1759" i="1"/>
  <c r="J1774" i="1"/>
  <c r="J1789" i="1"/>
  <c r="J1804" i="1"/>
  <c r="J1819" i="1"/>
  <c r="J1834" i="1"/>
  <c r="J1849" i="1"/>
  <c r="J1864" i="1"/>
  <c r="J1879" i="1"/>
  <c r="J1894" i="1"/>
  <c r="J1909" i="1"/>
  <c r="J1924" i="1"/>
  <c r="J1939" i="1"/>
  <c r="J1954" i="1"/>
  <c r="J1969" i="1"/>
  <c r="J1984" i="1"/>
  <c r="J1999" i="1"/>
  <c r="J2014" i="1"/>
  <c r="J2029" i="1"/>
  <c r="J2044" i="1"/>
  <c r="J2059" i="1"/>
  <c r="J2074" i="1"/>
  <c r="J2089" i="1"/>
  <c r="J2104" i="1"/>
  <c r="J2119" i="1"/>
  <c r="J2134" i="1"/>
  <c r="J2149" i="1"/>
  <c r="J2164" i="1"/>
  <c r="J2179" i="1"/>
  <c r="J2194" i="1"/>
  <c r="J2209" i="1"/>
  <c r="J2224" i="1"/>
  <c r="J2239" i="1"/>
  <c r="J2254" i="1"/>
  <c r="J2269" i="1"/>
  <c r="J2284" i="1"/>
  <c r="J2299" i="1"/>
  <c r="J2314" i="1"/>
  <c r="J2329" i="1"/>
  <c r="J2344" i="1"/>
  <c r="J2359" i="1"/>
  <c r="J2374" i="1"/>
  <c r="J2389" i="1"/>
  <c r="J2404" i="1"/>
  <c r="J2419" i="1"/>
  <c r="J2434" i="1"/>
  <c r="J2449" i="1"/>
  <c r="J2464" i="1"/>
  <c r="J2479" i="1"/>
  <c r="J2494" i="1"/>
  <c r="J2509" i="1"/>
  <c r="J2524" i="1"/>
  <c r="J2539" i="1"/>
  <c r="J2554" i="1"/>
  <c r="J2569" i="1"/>
  <c r="J2584" i="1"/>
  <c r="J2599" i="1"/>
  <c r="J2614" i="1"/>
  <c r="J2629" i="1"/>
  <c r="J2644" i="1"/>
  <c r="J2659" i="1"/>
  <c r="J2674" i="1"/>
  <c r="J2689" i="1"/>
  <c r="J2704" i="1"/>
  <c r="J2719" i="1"/>
  <c r="J2734" i="1"/>
  <c r="J2749" i="1"/>
  <c r="J2764" i="1"/>
  <c r="J2779" i="1"/>
  <c r="J2794" i="1"/>
  <c r="J2809" i="1"/>
  <c r="J2824" i="1"/>
  <c r="J2839" i="1"/>
  <c r="J2854" i="1"/>
  <c r="J2869" i="1"/>
  <c r="J2884" i="1"/>
  <c r="J2899" i="1"/>
  <c r="J2914" i="1"/>
  <c r="J2929" i="1"/>
  <c r="J2944" i="1"/>
  <c r="J2959" i="1"/>
  <c r="J2974" i="1"/>
  <c r="J2989" i="1"/>
  <c r="J3004" i="1"/>
  <c r="J3019" i="1"/>
  <c r="J3034" i="1"/>
  <c r="J3049" i="1"/>
  <c r="J3064" i="1"/>
  <c r="J3079" i="1"/>
  <c r="J3094" i="1"/>
  <c r="J3109" i="1"/>
  <c r="J3124" i="1"/>
  <c r="J3139" i="1"/>
  <c r="J3154" i="1"/>
  <c r="J3169" i="1"/>
  <c r="J3184" i="1"/>
  <c r="J3199" i="1"/>
  <c r="J3214" i="1"/>
  <c r="J3229" i="1"/>
  <c r="J3244" i="1"/>
  <c r="J3259" i="1"/>
  <c r="J3274" i="1"/>
  <c r="J3289" i="1"/>
  <c r="J3304" i="1"/>
  <c r="J3319" i="1"/>
  <c r="J3334" i="1"/>
  <c r="J3349" i="1"/>
  <c r="J3364" i="1"/>
  <c r="J3379" i="1"/>
  <c r="J3394" i="1"/>
  <c r="J3409" i="1"/>
  <c r="J3424" i="1"/>
  <c r="J3439" i="1"/>
  <c r="J3454" i="1"/>
  <c r="J3469" i="1"/>
  <c r="J3484" i="1"/>
  <c r="J3499" i="1"/>
  <c r="J3514" i="1"/>
  <c r="J3529" i="1"/>
  <c r="J3544" i="1"/>
  <c r="J3559" i="1"/>
  <c r="J3574" i="1"/>
  <c r="J3589" i="1"/>
  <c r="J3604" i="1"/>
  <c r="J3619" i="1"/>
  <c r="J3632" i="1"/>
  <c r="J3647" i="1"/>
  <c r="J3662" i="1"/>
  <c r="J3677" i="1"/>
  <c r="J5" i="1"/>
  <c r="J20" i="1"/>
  <c r="J35" i="1"/>
  <c r="J50" i="1"/>
  <c r="J65" i="1"/>
  <c r="J80" i="1"/>
  <c r="J95" i="1"/>
  <c r="J110" i="1"/>
  <c r="J125" i="1"/>
  <c r="J140" i="1"/>
  <c r="J155" i="1"/>
  <c r="J170" i="1"/>
  <c r="J185" i="1"/>
  <c r="J200" i="1"/>
  <c r="J215" i="1"/>
  <c r="J230" i="1"/>
  <c r="J245" i="1"/>
  <c r="J260" i="1"/>
  <c r="J275" i="1"/>
  <c r="J290" i="1"/>
  <c r="J305" i="1"/>
  <c r="J320" i="1"/>
  <c r="J335" i="1"/>
  <c r="J350" i="1"/>
  <c r="J365" i="1"/>
  <c r="J380" i="1"/>
  <c r="J395" i="1"/>
  <c r="J410" i="1"/>
  <c r="J425" i="1"/>
  <c r="J440" i="1"/>
  <c r="J455" i="1"/>
  <c r="J470" i="1"/>
  <c r="J485" i="1"/>
  <c r="J500" i="1"/>
  <c r="J515" i="1"/>
  <c r="J530" i="1"/>
  <c r="J545" i="1"/>
  <c r="J560" i="1"/>
  <c r="J575" i="1"/>
  <c r="J590" i="1"/>
  <c r="J605" i="1"/>
  <c r="J620" i="1"/>
  <c r="J635" i="1"/>
  <c r="J650" i="1"/>
  <c r="J665" i="1"/>
  <c r="J680" i="1"/>
  <c r="J695" i="1"/>
  <c r="J710" i="1"/>
  <c r="J725" i="1"/>
  <c r="J740" i="1"/>
  <c r="J755" i="1"/>
  <c r="J770" i="1"/>
  <c r="J785" i="1"/>
  <c r="J800" i="1"/>
  <c r="J815" i="1"/>
  <c r="J830" i="1"/>
  <c r="J845" i="1"/>
  <c r="J860" i="1"/>
  <c r="J875" i="1"/>
  <c r="J890" i="1"/>
  <c r="J905" i="1"/>
  <c r="J920" i="1"/>
  <c r="J935" i="1"/>
  <c r="J950" i="1"/>
  <c r="J965" i="1"/>
  <c r="J980" i="1"/>
  <c r="J995" i="1"/>
  <c r="J1010" i="1"/>
  <c r="J1025" i="1"/>
  <c r="J1040" i="1"/>
  <c r="J1055" i="1"/>
  <c r="J1070" i="1"/>
  <c r="J1085" i="1"/>
  <c r="J1100" i="1"/>
  <c r="J1115" i="1"/>
  <c r="J1130" i="1"/>
  <c r="J1145" i="1"/>
  <c r="J1160" i="1"/>
  <c r="J1175" i="1"/>
  <c r="J1190" i="1"/>
  <c r="J1205" i="1"/>
  <c r="J1220" i="1"/>
  <c r="J1235" i="1"/>
  <c r="J1250" i="1"/>
  <c r="J1265" i="1"/>
  <c r="J1280" i="1"/>
  <c r="J1295" i="1"/>
  <c r="J1310" i="1"/>
  <c r="J1325" i="1"/>
  <c r="J1340" i="1"/>
  <c r="J1355" i="1"/>
  <c r="J1370" i="1"/>
  <c r="J1385" i="1"/>
  <c r="J1400" i="1"/>
  <c r="J1415" i="1"/>
  <c r="J1430" i="1"/>
  <c r="J1445" i="1"/>
  <c r="J1460" i="1"/>
  <c r="J1475" i="1"/>
  <c r="J1490" i="1"/>
  <c r="J1505" i="1"/>
  <c r="J1520" i="1"/>
  <c r="J1535" i="1"/>
  <c r="J1550" i="1"/>
  <c r="J1565" i="1"/>
  <c r="J1580" i="1"/>
  <c r="J1595" i="1"/>
  <c r="J1610" i="1"/>
  <c r="J1625" i="1"/>
  <c r="J1640" i="1"/>
  <c r="J1655" i="1"/>
  <c r="J1670" i="1"/>
  <c r="J1685" i="1"/>
  <c r="J1700" i="1"/>
  <c r="J1715" i="1"/>
  <c r="J1730" i="1"/>
  <c r="J1745" i="1"/>
  <c r="J1760" i="1"/>
  <c r="J1775" i="1"/>
  <c r="J1790" i="1"/>
  <c r="J1805" i="1"/>
  <c r="J1820" i="1"/>
  <c r="J1835" i="1"/>
  <c r="J1850" i="1"/>
  <c r="J1865" i="1"/>
  <c r="J1880" i="1"/>
  <c r="J1895" i="1"/>
  <c r="J1910" i="1"/>
  <c r="J1925" i="1"/>
  <c r="J1940" i="1"/>
  <c r="J1955" i="1"/>
  <c r="J1970" i="1"/>
  <c r="J1985" i="1"/>
  <c r="J2000" i="1"/>
  <c r="J2015" i="1"/>
  <c r="J2030" i="1"/>
  <c r="J2045" i="1"/>
  <c r="J2060" i="1"/>
  <c r="J2075" i="1"/>
  <c r="J2090" i="1"/>
  <c r="J2105" i="1"/>
  <c r="J2120" i="1"/>
  <c r="J2135" i="1"/>
  <c r="J2150" i="1"/>
  <c r="J2165" i="1"/>
  <c r="J2180" i="1"/>
  <c r="J2195" i="1"/>
  <c r="J2210" i="1"/>
  <c r="J2225" i="1"/>
  <c r="J2240" i="1"/>
  <c r="J2255" i="1"/>
  <c r="J2270" i="1"/>
  <c r="J2285" i="1"/>
  <c r="J2300" i="1"/>
  <c r="J2315" i="1"/>
  <c r="J2330" i="1"/>
  <c r="J2345" i="1"/>
  <c r="J2360" i="1"/>
  <c r="J2375" i="1"/>
  <c r="J2390" i="1"/>
  <c r="J2405" i="1"/>
  <c r="J2420" i="1"/>
  <c r="J2435" i="1"/>
  <c r="J2450" i="1"/>
  <c r="J2465" i="1"/>
  <c r="J2480" i="1"/>
  <c r="J2495" i="1"/>
  <c r="J2510" i="1"/>
  <c r="J2525" i="1"/>
  <c r="J2540" i="1"/>
  <c r="J2555" i="1"/>
  <c r="J2570" i="1"/>
  <c r="J2585" i="1"/>
  <c r="J2600" i="1"/>
  <c r="J2615" i="1"/>
  <c r="J2630" i="1"/>
  <c r="J2645" i="1"/>
  <c r="J2660" i="1"/>
  <c r="J2675" i="1"/>
  <c r="J2690" i="1"/>
  <c r="J2705" i="1"/>
  <c r="J2720" i="1"/>
  <c r="J2735" i="1"/>
  <c r="J2750" i="1"/>
  <c r="J2765" i="1"/>
  <c r="J2780" i="1"/>
  <c r="J2795" i="1"/>
  <c r="J2810" i="1"/>
  <c r="J2825" i="1"/>
  <c r="J2840" i="1"/>
  <c r="J2855" i="1"/>
  <c r="J2870" i="1"/>
  <c r="J2885" i="1"/>
  <c r="J2900" i="1"/>
  <c r="J2915" i="1"/>
  <c r="J2930" i="1"/>
  <c r="J2945" i="1"/>
  <c r="J2960" i="1"/>
  <c r="J2975" i="1"/>
  <c r="J2990" i="1"/>
  <c r="J3005" i="1"/>
  <c r="J3020" i="1"/>
  <c r="J3035" i="1"/>
  <c r="J3050" i="1"/>
  <c r="J3065" i="1"/>
  <c r="J3080" i="1"/>
  <c r="J3095" i="1"/>
  <c r="J3110" i="1"/>
  <c r="J3125" i="1"/>
  <c r="J3140" i="1"/>
  <c r="J3155" i="1"/>
  <c r="J3170" i="1"/>
  <c r="J3185" i="1"/>
  <c r="J3200" i="1"/>
  <c r="J3215" i="1"/>
  <c r="J3230" i="1"/>
  <c r="J3245" i="1"/>
  <c r="J3260" i="1"/>
  <c r="J3275" i="1"/>
  <c r="J3290" i="1"/>
  <c r="J3305" i="1"/>
  <c r="J3320" i="1"/>
  <c r="J3335" i="1"/>
  <c r="J3350" i="1"/>
  <c r="J3365" i="1"/>
  <c r="J3380" i="1"/>
  <c r="J3395" i="1"/>
  <c r="J3410" i="1"/>
  <c r="J3425" i="1"/>
  <c r="J3440" i="1"/>
  <c r="J3455" i="1"/>
  <c r="J3470" i="1"/>
  <c r="J3485" i="1"/>
  <c r="J3500" i="1"/>
  <c r="J3515" i="1"/>
  <c r="J3530" i="1"/>
  <c r="J3545" i="1"/>
  <c r="J3560" i="1"/>
  <c r="J3575" i="1"/>
  <c r="J3590" i="1"/>
  <c r="J3605" i="1"/>
  <c r="J3620" i="1"/>
  <c r="J3633" i="1"/>
  <c r="J3648" i="1"/>
  <c r="J3663" i="1"/>
  <c r="J3678" i="1"/>
  <c r="J6" i="1"/>
  <c r="J21" i="1"/>
  <c r="J36" i="1"/>
  <c r="J51" i="1"/>
  <c r="J66" i="1"/>
  <c r="J81" i="1"/>
  <c r="J96" i="1"/>
  <c r="J111" i="1"/>
  <c r="J126" i="1"/>
  <c r="J141" i="1"/>
  <c r="J156" i="1"/>
  <c r="J171" i="1"/>
  <c r="J186" i="1"/>
  <c r="J201" i="1"/>
  <c r="J216" i="1"/>
  <c r="J231" i="1"/>
  <c r="J246" i="1"/>
  <c r="J261" i="1"/>
  <c r="J276" i="1"/>
  <c r="J291" i="1"/>
  <c r="J306" i="1"/>
  <c r="J321" i="1"/>
  <c r="J336" i="1"/>
  <c r="J351" i="1"/>
  <c r="J366" i="1"/>
  <c r="J381" i="1"/>
  <c r="J396" i="1"/>
  <c r="J411" i="1"/>
  <c r="J426" i="1"/>
  <c r="J441" i="1"/>
  <c r="J456" i="1"/>
  <c r="J471" i="1"/>
  <c r="J486" i="1"/>
  <c r="J501" i="1"/>
  <c r="J516" i="1"/>
  <c r="J531" i="1"/>
  <c r="J546" i="1"/>
  <c r="J561" i="1"/>
  <c r="J576" i="1"/>
  <c r="J591" i="1"/>
  <c r="J606" i="1"/>
  <c r="J621" i="1"/>
  <c r="J636" i="1"/>
  <c r="J651" i="1"/>
  <c r="J666" i="1"/>
  <c r="J681" i="1"/>
  <c r="J696" i="1"/>
  <c r="J711" i="1"/>
  <c r="J726" i="1"/>
  <c r="J741" i="1"/>
  <c r="J756" i="1"/>
  <c r="J771" i="1"/>
  <c r="J786" i="1"/>
  <c r="J801" i="1"/>
  <c r="J816" i="1"/>
  <c r="J831" i="1"/>
  <c r="J846" i="1"/>
  <c r="J861" i="1"/>
  <c r="J876" i="1"/>
  <c r="J891" i="1"/>
  <c r="J906" i="1"/>
  <c r="J921" i="1"/>
  <c r="J936" i="1"/>
  <c r="J951" i="1"/>
  <c r="J966" i="1"/>
  <c r="J981" i="1"/>
  <c r="J996" i="1"/>
  <c r="J1011" i="1"/>
  <c r="J1026" i="1"/>
  <c r="J1041" i="1"/>
  <c r="J1056" i="1"/>
  <c r="J1071" i="1"/>
  <c r="J1086" i="1"/>
  <c r="J1101" i="1"/>
  <c r="J1116" i="1"/>
  <c r="J1131" i="1"/>
  <c r="J1146" i="1"/>
  <c r="J1161" i="1"/>
  <c r="J1176" i="1"/>
  <c r="J1191" i="1"/>
  <c r="J1206" i="1"/>
  <c r="J1221" i="1"/>
  <c r="J1236" i="1"/>
  <c r="J1251" i="1"/>
  <c r="J1266" i="1"/>
  <c r="J1281" i="1"/>
  <c r="J1296" i="1"/>
  <c r="J1311" i="1"/>
  <c r="J1326" i="1"/>
  <c r="J1341" i="1"/>
  <c r="J1356" i="1"/>
  <c r="J1371" i="1"/>
  <c r="J1386" i="1"/>
  <c r="J1401" i="1"/>
  <c r="J1416" i="1"/>
  <c r="J1431" i="1"/>
  <c r="J1446" i="1"/>
  <c r="J1461" i="1"/>
  <c r="J1476" i="1"/>
  <c r="J1491" i="1"/>
  <c r="J1506" i="1"/>
  <c r="J1521" i="1"/>
  <c r="J1536" i="1"/>
  <c r="J1551" i="1"/>
  <c r="J1566" i="1"/>
  <c r="J1581" i="1"/>
  <c r="J1596" i="1"/>
  <c r="J1611" i="1"/>
  <c r="J1626" i="1"/>
  <c r="J1641" i="1"/>
  <c r="J1656" i="1"/>
  <c r="J1671" i="1"/>
  <c r="J1686" i="1"/>
  <c r="J1701" i="1"/>
  <c r="J1716" i="1"/>
  <c r="J1731" i="1"/>
  <c r="J1746" i="1"/>
  <c r="J1761" i="1"/>
  <c r="J1776" i="1"/>
  <c r="J1791" i="1"/>
  <c r="J1806" i="1"/>
  <c r="J1821" i="1"/>
  <c r="J1836" i="1"/>
  <c r="J1851" i="1"/>
  <c r="J1866" i="1"/>
  <c r="J1881" i="1"/>
  <c r="J1896" i="1"/>
  <c r="J1911" i="1"/>
  <c r="J1926" i="1"/>
  <c r="J1941" i="1"/>
  <c r="J1956" i="1"/>
  <c r="J1971" i="1"/>
  <c r="J1986" i="1"/>
  <c r="J2001" i="1"/>
  <c r="J2016" i="1"/>
  <c r="J2031" i="1"/>
  <c r="J2046" i="1"/>
  <c r="J2061" i="1"/>
  <c r="J2076" i="1"/>
  <c r="J2091" i="1"/>
  <c r="J2106" i="1"/>
  <c r="J2121" i="1"/>
  <c r="J2136" i="1"/>
  <c r="J2151" i="1"/>
  <c r="J2166" i="1"/>
  <c r="J2181" i="1"/>
  <c r="J2196" i="1"/>
  <c r="J2211" i="1"/>
  <c r="J2226" i="1"/>
  <c r="J2241" i="1"/>
  <c r="J2256" i="1"/>
  <c r="J2271" i="1"/>
  <c r="J2286" i="1"/>
  <c r="J2301" i="1"/>
  <c r="J2316" i="1"/>
  <c r="J2331" i="1"/>
  <c r="J2346" i="1"/>
  <c r="J2361" i="1"/>
  <c r="J2376" i="1"/>
  <c r="J2391" i="1"/>
  <c r="J2406" i="1"/>
  <c r="J2421" i="1"/>
  <c r="J2436" i="1"/>
  <c r="J2451" i="1"/>
  <c r="J2466" i="1"/>
  <c r="J2481" i="1"/>
  <c r="J2496" i="1"/>
  <c r="J2511" i="1"/>
  <c r="J2526" i="1"/>
  <c r="J2541" i="1"/>
  <c r="J2556" i="1"/>
  <c r="J2571" i="1"/>
  <c r="J2586" i="1"/>
  <c r="J2601" i="1"/>
  <c r="J2616" i="1"/>
  <c r="J2631" i="1"/>
  <c r="J2646" i="1"/>
  <c r="J2661" i="1"/>
  <c r="J2676" i="1"/>
  <c r="J2691" i="1"/>
  <c r="J2706" i="1"/>
  <c r="J2721" i="1"/>
  <c r="J2736" i="1"/>
  <c r="J2751" i="1"/>
  <c r="J2766" i="1"/>
  <c r="J2781" i="1"/>
  <c r="J2796" i="1"/>
  <c r="J2811" i="1"/>
  <c r="J2826" i="1"/>
  <c r="J2841" i="1"/>
  <c r="J2856" i="1"/>
  <c r="J2871" i="1"/>
  <c r="J2886" i="1"/>
  <c r="J2901" i="1"/>
  <c r="J2916" i="1"/>
  <c r="J2931" i="1"/>
  <c r="J2946" i="1"/>
  <c r="J2961" i="1"/>
  <c r="J2976" i="1"/>
  <c r="J2991" i="1"/>
  <c r="J3006" i="1"/>
  <c r="J3021" i="1"/>
  <c r="J3036" i="1"/>
  <c r="J3051" i="1"/>
  <c r="J3066" i="1"/>
  <c r="J3081" i="1"/>
  <c r="J3096" i="1"/>
  <c r="J3111" i="1"/>
  <c r="J3126" i="1"/>
  <c r="J3141" i="1"/>
  <c r="J3156" i="1"/>
  <c r="J3171" i="1"/>
  <c r="J3186" i="1"/>
  <c r="J3201" i="1"/>
  <c r="J3216" i="1"/>
  <c r="J3231" i="1"/>
  <c r="J3246" i="1"/>
  <c r="J3261" i="1"/>
  <c r="J3276" i="1"/>
  <c r="J3291" i="1"/>
  <c r="J3306" i="1"/>
  <c r="J3321" i="1"/>
  <c r="J3336" i="1"/>
  <c r="J3351" i="1"/>
  <c r="J3366" i="1"/>
  <c r="J3381" i="1"/>
  <c r="J3396" i="1"/>
  <c r="J3411" i="1"/>
  <c r="J3426" i="1"/>
  <c r="J3441" i="1"/>
  <c r="J3456" i="1"/>
  <c r="J3471" i="1"/>
  <c r="J3486" i="1"/>
  <c r="J3501" i="1"/>
  <c r="J3516" i="1"/>
  <c r="J3531" i="1"/>
  <c r="J3546" i="1"/>
  <c r="J3561" i="1"/>
  <c r="J3576" i="1"/>
  <c r="J3591" i="1"/>
  <c r="J3606" i="1"/>
  <c r="J3621" i="1"/>
  <c r="J3634" i="1"/>
  <c r="J3649" i="1"/>
  <c r="J3664" i="1"/>
  <c r="J3679" i="1"/>
  <c r="J7" i="1"/>
  <c r="J22" i="1"/>
  <c r="J37" i="1"/>
  <c r="J52" i="1"/>
  <c r="J67" i="1"/>
  <c r="J82" i="1"/>
  <c r="J97" i="1"/>
  <c r="J112" i="1"/>
  <c r="J127" i="1"/>
  <c r="J142" i="1"/>
  <c r="J157" i="1"/>
  <c r="J172" i="1"/>
  <c r="J187" i="1"/>
  <c r="J202" i="1"/>
  <c r="J217" i="1"/>
  <c r="J232" i="1"/>
  <c r="J247" i="1"/>
  <c r="J262" i="1"/>
  <c r="J277" i="1"/>
  <c r="J292" i="1"/>
  <c r="J307" i="1"/>
  <c r="J322" i="1"/>
  <c r="J337" i="1"/>
  <c r="J352" i="1"/>
  <c r="J367" i="1"/>
  <c r="J382" i="1"/>
  <c r="J397" i="1"/>
  <c r="J412" i="1"/>
  <c r="J427" i="1"/>
  <c r="J442" i="1"/>
  <c r="J457" i="1"/>
  <c r="J472" i="1"/>
  <c r="J487" i="1"/>
  <c r="J502" i="1"/>
  <c r="J517" i="1"/>
  <c r="J532" i="1"/>
  <c r="J547" i="1"/>
  <c r="J562" i="1"/>
  <c r="J577" i="1"/>
  <c r="J592" i="1"/>
  <c r="J607" i="1"/>
  <c r="J622" i="1"/>
  <c r="J637" i="1"/>
  <c r="J652" i="1"/>
  <c r="J667" i="1"/>
  <c r="J682" i="1"/>
  <c r="J697" i="1"/>
  <c r="J712" i="1"/>
  <c r="J727" i="1"/>
  <c r="J742" i="1"/>
  <c r="J757" i="1"/>
  <c r="J772" i="1"/>
  <c r="J787" i="1"/>
  <c r="J802" i="1"/>
  <c r="J817" i="1"/>
  <c r="J832" i="1"/>
  <c r="J847" i="1"/>
  <c r="J862" i="1"/>
  <c r="J877" i="1"/>
  <c r="J892" i="1"/>
  <c r="J907" i="1"/>
  <c r="J922" i="1"/>
  <c r="J937" i="1"/>
  <c r="J952" i="1"/>
  <c r="J967" i="1"/>
  <c r="J982" i="1"/>
  <c r="J997" i="1"/>
  <c r="J1012" i="1"/>
  <c r="J1027" i="1"/>
  <c r="J1042" i="1"/>
  <c r="J1057" i="1"/>
  <c r="J1072" i="1"/>
  <c r="J1087" i="1"/>
  <c r="J1102" i="1"/>
  <c r="J1117" i="1"/>
  <c r="J1132" i="1"/>
  <c r="J1147" i="1"/>
  <c r="J1162" i="1"/>
  <c r="J1177" i="1"/>
  <c r="J1192" i="1"/>
  <c r="J1207" i="1"/>
  <c r="J1222" i="1"/>
  <c r="J1237" i="1"/>
  <c r="J1252" i="1"/>
  <c r="J1267" i="1"/>
  <c r="J1282" i="1"/>
  <c r="J1297" i="1"/>
  <c r="J1312" i="1"/>
  <c r="J1327" i="1"/>
  <c r="J1342" i="1"/>
  <c r="J1357" i="1"/>
  <c r="J1372" i="1"/>
  <c r="J1387" i="1"/>
  <c r="J1402" i="1"/>
  <c r="J1417" i="1"/>
  <c r="J1432" i="1"/>
  <c r="J1447" i="1"/>
  <c r="J1462" i="1"/>
  <c r="J1477" i="1"/>
  <c r="J1492" i="1"/>
  <c r="J1507" i="1"/>
  <c r="J1522" i="1"/>
  <c r="J1537" i="1"/>
  <c r="J1552" i="1"/>
  <c r="J1567" i="1"/>
  <c r="J1582" i="1"/>
  <c r="J1597" i="1"/>
  <c r="J1612" i="1"/>
  <c r="J1627" i="1"/>
  <c r="J1642" i="1"/>
  <c r="J1657" i="1"/>
  <c r="J1672" i="1"/>
  <c r="J1687" i="1"/>
  <c r="J1702" i="1"/>
  <c r="J1717" i="1"/>
  <c r="J1732" i="1"/>
  <c r="J1747" i="1"/>
  <c r="J1762" i="1"/>
  <c r="J1777" i="1"/>
  <c r="J1792" i="1"/>
  <c r="J1807" i="1"/>
  <c r="J1822" i="1"/>
  <c r="J1837" i="1"/>
  <c r="J1852" i="1"/>
  <c r="J1867" i="1"/>
  <c r="J1882" i="1"/>
  <c r="J1897" i="1"/>
  <c r="J1912" i="1"/>
  <c r="J1927" i="1"/>
  <c r="J1942" i="1"/>
  <c r="J1957" i="1"/>
  <c r="J1972" i="1"/>
  <c r="J1987" i="1"/>
  <c r="J2002" i="1"/>
  <c r="J2017" i="1"/>
  <c r="J2032" i="1"/>
  <c r="J2047" i="1"/>
  <c r="J2062" i="1"/>
  <c r="J2077" i="1"/>
  <c r="J2092" i="1"/>
  <c r="J2107" i="1"/>
  <c r="J2122" i="1"/>
  <c r="J2137" i="1"/>
  <c r="J2152" i="1"/>
  <c r="J2167" i="1"/>
  <c r="J2182" i="1"/>
  <c r="J2197" i="1"/>
  <c r="J2212" i="1"/>
  <c r="J2227" i="1"/>
  <c r="J2242" i="1"/>
  <c r="J2257" i="1"/>
  <c r="J2272" i="1"/>
  <c r="J2287" i="1"/>
  <c r="J2302" i="1"/>
  <c r="J2317" i="1"/>
  <c r="J2332" i="1"/>
  <c r="J2347" i="1"/>
  <c r="J2362" i="1"/>
  <c r="J2377" i="1"/>
  <c r="J2392" i="1"/>
  <c r="J2407" i="1"/>
  <c r="J2422" i="1"/>
  <c r="J2437" i="1"/>
  <c r="J2452" i="1"/>
  <c r="J2467" i="1"/>
  <c r="J2482" i="1"/>
  <c r="J2497" i="1"/>
  <c r="J2512" i="1"/>
  <c r="J2527" i="1"/>
  <c r="J2542" i="1"/>
  <c r="J2557" i="1"/>
  <c r="J2572" i="1"/>
  <c r="J2587" i="1"/>
  <c r="J2602" i="1"/>
  <c r="J2617" i="1"/>
  <c r="J2632" i="1"/>
  <c r="J2647" i="1"/>
  <c r="J2662" i="1"/>
  <c r="J2677" i="1"/>
  <c r="J2692" i="1"/>
  <c r="J2707" i="1"/>
  <c r="J2722" i="1"/>
  <c r="J2737" i="1"/>
  <c r="J2752" i="1"/>
  <c r="J2767" i="1"/>
  <c r="J2782" i="1"/>
  <c r="J2797" i="1"/>
  <c r="J2812" i="1"/>
  <c r="J2827" i="1"/>
  <c r="J2842" i="1"/>
  <c r="J2857" i="1"/>
  <c r="J2872" i="1"/>
  <c r="J2887" i="1"/>
  <c r="J2902" i="1"/>
  <c r="J2917" i="1"/>
  <c r="J2932" i="1"/>
  <c r="J2947" i="1"/>
  <c r="J2962" i="1"/>
  <c r="J2977" i="1"/>
  <c r="J2992" i="1"/>
  <c r="J3007" i="1"/>
  <c r="J3022" i="1"/>
  <c r="J3037" i="1"/>
  <c r="J3052" i="1"/>
  <c r="J3067" i="1"/>
  <c r="J3082" i="1"/>
  <c r="J3097" i="1"/>
  <c r="J3112" i="1"/>
  <c r="J3127" i="1"/>
  <c r="J3142" i="1"/>
  <c r="J3157" i="1"/>
  <c r="J3172" i="1"/>
  <c r="J3187" i="1"/>
  <c r="J3202" i="1"/>
  <c r="J3217" i="1"/>
  <c r="J3232" i="1"/>
  <c r="J3247" i="1"/>
  <c r="J3262" i="1"/>
  <c r="J3277" i="1"/>
  <c r="J3292" i="1"/>
  <c r="J3307" i="1"/>
  <c r="J3322" i="1"/>
  <c r="J3337" i="1"/>
  <c r="J3352" i="1"/>
  <c r="J3367" i="1"/>
  <c r="J3382" i="1"/>
  <c r="J3397" i="1"/>
  <c r="J3412" i="1"/>
  <c r="J3427" i="1"/>
  <c r="J3442" i="1"/>
  <c r="J3457" i="1"/>
  <c r="J3472" i="1"/>
  <c r="J3487" i="1"/>
  <c r="J3502" i="1"/>
  <c r="J3517" i="1"/>
  <c r="J3532" i="1"/>
  <c r="J3547" i="1"/>
  <c r="J3562" i="1"/>
  <c r="J3577" i="1"/>
  <c r="J3592" i="1"/>
  <c r="J3607" i="1"/>
  <c r="J3622" i="1"/>
  <c r="J3635" i="1"/>
  <c r="J3650" i="1"/>
  <c r="J3665" i="1"/>
  <c r="J3680" i="1"/>
  <c r="J8" i="1"/>
  <c r="J23" i="1"/>
  <c r="J38" i="1"/>
  <c r="J53" i="1"/>
  <c r="J68" i="1"/>
  <c r="J83" i="1"/>
  <c r="J98" i="1"/>
  <c r="J113" i="1"/>
  <c r="J128" i="1"/>
  <c r="J143" i="1"/>
  <c r="J158" i="1"/>
  <c r="J173" i="1"/>
  <c r="J188" i="1"/>
  <c r="J203" i="1"/>
  <c r="J218" i="1"/>
  <c r="J233" i="1"/>
  <c r="J248" i="1"/>
  <c r="J263" i="1"/>
  <c r="J278" i="1"/>
  <c r="J293" i="1"/>
  <c r="J308" i="1"/>
  <c r="J323" i="1"/>
  <c r="J338" i="1"/>
  <c r="J353" i="1"/>
  <c r="J368" i="1"/>
  <c r="J383" i="1"/>
  <c r="J398" i="1"/>
  <c r="J413" i="1"/>
  <c r="J428" i="1"/>
  <c r="J443" i="1"/>
  <c r="J458" i="1"/>
  <c r="J473" i="1"/>
  <c r="J488" i="1"/>
  <c r="J503" i="1"/>
  <c r="J518" i="1"/>
  <c r="J533" i="1"/>
  <c r="J548" i="1"/>
  <c r="J563" i="1"/>
  <c r="J578" i="1"/>
  <c r="J593" i="1"/>
  <c r="J608" i="1"/>
  <c r="J623" i="1"/>
  <c r="J638" i="1"/>
  <c r="J653" i="1"/>
  <c r="J668" i="1"/>
  <c r="J683" i="1"/>
  <c r="J698" i="1"/>
  <c r="J713" i="1"/>
  <c r="J728" i="1"/>
  <c r="J743" i="1"/>
  <c r="J758" i="1"/>
  <c r="J773" i="1"/>
  <c r="J788" i="1"/>
  <c r="J803" i="1"/>
  <c r="J818" i="1"/>
  <c r="J833" i="1"/>
  <c r="J848" i="1"/>
  <c r="J863" i="1"/>
  <c r="J878" i="1"/>
  <c r="J893" i="1"/>
  <c r="J908" i="1"/>
  <c r="J923" i="1"/>
  <c r="J938" i="1"/>
  <c r="J953" i="1"/>
  <c r="J968" i="1"/>
  <c r="J983" i="1"/>
  <c r="J998" i="1"/>
  <c r="J1013" i="1"/>
  <c r="J1028" i="1"/>
  <c r="J1043" i="1"/>
  <c r="J1058" i="1"/>
  <c r="J1073" i="1"/>
  <c r="J1088" i="1"/>
  <c r="J1103" i="1"/>
  <c r="J1118" i="1"/>
  <c r="J1133" i="1"/>
  <c r="J1148" i="1"/>
  <c r="J1163" i="1"/>
  <c r="J1178" i="1"/>
  <c r="J1193" i="1"/>
  <c r="J1208" i="1"/>
  <c r="J1223" i="1"/>
  <c r="J1238" i="1"/>
  <c r="J1253" i="1"/>
  <c r="J1268" i="1"/>
  <c r="J1283" i="1"/>
  <c r="J1298" i="1"/>
  <c r="J1313" i="1"/>
  <c r="J1328" i="1"/>
  <c r="J1343" i="1"/>
  <c r="J1358" i="1"/>
  <c r="J1373" i="1"/>
  <c r="J1388" i="1"/>
  <c r="J1403" i="1"/>
  <c r="J1418" i="1"/>
  <c r="J1433" i="1"/>
  <c r="J1448" i="1"/>
  <c r="J1463" i="1"/>
  <c r="J1478" i="1"/>
  <c r="J1493" i="1"/>
  <c r="J1508" i="1"/>
  <c r="J1523" i="1"/>
  <c r="J1538" i="1"/>
  <c r="J1553" i="1"/>
  <c r="J1568" i="1"/>
  <c r="J1583" i="1"/>
  <c r="J1598" i="1"/>
  <c r="J1613" i="1"/>
  <c r="J1628" i="1"/>
  <c r="J1643" i="1"/>
  <c r="J1658" i="1"/>
  <c r="J1673" i="1"/>
  <c r="J1688" i="1"/>
  <c r="J1703" i="1"/>
  <c r="J1718" i="1"/>
  <c r="J1733" i="1"/>
  <c r="J1748" i="1"/>
  <c r="J1763" i="1"/>
  <c r="J1778" i="1"/>
  <c r="J1793" i="1"/>
  <c r="J1808" i="1"/>
  <c r="J1823" i="1"/>
  <c r="J1838" i="1"/>
  <c r="J1853" i="1"/>
  <c r="J1868" i="1"/>
  <c r="J1883" i="1"/>
  <c r="J1898" i="1"/>
  <c r="J1913" i="1"/>
  <c r="J1928" i="1"/>
  <c r="J1943" i="1"/>
  <c r="J1958" i="1"/>
  <c r="J1973" i="1"/>
  <c r="J1988" i="1"/>
  <c r="J2003" i="1"/>
  <c r="J2018" i="1"/>
  <c r="J2033" i="1"/>
  <c r="J2048" i="1"/>
  <c r="J2063" i="1"/>
  <c r="J2078" i="1"/>
  <c r="J2093" i="1"/>
  <c r="J2108" i="1"/>
  <c r="J2123" i="1"/>
  <c r="J2138" i="1"/>
  <c r="J2153" i="1"/>
  <c r="J2168" i="1"/>
  <c r="J2183" i="1"/>
  <c r="J2198" i="1"/>
  <c r="J2213" i="1"/>
  <c r="J2228" i="1"/>
  <c r="J2243" i="1"/>
  <c r="J2258" i="1"/>
  <c r="J2273" i="1"/>
  <c r="J2288" i="1"/>
  <c r="J2303" i="1"/>
  <c r="J2318" i="1"/>
  <c r="J2333" i="1"/>
  <c r="J2348" i="1"/>
  <c r="J2363" i="1"/>
  <c r="J2378" i="1"/>
  <c r="J2393" i="1"/>
  <c r="J2408" i="1"/>
  <c r="J2423" i="1"/>
  <c r="J2438" i="1"/>
  <c r="J2453" i="1"/>
  <c r="J2468" i="1"/>
  <c r="J2483" i="1"/>
  <c r="J2498" i="1"/>
  <c r="J2513" i="1"/>
  <c r="J2528" i="1"/>
  <c r="J2543" i="1"/>
  <c r="J2558" i="1"/>
  <c r="J2573" i="1"/>
  <c r="J2588" i="1"/>
  <c r="J2603" i="1"/>
  <c r="J2618" i="1"/>
  <c r="J2633" i="1"/>
  <c r="J2648" i="1"/>
  <c r="J2663" i="1"/>
  <c r="J2678" i="1"/>
  <c r="J2693" i="1"/>
  <c r="J2708" i="1"/>
  <c r="J2723" i="1"/>
  <c r="J2738" i="1"/>
  <c r="J2753" i="1"/>
  <c r="J2768" i="1"/>
  <c r="J2783" i="1"/>
  <c r="J2798" i="1"/>
  <c r="J2813" i="1"/>
  <c r="J2828" i="1"/>
  <c r="J2843" i="1"/>
  <c r="J2858" i="1"/>
  <c r="J2873" i="1"/>
  <c r="J2888" i="1"/>
  <c r="J2903" i="1"/>
  <c r="J2918" i="1"/>
  <c r="J2933" i="1"/>
  <c r="J2948" i="1"/>
  <c r="J2963" i="1"/>
  <c r="J2978" i="1"/>
  <c r="J2993" i="1"/>
  <c r="J3008" i="1"/>
  <c r="J3023" i="1"/>
  <c r="J3038" i="1"/>
  <c r="J3053" i="1"/>
  <c r="J3068" i="1"/>
  <c r="J3083" i="1"/>
  <c r="J3098" i="1"/>
  <c r="J3113" i="1"/>
  <c r="J3128" i="1"/>
  <c r="J3143" i="1"/>
  <c r="J3158" i="1"/>
  <c r="J3173" i="1"/>
  <c r="J3188" i="1"/>
  <c r="J3203" i="1"/>
  <c r="J3218" i="1"/>
  <c r="J3233" i="1"/>
  <c r="J3248" i="1"/>
  <c r="J3263" i="1"/>
  <c r="J3278" i="1"/>
  <c r="J3293" i="1"/>
  <c r="J3308" i="1"/>
  <c r="J3323" i="1"/>
  <c r="J3338" i="1"/>
  <c r="J3353" i="1"/>
  <c r="J3368" i="1"/>
  <c r="J3383" i="1"/>
  <c r="J3398" i="1"/>
  <c r="J3413" i="1"/>
  <c r="J3428" i="1"/>
  <c r="J3443" i="1"/>
  <c r="J3458" i="1"/>
  <c r="J3473" i="1"/>
  <c r="J3488" i="1"/>
  <c r="J3503" i="1"/>
  <c r="J3518" i="1"/>
  <c r="J3533" i="1"/>
  <c r="J3548" i="1"/>
  <c r="J3563" i="1"/>
  <c r="J3578" i="1"/>
  <c r="J3593" i="1"/>
  <c r="J3608" i="1"/>
  <c r="J3623" i="1"/>
  <c r="J3636" i="1"/>
  <c r="J3651" i="1"/>
  <c r="J3666" i="1"/>
  <c r="J3681" i="1"/>
  <c r="J9" i="1"/>
  <c r="J24" i="1"/>
  <c r="J39" i="1"/>
  <c r="J54" i="1"/>
  <c r="J69" i="1"/>
  <c r="J84" i="1"/>
  <c r="J99" i="1"/>
  <c r="J114" i="1"/>
  <c r="J129" i="1"/>
  <c r="J144" i="1"/>
  <c r="J159" i="1"/>
  <c r="J174" i="1"/>
  <c r="J189" i="1"/>
  <c r="J204" i="1"/>
  <c r="J219" i="1"/>
  <c r="J234" i="1"/>
  <c r="J249" i="1"/>
  <c r="J264" i="1"/>
  <c r="J279" i="1"/>
  <c r="J294" i="1"/>
  <c r="J309" i="1"/>
  <c r="J324" i="1"/>
  <c r="J339" i="1"/>
  <c r="J354" i="1"/>
  <c r="J369" i="1"/>
  <c r="J384" i="1"/>
  <c r="J399" i="1"/>
  <c r="J414" i="1"/>
  <c r="J429" i="1"/>
  <c r="J444" i="1"/>
  <c r="J459" i="1"/>
  <c r="J474" i="1"/>
  <c r="J489" i="1"/>
  <c r="J504" i="1"/>
  <c r="J519" i="1"/>
  <c r="J534" i="1"/>
  <c r="J549" i="1"/>
  <c r="J564" i="1"/>
  <c r="J579" i="1"/>
  <c r="J594" i="1"/>
  <c r="J609" i="1"/>
  <c r="J624" i="1"/>
  <c r="J639" i="1"/>
  <c r="J654" i="1"/>
  <c r="J669" i="1"/>
  <c r="J684" i="1"/>
  <c r="J699" i="1"/>
  <c r="J714" i="1"/>
  <c r="J729" i="1"/>
  <c r="J744" i="1"/>
  <c r="J759" i="1"/>
  <c r="J774" i="1"/>
  <c r="J789" i="1"/>
  <c r="J804" i="1"/>
  <c r="J819" i="1"/>
  <c r="J834" i="1"/>
  <c r="J849" i="1"/>
  <c r="J864" i="1"/>
  <c r="J879" i="1"/>
  <c r="J894" i="1"/>
  <c r="J909" i="1"/>
  <c r="J924" i="1"/>
  <c r="J939" i="1"/>
  <c r="J954" i="1"/>
  <c r="J969" i="1"/>
  <c r="J984" i="1"/>
  <c r="J999" i="1"/>
  <c r="J1014" i="1"/>
  <c r="J1029" i="1"/>
  <c r="J1044" i="1"/>
  <c r="J1059" i="1"/>
  <c r="J1074" i="1"/>
  <c r="J1089" i="1"/>
  <c r="J1104" i="1"/>
  <c r="J1119" i="1"/>
  <c r="J1134" i="1"/>
  <c r="J1149" i="1"/>
  <c r="J1164" i="1"/>
  <c r="J1179" i="1"/>
  <c r="J1194" i="1"/>
  <c r="J1209" i="1"/>
  <c r="J1224" i="1"/>
  <c r="J1239" i="1"/>
  <c r="J1254" i="1"/>
  <c r="J1269" i="1"/>
  <c r="J1284" i="1"/>
  <c r="J1299" i="1"/>
  <c r="J1314" i="1"/>
  <c r="J1329" i="1"/>
  <c r="J1344" i="1"/>
  <c r="J1359" i="1"/>
  <c r="J1374" i="1"/>
  <c r="J1389" i="1"/>
  <c r="J1404" i="1"/>
  <c r="J1419" i="1"/>
  <c r="J1434" i="1"/>
  <c r="J1449" i="1"/>
  <c r="J1464" i="1"/>
  <c r="J1479" i="1"/>
  <c r="J1494" i="1"/>
  <c r="J1509" i="1"/>
  <c r="J1524" i="1"/>
  <c r="J1539" i="1"/>
  <c r="J1554" i="1"/>
  <c r="J1569" i="1"/>
  <c r="J1584" i="1"/>
  <c r="J1599" i="1"/>
  <c r="J1614" i="1"/>
  <c r="J1629" i="1"/>
  <c r="J1644" i="1"/>
  <c r="J1659" i="1"/>
  <c r="J1674" i="1"/>
  <c r="J1689" i="1"/>
  <c r="J1704" i="1"/>
  <c r="J1719" i="1"/>
  <c r="J1734" i="1"/>
  <c r="J1749" i="1"/>
  <c r="J1764" i="1"/>
  <c r="J1779" i="1"/>
  <c r="J1794" i="1"/>
  <c r="J1809" i="1"/>
  <c r="J1824" i="1"/>
  <c r="J1839" i="1"/>
  <c r="J1854" i="1"/>
  <c r="J1869" i="1"/>
  <c r="J1884" i="1"/>
  <c r="J1899" i="1"/>
  <c r="J1914" i="1"/>
  <c r="J1929" i="1"/>
  <c r="J1944" i="1"/>
  <c r="J1959" i="1"/>
  <c r="J1974" i="1"/>
  <c r="J1989" i="1"/>
  <c r="J2004" i="1"/>
  <c r="J2019" i="1"/>
  <c r="J2034" i="1"/>
  <c r="J2049" i="1"/>
  <c r="J2064" i="1"/>
  <c r="J2079" i="1"/>
  <c r="J2094" i="1"/>
  <c r="J2109" i="1"/>
  <c r="J2124" i="1"/>
  <c r="J2139" i="1"/>
  <c r="J2154" i="1"/>
  <c r="J2169" i="1"/>
  <c r="J2184" i="1"/>
  <c r="J2199" i="1"/>
  <c r="J2214" i="1"/>
  <c r="J2229" i="1"/>
  <c r="J2244" i="1"/>
  <c r="J2259" i="1"/>
  <c r="J2274" i="1"/>
  <c r="J2289" i="1"/>
  <c r="J2304" i="1"/>
  <c r="J2319" i="1"/>
  <c r="J2334" i="1"/>
  <c r="J2349" i="1"/>
  <c r="J2364" i="1"/>
  <c r="J2379" i="1"/>
  <c r="J2394" i="1"/>
  <c r="J2409" i="1"/>
  <c r="J2424" i="1"/>
  <c r="J2439" i="1"/>
  <c r="J2454" i="1"/>
  <c r="J2469" i="1"/>
  <c r="J2484" i="1"/>
  <c r="J2499" i="1"/>
  <c r="J2514" i="1"/>
  <c r="J2529" i="1"/>
  <c r="J2544" i="1"/>
  <c r="J2559" i="1"/>
  <c r="J2574" i="1"/>
  <c r="J2589" i="1"/>
  <c r="J2604" i="1"/>
  <c r="J2619" i="1"/>
  <c r="J2634" i="1"/>
  <c r="J2649" i="1"/>
  <c r="J2664" i="1"/>
  <c r="J2679" i="1"/>
  <c r="J2694" i="1"/>
  <c r="J2709" i="1"/>
  <c r="J2724" i="1"/>
  <c r="J2739" i="1"/>
  <c r="J2754" i="1"/>
  <c r="J2769" i="1"/>
  <c r="J2784" i="1"/>
  <c r="J2799" i="1"/>
  <c r="J2814" i="1"/>
  <c r="J2829" i="1"/>
  <c r="J2844" i="1"/>
  <c r="J2859" i="1"/>
  <c r="J2874" i="1"/>
  <c r="J2889" i="1"/>
  <c r="J2904" i="1"/>
  <c r="J2919" i="1"/>
  <c r="J2934" i="1"/>
  <c r="J2949" i="1"/>
  <c r="J2964" i="1"/>
  <c r="J2979" i="1"/>
  <c r="J2994" i="1"/>
  <c r="J3009" i="1"/>
  <c r="J3024" i="1"/>
  <c r="J3039" i="1"/>
  <c r="J3054" i="1"/>
  <c r="J3069" i="1"/>
  <c r="J3084" i="1"/>
  <c r="J3099" i="1"/>
  <c r="J3114" i="1"/>
  <c r="J3129" i="1"/>
  <c r="J3144" i="1"/>
  <c r="J3159" i="1"/>
  <c r="J3174" i="1"/>
  <c r="J3189" i="1"/>
  <c r="J3204" i="1"/>
  <c r="J3219" i="1"/>
  <c r="J3234" i="1"/>
  <c r="J3249" i="1"/>
  <c r="J3264" i="1"/>
  <c r="J3279" i="1"/>
  <c r="J3294" i="1"/>
  <c r="J3309" i="1"/>
  <c r="J3324" i="1"/>
  <c r="J3339" i="1"/>
  <c r="J3354" i="1"/>
  <c r="J3369" i="1"/>
  <c r="J3384" i="1"/>
  <c r="J3399" i="1"/>
  <c r="J3414" i="1"/>
  <c r="J3429" i="1"/>
  <c r="J3444" i="1"/>
  <c r="J3459" i="1"/>
  <c r="J3474" i="1"/>
  <c r="J3489" i="1"/>
  <c r="J3504" i="1"/>
  <c r="J3519" i="1"/>
  <c r="J3534" i="1"/>
  <c r="J3549" i="1"/>
  <c r="J3564" i="1"/>
  <c r="J3579" i="1"/>
  <c r="J3594" i="1"/>
  <c r="J3609" i="1"/>
  <c r="J3624" i="1"/>
  <c r="J3637" i="1"/>
  <c r="J3652" i="1"/>
  <c r="J3667" i="1"/>
  <c r="J3682" i="1"/>
  <c r="J10" i="1"/>
  <c r="J25" i="1"/>
  <c r="J40" i="1"/>
  <c r="J55" i="1"/>
  <c r="J70" i="1"/>
  <c r="J85" i="1"/>
  <c r="J100" i="1"/>
  <c r="J115" i="1"/>
  <c r="J130" i="1"/>
  <c r="J145" i="1"/>
  <c r="J160" i="1"/>
  <c r="J175" i="1"/>
  <c r="J190" i="1"/>
  <c r="J205" i="1"/>
  <c r="J220" i="1"/>
  <c r="J235" i="1"/>
  <c r="J250" i="1"/>
  <c r="J265" i="1"/>
  <c r="J280" i="1"/>
  <c r="J295" i="1"/>
  <c r="J310" i="1"/>
  <c r="J325" i="1"/>
  <c r="J340" i="1"/>
  <c r="J355" i="1"/>
  <c r="J370" i="1"/>
  <c r="J385" i="1"/>
  <c r="J400" i="1"/>
  <c r="J415" i="1"/>
  <c r="J430" i="1"/>
  <c r="J445" i="1"/>
  <c r="J460" i="1"/>
  <c r="J475" i="1"/>
  <c r="J490" i="1"/>
  <c r="J505" i="1"/>
  <c r="J520" i="1"/>
  <c r="J535" i="1"/>
  <c r="J550" i="1"/>
  <c r="J565" i="1"/>
  <c r="J580" i="1"/>
  <c r="J595" i="1"/>
  <c r="J610" i="1"/>
  <c r="J625" i="1"/>
  <c r="J640" i="1"/>
  <c r="J655" i="1"/>
  <c r="J670" i="1"/>
  <c r="J685" i="1"/>
  <c r="J700" i="1"/>
  <c r="J715" i="1"/>
  <c r="J730" i="1"/>
  <c r="J745" i="1"/>
  <c r="J760" i="1"/>
  <c r="J775" i="1"/>
  <c r="J790" i="1"/>
  <c r="J805" i="1"/>
  <c r="J820" i="1"/>
  <c r="J835" i="1"/>
  <c r="J850" i="1"/>
  <c r="J865" i="1"/>
  <c r="J880" i="1"/>
  <c r="J895" i="1"/>
  <c r="J910" i="1"/>
  <c r="J925" i="1"/>
  <c r="J940" i="1"/>
  <c r="J955" i="1"/>
  <c r="J970" i="1"/>
  <c r="J985" i="1"/>
  <c r="J1000" i="1"/>
  <c r="J1015" i="1"/>
  <c r="J1030" i="1"/>
  <c r="J1045" i="1"/>
  <c r="J1060" i="1"/>
  <c r="J1075" i="1"/>
  <c r="J1090" i="1"/>
  <c r="J1105" i="1"/>
  <c r="J1120" i="1"/>
  <c r="J1135" i="1"/>
  <c r="J1150" i="1"/>
  <c r="J1165" i="1"/>
  <c r="J1180" i="1"/>
  <c r="J1195" i="1"/>
  <c r="J1210" i="1"/>
  <c r="J1225" i="1"/>
  <c r="J1240" i="1"/>
  <c r="J1255" i="1"/>
  <c r="J1270" i="1"/>
  <c r="J1285" i="1"/>
  <c r="J1300" i="1"/>
  <c r="J1315" i="1"/>
  <c r="J1330" i="1"/>
  <c r="J1345" i="1"/>
  <c r="J1360" i="1"/>
  <c r="J1375" i="1"/>
  <c r="J1390" i="1"/>
  <c r="J1405" i="1"/>
  <c r="J1420" i="1"/>
  <c r="J1435" i="1"/>
  <c r="J1450" i="1"/>
  <c r="J1465" i="1"/>
  <c r="J1480" i="1"/>
  <c r="J1495" i="1"/>
  <c r="J1510" i="1"/>
  <c r="J1525" i="1"/>
  <c r="J1540" i="1"/>
  <c r="J1555" i="1"/>
  <c r="J1570" i="1"/>
  <c r="J1585" i="1"/>
  <c r="J1600" i="1"/>
  <c r="J1615" i="1"/>
  <c r="J1630" i="1"/>
  <c r="J1645" i="1"/>
  <c r="J1660" i="1"/>
  <c r="J1675" i="1"/>
  <c r="J1690" i="1"/>
  <c r="J1705" i="1"/>
  <c r="J1720" i="1"/>
  <c r="J1735" i="1"/>
  <c r="J1750" i="1"/>
  <c r="J1765" i="1"/>
  <c r="J1780" i="1"/>
  <c r="J1795" i="1"/>
  <c r="J1810" i="1"/>
  <c r="J1825" i="1"/>
  <c r="J1840" i="1"/>
  <c r="J1855" i="1"/>
  <c r="J1870" i="1"/>
  <c r="J1885" i="1"/>
  <c r="J1900" i="1"/>
  <c r="J1915" i="1"/>
  <c r="J1930" i="1"/>
  <c r="J1945" i="1"/>
  <c r="J1960" i="1"/>
  <c r="J1975" i="1"/>
  <c r="J1990" i="1"/>
  <c r="J2005" i="1"/>
  <c r="J2020" i="1"/>
  <c r="J2035" i="1"/>
  <c r="J2050" i="1"/>
  <c r="J2065" i="1"/>
  <c r="J2080" i="1"/>
  <c r="J2095" i="1"/>
  <c r="J2110" i="1"/>
  <c r="J2125" i="1"/>
  <c r="J2140" i="1"/>
  <c r="J2155" i="1"/>
  <c r="J2170" i="1"/>
  <c r="J2185" i="1"/>
  <c r="J2200" i="1"/>
  <c r="J2215" i="1"/>
  <c r="J2230" i="1"/>
  <c r="J2245" i="1"/>
  <c r="J2260" i="1"/>
  <c r="J2275" i="1"/>
  <c r="J2290" i="1"/>
  <c r="J2305" i="1"/>
  <c r="J2320" i="1"/>
  <c r="J2335" i="1"/>
  <c r="J2350" i="1"/>
  <c r="J2365" i="1"/>
  <c r="J2380" i="1"/>
  <c r="J2395" i="1"/>
  <c r="J2410" i="1"/>
  <c r="J2425" i="1"/>
  <c r="J2440" i="1"/>
  <c r="J2455" i="1"/>
  <c r="J2470" i="1"/>
  <c r="J2485" i="1"/>
  <c r="J2500" i="1"/>
  <c r="J2515" i="1"/>
  <c r="J2530" i="1"/>
  <c r="J2545" i="1"/>
  <c r="J2560" i="1"/>
  <c r="J2575" i="1"/>
  <c r="J2590" i="1"/>
  <c r="J2605" i="1"/>
  <c r="J2620" i="1"/>
  <c r="J2635" i="1"/>
  <c r="J2650" i="1"/>
  <c r="J2665" i="1"/>
  <c r="J2680" i="1"/>
  <c r="J2695" i="1"/>
  <c r="J2710" i="1"/>
  <c r="J2725" i="1"/>
  <c r="J2740" i="1"/>
  <c r="J2755" i="1"/>
  <c r="J2770" i="1"/>
  <c r="J2785" i="1"/>
  <c r="J2800" i="1"/>
  <c r="J2815" i="1"/>
  <c r="J2830" i="1"/>
  <c r="J2845" i="1"/>
  <c r="J2860" i="1"/>
  <c r="J2875" i="1"/>
  <c r="J2890" i="1"/>
  <c r="J2905" i="1"/>
  <c r="J2920" i="1"/>
  <c r="J2935" i="1"/>
  <c r="J2950" i="1"/>
  <c r="J2965" i="1"/>
  <c r="J2980" i="1"/>
  <c r="J2995" i="1"/>
  <c r="J3010" i="1"/>
  <c r="J3025" i="1"/>
  <c r="J3040" i="1"/>
  <c r="J3055" i="1"/>
  <c r="J3070" i="1"/>
  <c r="J3085" i="1"/>
  <c r="J3100" i="1"/>
  <c r="J3115" i="1"/>
  <c r="J3130" i="1"/>
  <c r="J3145" i="1"/>
  <c r="J3160" i="1"/>
  <c r="J3175" i="1"/>
  <c r="J3190" i="1"/>
  <c r="J3205" i="1"/>
  <c r="J3220" i="1"/>
  <c r="J3235" i="1"/>
  <c r="J3250" i="1"/>
  <c r="J3265" i="1"/>
  <c r="J3280" i="1"/>
  <c r="J3295" i="1"/>
  <c r="J3310" i="1"/>
  <c r="J3325" i="1"/>
  <c r="J3340" i="1"/>
  <c r="J3355" i="1"/>
  <c r="J3370" i="1"/>
  <c r="J3385" i="1"/>
  <c r="J3400" i="1"/>
  <c r="J3415" i="1"/>
  <c r="J3430" i="1"/>
  <c r="J3445" i="1"/>
  <c r="J3460" i="1"/>
  <c r="J3475" i="1"/>
  <c r="J3490" i="1"/>
  <c r="J3505" i="1"/>
  <c r="J3520" i="1"/>
  <c r="J3535" i="1"/>
  <c r="J3550" i="1"/>
  <c r="J3565" i="1"/>
  <c r="J3580" i="1"/>
  <c r="J3595" i="1"/>
  <c r="J3610" i="1"/>
  <c r="J3625" i="1"/>
  <c r="J3638" i="1"/>
  <c r="J3653" i="1"/>
  <c r="J3668" i="1"/>
  <c r="J3683" i="1"/>
  <c r="J11" i="1"/>
  <c r="J26" i="1"/>
  <c r="J41" i="1"/>
  <c r="J56" i="1"/>
  <c r="J71" i="1"/>
  <c r="J86" i="1"/>
  <c r="J101" i="1"/>
  <c r="J116" i="1"/>
  <c r="J131" i="1"/>
  <c r="J146" i="1"/>
  <c r="J161" i="1"/>
  <c r="J176" i="1"/>
  <c r="J191" i="1"/>
  <c r="J206" i="1"/>
  <c r="J221" i="1"/>
  <c r="J236" i="1"/>
  <c r="J251" i="1"/>
  <c r="J266" i="1"/>
  <c r="J281" i="1"/>
  <c r="J296" i="1"/>
  <c r="J311" i="1"/>
  <c r="J326" i="1"/>
  <c r="J341" i="1"/>
  <c r="J356" i="1"/>
  <c r="J371" i="1"/>
  <c r="J386" i="1"/>
  <c r="J401" i="1"/>
  <c r="J416" i="1"/>
  <c r="J431" i="1"/>
  <c r="J446" i="1"/>
  <c r="J461" i="1"/>
  <c r="J476" i="1"/>
  <c r="J491" i="1"/>
  <c r="J506" i="1"/>
  <c r="J521" i="1"/>
  <c r="J536" i="1"/>
  <c r="J551" i="1"/>
  <c r="J566" i="1"/>
  <c r="J581" i="1"/>
  <c r="J596" i="1"/>
  <c r="J611" i="1"/>
  <c r="J626" i="1"/>
  <c r="J641" i="1"/>
  <c r="J656" i="1"/>
  <c r="J671" i="1"/>
  <c r="J686" i="1"/>
  <c r="J701" i="1"/>
  <c r="J716" i="1"/>
  <c r="J731" i="1"/>
  <c r="J746" i="1"/>
  <c r="J761" i="1"/>
  <c r="J776" i="1"/>
  <c r="J791" i="1"/>
  <c r="J806" i="1"/>
  <c r="J821" i="1"/>
  <c r="J836" i="1"/>
  <c r="J851" i="1"/>
  <c r="J866" i="1"/>
  <c r="J881" i="1"/>
  <c r="J896" i="1"/>
  <c r="J911" i="1"/>
  <c r="J926" i="1"/>
  <c r="J941" i="1"/>
  <c r="J956" i="1"/>
  <c r="J971" i="1"/>
  <c r="J986" i="1"/>
  <c r="J1001" i="1"/>
  <c r="J1016" i="1"/>
  <c r="J1031" i="1"/>
  <c r="J1046" i="1"/>
  <c r="J1061" i="1"/>
  <c r="J1076" i="1"/>
  <c r="J1091" i="1"/>
  <c r="J1106" i="1"/>
  <c r="J1121" i="1"/>
  <c r="J1136" i="1"/>
  <c r="J1151" i="1"/>
  <c r="J1166" i="1"/>
  <c r="J1181" i="1"/>
  <c r="J1196" i="1"/>
  <c r="J1211" i="1"/>
  <c r="J1226" i="1"/>
  <c r="J1241" i="1"/>
  <c r="J1256" i="1"/>
  <c r="J1271" i="1"/>
  <c r="J1286" i="1"/>
  <c r="J1301" i="1"/>
  <c r="J1316" i="1"/>
  <c r="J1331" i="1"/>
  <c r="J1346" i="1"/>
  <c r="J1361" i="1"/>
  <c r="J1376" i="1"/>
  <c r="J1391" i="1"/>
  <c r="J1406" i="1"/>
  <c r="J1421" i="1"/>
  <c r="J1436" i="1"/>
  <c r="J1451" i="1"/>
  <c r="J1466" i="1"/>
  <c r="J1481" i="1"/>
  <c r="J1496" i="1"/>
  <c r="J1511" i="1"/>
  <c r="J1526" i="1"/>
  <c r="J1541" i="1"/>
  <c r="J1556" i="1"/>
  <c r="J1571" i="1"/>
  <c r="J1586" i="1"/>
  <c r="J1601" i="1"/>
  <c r="J1616" i="1"/>
  <c r="J1631" i="1"/>
  <c r="J1646" i="1"/>
  <c r="J1661" i="1"/>
  <c r="J1676" i="1"/>
  <c r="J1691" i="1"/>
  <c r="J1706" i="1"/>
  <c r="J1721" i="1"/>
  <c r="J1736" i="1"/>
  <c r="J1751" i="1"/>
  <c r="J1766" i="1"/>
  <c r="J1781" i="1"/>
  <c r="J1796" i="1"/>
  <c r="J1811" i="1"/>
  <c r="J1826" i="1"/>
  <c r="J1841" i="1"/>
  <c r="J1856" i="1"/>
  <c r="J1871" i="1"/>
  <c r="J1886" i="1"/>
  <c r="J1901" i="1"/>
  <c r="J1916" i="1"/>
  <c r="J1931" i="1"/>
  <c r="J1946" i="1"/>
  <c r="J1961" i="1"/>
  <c r="J1976" i="1"/>
  <c r="J1991" i="1"/>
  <c r="J2006" i="1"/>
  <c r="J2021" i="1"/>
  <c r="J2036" i="1"/>
  <c r="J2051" i="1"/>
  <c r="J2066" i="1"/>
  <c r="J2081" i="1"/>
  <c r="J2096" i="1"/>
  <c r="J2111" i="1"/>
  <c r="J2126" i="1"/>
  <c r="J2141" i="1"/>
  <c r="J2156" i="1"/>
  <c r="J2171" i="1"/>
  <c r="J2186" i="1"/>
  <c r="J2201" i="1"/>
  <c r="J2216" i="1"/>
  <c r="J2231" i="1"/>
  <c r="J2246" i="1"/>
  <c r="J2261" i="1"/>
  <c r="J2276" i="1"/>
  <c r="J2291" i="1"/>
  <c r="J2306" i="1"/>
  <c r="J2321" i="1"/>
  <c r="J2336" i="1"/>
  <c r="J2351" i="1"/>
  <c r="J2366" i="1"/>
  <c r="J2381" i="1"/>
  <c r="J2396" i="1"/>
  <c r="J2411" i="1"/>
  <c r="J2426" i="1"/>
  <c r="J2441" i="1"/>
  <c r="J2456" i="1"/>
  <c r="J2471" i="1"/>
  <c r="J2486" i="1"/>
  <c r="J2501" i="1"/>
  <c r="J2516" i="1"/>
  <c r="J2531" i="1"/>
  <c r="J2546" i="1"/>
  <c r="J2561" i="1"/>
  <c r="J2576" i="1"/>
  <c r="J2591" i="1"/>
  <c r="J2606" i="1"/>
  <c r="J2621" i="1"/>
  <c r="J2636" i="1"/>
  <c r="J2651" i="1"/>
  <c r="J2666" i="1"/>
  <c r="J2681" i="1"/>
  <c r="J2696" i="1"/>
  <c r="J2711" i="1"/>
  <c r="J2726" i="1"/>
  <c r="J2741" i="1"/>
  <c r="J2756" i="1"/>
  <c r="J2771" i="1"/>
  <c r="J2786" i="1"/>
  <c r="J2801" i="1"/>
  <c r="J2816" i="1"/>
  <c r="J2831" i="1"/>
  <c r="J2846" i="1"/>
  <c r="J2861" i="1"/>
  <c r="J2876" i="1"/>
  <c r="J2891" i="1"/>
  <c r="J2906" i="1"/>
  <c r="J2921" i="1"/>
  <c r="J2936" i="1"/>
  <c r="J2951" i="1"/>
  <c r="J2966" i="1"/>
  <c r="J2981" i="1"/>
  <c r="J2996" i="1"/>
  <c r="J3011" i="1"/>
  <c r="J3026" i="1"/>
  <c r="J3041" i="1"/>
  <c r="J3056" i="1"/>
  <c r="J3071" i="1"/>
  <c r="J3086" i="1"/>
  <c r="J3101" i="1"/>
  <c r="J3116" i="1"/>
  <c r="J3131" i="1"/>
  <c r="J3146" i="1"/>
  <c r="J3161" i="1"/>
  <c r="J3176" i="1"/>
  <c r="J3191" i="1"/>
  <c r="J3206" i="1"/>
  <c r="J3221" i="1"/>
  <c r="J3236" i="1"/>
  <c r="J3251" i="1"/>
  <c r="J3266" i="1"/>
  <c r="J3281" i="1"/>
  <c r="J3296" i="1"/>
  <c r="J3311" i="1"/>
  <c r="J3326" i="1"/>
  <c r="J3341" i="1"/>
  <c r="J3356" i="1"/>
  <c r="J3371" i="1"/>
  <c r="J3386" i="1"/>
  <c r="J3401" i="1"/>
  <c r="J3416" i="1"/>
  <c r="J3431" i="1"/>
  <c r="J3446" i="1"/>
  <c r="J3461" i="1"/>
  <c r="J3476" i="1"/>
  <c r="J3491" i="1"/>
  <c r="J3506" i="1"/>
  <c r="J3521" i="1"/>
  <c r="J3536" i="1"/>
  <c r="J3551" i="1"/>
  <c r="J3566" i="1"/>
  <c r="J3581" i="1"/>
  <c r="J3596" i="1"/>
  <c r="J3611" i="1"/>
  <c r="J3626" i="1"/>
  <c r="J3639" i="1"/>
  <c r="J3654" i="1"/>
  <c r="J3669" i="1"/>
  <c r="J3684" i="1"/>
  <c r="J12" i="1"/>
  <c r="J27" i="1"/>
  <c r="J42" i="1"/>
  <c r="J57" i="1"/>
  <c r="J72" i="1"/>
  <c r="J87" i="1"/>
  <c r="J102" i="1"/>
  <c r="J117" i="1"/>
  <c r="J132" i="1"/>
  <c r="J147" i="1"/>
  <c r="J162" i="1"/>
  <c r="J177" i="1"/>
  <c r="J192" i="1"/>
  <c r="J207" i="1"/>
  <c r="J222" i="1"/>
  <c r="J237" i="1"/>
  <c r="J252" i="1"/>
  <c r="J267" i="1"/>
  <c r="J282" i="1"/>
  <c r="J297" i="1"/>
  <c r="J312" i="1"/>
  <c r="J327" i="1"/>
  <c r="J342" i="1"/>
  <c r="J357" i="1"/>
  <c r="J372" i="1"/>
  <c r="J387" i="1"/>
  <c r="J402" i="1"/>
  <c r="J417" i="1"/>
  <c r="J432" i="1"/>
  <c r="J447" i="1"/>
  <c r="J462" i="1"/>
  <c r="J477" i="1"/>
  <c r="J492" i="1"/>
  <c r="J507" i="1"/>
  <c r="J522" i="1"/>
  <c r="J537" i="1"/>
  <c r="J552" i="1"/>
  <c r="J567" i="1"/>
  <c r="J582" i="1"/>
  <c r="J597" i="1"/>
  <c r="J612" i="1"/>
  <c r="J627" i="1"/>
  <c r="J642" i="1"/>
  <c r="J657" i="1"/>
  <c r="J672" i="1"/>
  <c r="J687" i="1"/>
  <c r="J702" i="1"/>
  <c r="J717" i="1"/>
  <c r="J732" i="1"/>
  <c r="J747" i="1"/>
  <c r="J762" i="1"/>
  <c r="J777" i="1"/>
  <c r="J792" i="1"/>
  <c r="J807" i="1"/>
  <c r="J822" i="1"/>
  <c r="J837" i="1"/>
  <c r="J852" i="1"/>
  <c r="J867" i="1"/>
  <c r="J882" i="1"/>
  <c r="J897" i="1"/>
  <c r="J912" i="1"/>
  <c r="J927" i="1"/>
  <c r="J942" i="1"/>
  <c r="J957" i="1"/>
  <c r="J972" i="1"/>
  <c r="J987" i="1"/>
  <c r="J1002" i="1"/>
  <c r="J1017" i="1"/>
  <c r="J1032" i="1"/>
  <c r="J1047" i="1"/>
  <c r="J1062" i="1"/>
  <c r="J1077" i="1"/>
  <c r="J1092" i="1"/>
  <c r="J1107" i="1"/>
  <c r="J1122" i="1"/>
  <c r="J1137" i="1"/>
  <c r="J1152" i="1"/>
  <c r="J1167" i="1"/>
  <c r="J1182" i="1"/>
  <c r="J1197" i="1"/>
  <c r="J1212" i="1"/>
  <c r="J1227" i="1"/>
  <c r="J1242" i="1"/>
  <c r="J1257" i="1"/>
  <c r="J1272" i="1"/>
  <c r="J1287" i="1"/>
  <c r="J1302" i="1"/>
  <c r="J1317" i="1"/>
  <c r="J1332" i="1"/>
  <c r="J1347" i="1"/>
  <c r="J1362" i="1"/>
  <c r="J1377" i="1"/>
  <c r="J1392" i="1"/>
  <c r="J1407" i="1"/>
  <c r="J1422" i="1"/>
  <c r="J1437" i="1"/>
  <c r="J1452" i="1"/>
  <c r="J1467" i="1"/>
  <c r="J1482" i="1"/>
  <c r="J1497" i="1"/>
  <c r="J1512" i="1"/>
  <c r="J1527" i="1"/>
  <c r="J1542" i="1"/>
  <c r="J1557" i="1"/>
  <c r="J1572" i="1"/>
  <c r="J1587" i="1"/>
  <c r="J1602" i="1"/>
  <c r="J1617" i="1"/>
  <c r="J1632" i="1"/>
  <c r="J1647" i="1"/>
  <c r="J1662" i="1"/>
  <c r="J1677" i="1"/>
  <c r="J1692" i="1"/>
  <c r="J1707" i="1"/>
  <c r="J1722" i="1"/>
  <c r="J1737" i="1"/>
  <c r="J1752" i="1"/>
  <c r="J1767" i="1"/>
  <c r="J1782" i="1"/>
  <c r="J1797" i="1"/>
  <c r="J1812" i="1"/>
  <c r="J1827" i="1"/>
  <c r="J1842" i="1"/>
  <c r="J1857" i="1"/>
  <c r="J1872" i="1"/>
  <c r="J1887" i="1"/>
  <c r="J1902" i="1"/>
  <c r="J1917" i="1"/>
  <c r="J1932" i="1"/>
  <c r="J1947" i="1"/>
  <c r="J1962" i="1"/>
  <c r="J1977" i="1"/>
  <c r="J1992" i="1"/>
  <c r="J2007" i="1"/>
  <c r="J2022" i="1"/>
  <c r="J2037" i="1"/>
  <c r="J2052" i="1"/>
  <c r="J2067" i="1"/>
  <c r="J2082" i="1"/>
  <c r="J2097" i="1"/>
  <c r="J2112" i="1"/>
  <c r="J2127" i="1"/>
  <c r="J2142" i="1"/>
  <c r="J2157" i="1"/>
  <c r="J2172" i="1"/>
  <c r="J2187" i="1"/>
  <c r="J2202" i="1"/>
  <c r="J2217" i="1"/>
  <c r="J2232" i="1"/>
  <c r="J2247" i="1"/>
  <c r="J2262" i="1"/>
  <c r="J2277" i="1"/>
  <c r="J2292" i="1"/>
  <c r="J2307" i="1"/>
  <c r="J2322" i="1"/>
  <c r="J2337" i="1"/>
  <c r="J2352" i="1"/>
  <c r="J2367" i="1"/>
  <c r="J2382" i="1"/>
  <c r="J2397" i="1"/>
  <c r="J2412" i="1"/>
  <c r="J2427" i="1"/>
  <c r="J2442" i="1"/>
  <c r="J2457" i="1"/>
  <c r="J2472" i="1"/>
  <c r="J2487" i="1"/>
  <c r="J2502" i="1"/>
  <c r="J2517" i="1"/>
  <c r="J2532" i="1"/>
  <c r="J2547" i="1"/>
  <c r="J2562" i="1"/>
  <c r="J2577" i="1"/>
  <c r="J2592" i="1"/>
  <c r="J2607" i="1"/>
  <c r="J2622" i="1"/>
  <c r="J2637" i="1"/>
  <c r="J2652" i="1"/>
  <c r="J2667" i="1"/>
  <c r="J2682" i="1"/>
  <c r="J2697" i="1"/>
  <c r="J2712" i="1"/>
  <c r="J2727" i="1"/>
  <c r="J2742" i="1"/>
  <c r="J2757" i="1"/>
  <c r="J2772" i="1"/>
  <c r="J2787" i="1"/>
  <c r="J2802" i="1"/>
  <c r="J2817" i="1"/>
  <c r="J2832" i="1"/>
  <c r="J2847" i="1"/>
  <c r="J2862" i="1"/>
  <c r="J2877" i="1"/>
  <c r="J2892" i="1"/>
  <c r="J2907" i="1"/>
  <c r="J2922" i="1"/>
  <c r="J2937" i="1"/>
  <c r="J2952" i="1"/>
  <c r="J2967" i="1"/>
  <c r="J2982" i="1"/>
  <c r="J2997" i="1"/>
  <c r="J3012" i="1"/>
  <c r="J3027" i="1"/>
  <c r="J3042" i="1"/>
  <c r="J3057" i="1"/>
  <c r="J3072" i="1"/>
  <c r="J3087" i="1"/>
  <c r="J3102" i="1"/>
  <c r="J3117" i="1"/>
  <c r="J3132" i="1"/>
  <c r="J3147" i="1"/>
  <c r="J3162" i="1"/>
  <c r="J3177" i="1"/>
  <c r="J3192" i="1"/>
  <c r="J3207" i="1"/>
  <c r="J3222" i="1"/>
  <c r="J3237" i="1"/>
  <c r="J3252" i="1"/>
  <c r="J3267" i="1"/>
  <c r="J3282" i="1"/>
  <c r="J3297" i="1"/>
  <c r="J3312" i="1"/>
  <c r="J3327" i="1"/>
  <c r="J3342" i="1"/>
  <c r="J3357" i="1"/>
  <c r="J3372" i="1"/>
  <c r="J3387" i="1"/>
  <c r="J3402" i="1"/>
  <c r="J3417" i="1"/>
  <c r="J3432" i="1"/>
  <c r="J3447" i="1"/>
  <c r="J3462" i="1"/>
  <c r="J3477" i="1"/>
  <c r="J3492" i="1"/>
  <c r="J3507" i="1"/>
  <c r="J3522" i="1"/>
  <c r="J3537" i="1"/>
  <c r="J3552" i="1"/>
  <c r="J3567" i="1"/>
  <c r="J3582" i="1"/>
  <c r="J3597" i="1"/>
  <c r="J3612" i="1"/>
  <c r="J3627" i="1"/>
  <c r="J3640" i="1"/>
  <c r="J3655" i="1"/>
  <c r="J3670" i="1"/>
  <c r="J3685" i="1"/>
  <c r="J13" i="1"/>
  <c r="J28" i="1"/>
  <c r="J43" i="1"/>
  <c r="J58" i="1"/>
  <c r="J73" i="1"/>
  <c r="J88" i="1"/>
  <c r="J103" i="1"/>
  <c r="J118" i="1"/>
  <c r="J133" i="1"/>
  <c r="J148" i="1"/>
  <c r="J163" i="1"/>
  <c r="J178" i="1"/>
  <c r="J193" i="1"/>
  <c r="J208" i="1"/>
  <c r="J223" i="1"/>
  <c r="J238" i="1"/>
  <c r="J253" i="1"/>
  <c r="J268" i="1"/>
  <c r="J283" i="1"/>
  <c r="J298" i="1"/>
  <c r="J313" i="1"/>
  <c r="J328" i="1"/>
  <c r="J343" i="1"/>
  <c r="J358" i="1"/>
  <c r="J373" i="1"/>
  <c r="J388" i="1"/>
  <c r="J403" i="1"/>
  <c r="J418" i="1"/>
  <c r="J433" i="1"/>
  <c r="J448" i="1"/>
  <c r="J463" i="1"/>
  <c r="J478" i="1"/>
  <c r="J493" i="1"/>
  <c r="J508" i="1"/>
  <c r="J523" i="1"/>
  <c r="J538" i="1"/>
  <c r="J553" i="1"/>
  <c r="J568" i="1"/>
  <c r="J583" i="1"/>
  <c r="J598" i="1"/>
  <c r="J613" i="1"/>
  <c r="J628" i="1"/>
  <c r="J643" i="1"/>
  <c r="J658" i="1"/>
  <c r="J673" i="1"/>
  <c r="J688" i="1"/>
  <c r="J703" i="1"/>
  <c r="J718" i="1"/>
  <c r="J733" i="1"/>
  <c r="J748" i="1"/>
  <c r="J763" i="1"/>
  <c r="J778" i="1"/>
  <c r="J793" i="1"/>
  <c r="J808" i="1"/>
  <c r="J823" i="1"/>
  <c r="J838" i="1"/>
  <c r="J853" i="1"/>
  <c r="J868" i="1"/>
  <c r="J883" i="1"/>
  <c r="J898" i="1"/>
  <c r="J913" i="1"/>
  <c r="J928" i="1"/>
  <c r="J943" i="1"/>
  <c r="J958" i="1"/>
  <c r="J973" i="1"/>
  <c r="J988" i="1"/>
  <c r="J1003" i="1"/>
  <c r="J1018" i="1"/>
  <c r="J1033" i="1"/>
  <c r="J1048" i="1"/>
  <c r="J1063" i="1"/>
  <c r="J1078" i="1"/>
  <c r="J1093" i="1"/>
  <c r="J1108" i="1"/>
  <c r="J1123" i="1"/>
  <c r="J1138" i="1"/>
  <c r="J1153" i="1"/>
  <c r="J1168" i="1"/>
  <c r="J1183" i="1"/>
  <c r="J1198" i="1"/>
  <c r="J1213" i="1"/>
  <c r="J1228" i="1"/>
  <c r="J1243" i="1"/>
  <c r="J1258" i="1"/>
  <c r="J1273" i="1"/>
  <c r="J1288" i="1"/>
  <c r="J1303" i="1"/>
  <c r="J1318" i="1"/>
  <c r="J1333" i="1"/>
  <c r="J1348" i="1"/>
  <c r="J1363" i="1"/>
  <c r="J1378" i="1"/>
  <c r="J1393" i="1"/>
  <c r="J1408" i="1"/>
  <c r="J1423" i="1"/>
  <c r="J1438" i="1"/>
  <c r="J1453" i="1"/>
  <c r="J1468" i="1"/>
  <c r="J1483" i="1"/>
  <c r="J1498" i="1"/>
  <c r="J1513" i="1"/>
  <c r="J1528" i="1"/>
  <c r="J1543" i="1"/>
  <c r="J1558" i="1"/>
  <c r="J1573" i="1"/>
  <c r="J1588" i="1"/>
  <c r="J1603" i="1"/>
  <c r="J1618" i="1"/>
  <c r="J1633" i="1"/>
  <c r="J1648" i="1"/>
  <c r="J1663" i="1"/>
  <c r="J1678" i="1"/>
  <c r="J1693" i="1"/>
  <c r="J1708" i="1"/>
  <c r="J1723" i="1"/>
  <c r="J1738" i="1"/>
  <c r="J1753" i="1"/>
  <c r="J1768" i="1"/>
  <c r="J1783" i="1"/>
  <c r="J1798" i="1"/>
  <c r="J1813" i="1"/>
  <c r="J1828" i="1"/>
  <c r="J1843" i="1"/>
  <c r="J1858" i="1"/>
  <c r="J1873" i="1"/>
  <c r="J1888" i="1"/>
  <c r="J1903" i="1"/>
  <c r="J1918" i="1"/>
  <c r="J1933" i="1"/>
  <c r="J1948" i="1"/>
  <c r="J1963" i="1"/>
  <c r="J1978" i="1"/>
  <c r="J1993" i="1"/>
  <c r="J2008" i="1"/>
  <c r="J2023" i="1"/>
  <c r="J2038" i="1"/>
  <c r="J2053" i="1"/>
  <c r="J2068" i="1"/>
  <c r="J2083" i="1"/>
  <c r="J2098" i="1"/>
  <c r="J2113" i="1"/>
  <c r="J2128" i="1"/>
  <c r="J2143" i="1"/>
  <c r="J2158" i="1"/>
  <c r="J2173" i="1"/>
  <c r="J2188" i="1"/>
  <c r="J2203" i="1"/>
  <c r="J2218" i="1"/>
  <c r="J2233" i="1"/>
  <c r="J2248" i="1"/>
  <c r="J2263" i="1"/>
  <c r="J2278" i="1"/>
  <c r="J2293" i="1"/>
  <c r="J2308" i="1"/>
  <c r="J2323" i="1"/>
  <c r="J2338" i="1"/>
  <c r="J2353" i="1"/>
  <c r="J2368" i="1"/>
  <c r="J2383" i="1"/>
  <c r="J2398" i="1"/>
  <c r="J2413" i="1"/>
  <c r="J2428" i="1"/>
  <c r="J2443" i="1"/>
  <c r="J2458" i="1"/>
  <c r="J2473" i="1"/>
  <c r="J2488" i="1"/>
  <c r="J2503" i="1"/>
  <c r="J2518" i="1"/>
  <c r="J2533" i="1"/>
  <c r="J2548" i="1"/>
  <c r="J2563" i="1"/>
  <c r="J2578" i="1"/>
  <c r="J2593" i="1"/>
  <c r="J2608" i="1"/>
  <c r="J2623" i="1"/>
  <c r="J2638" i="1"/>
  <c r="J2653" i="1"/>
  <c r="J2668" i="1"/>
  <c r="J2683" i="1"/>
  <c r="J2698" i="1"/>
  <c r="J2713" i="1"/>
  <c r="J2728" i="1"/>
  <c r="J2743" i="1"/>
  <c r="J2758" i="1"/>
  <c r="J2773" i="1"/>
  <c r="J2788" i="1"/>
  <c r="J2803" i="1"/>
  <c r="J2818" i="1"/>
  <c r="J2833" i="1"/>
  <c r="J2848" i="1"/>
  <c r="J2863" i="1"/>
  <c r="J2878" i="1"/>
  <c r="J2893" i="1"/>
  <c r="J2908" i="1"/>
  <c r="J2923" i="1"/>
  <c r="J2938" i="1"/>
  <c r="J2953" i="1"/>
  <c r="J2968" i="1"/>
  <c r="J2983" i="1"/>
  <c r="J2998" i="1"/>
  <c r="J3013" i="1"/>
  <c r="J3028" i="1"/>
  <c r="J3043" i="1"/>
  <c r="J3058" i="1"/>
  <c r="J3073" i="1"/>
  <c r="J3088" i="1"/>
  <c r="J3103" i="1"/>
  <c r="J3118" i="1"/>
  <c r="J3133" i="1"/>
  <c r="J3148" i="1"/>
  <c r="J3163" i="1"/>
  <c r="J3178" i="1"/>
  <c r="J3193" i="1"/>
  <c r="J3208" i="1"/>
  <c r="J3223" i="1"/>
  <c r="J3238" i="1"/>
  <c r="J3253" i="1"/>
  <c r="J3268" i="1"/>
  <c r="J3283" i="1"/>
  <c r="J3298" i="1"/>
  <c r="J3313" i="1"/>
  <c r="J3328" i="1"/>
  <c r="J3343" i="1"/>
  <c r="J3358" i="1"/>
  <c r="J3373" i="1"/>
  <c r="J3388" i="1"/>
  <c r="J3403" i="1"/>
  <c r="J3418" i="1"/>
  <c r="J3433" i="1"/>
  <c r="J3448" i="1"/>
  <c r="J3463" i="1"/>
  <c r="J3478" i="1"/>
  <c r="J3493" i="1"/>
  <c r="J3508" i="1"/>
  <c r="J3523" i="1"/>
  <c r="J3538" i="1"/>
  <c r="J3553" i="1"/>
  <c r="J3568" i="1"/>
  <c r="J3583" i="1"/>
  <c r="J3598" i="1"/>
  <c r="J3613" i="1"/>
  <c r="J3628" i="1"/>
  <c r="J3641" i="1"/>
  <c r="J3656" i="1"/>
  <c r="J3671" i="1"/>
  <c r="J3686" i="1"/>
  <c r="J14" i="1"/>
  <c r="J29" i="1"/>
  <c r="J44" i="1"/>
  <c r="J59" i="1"/>
  <c r="J74" i="1"/>
  <c r="J89" i="1"/>
  <c r="J104" i="1"/>
  <c r="J119" i="1"/>
  <c r="J134" i="1"/>
  <c r="J149" i="1"/>
  <c r="J164" i="1"/>
  <c r="J179" i="1"/>
  <c r="J194" i="1"/>
  <c r="J209" i="1"/>
  <c r="J224" i="1"/>
  <c r="J239" i="1"/>
  <c r="J254" i="1"/>
  <c r="J269" i="1"/>
  <c r="J284" i="1"/>
  <c r="J299" i="1"/>
  <c r="J314" i="1"/>
  <c r="J329" i="1"/>
  <c r="J344" i="1"/>
  <c r="J359" i="1"/>
  <c r="J374" i="1"/>
  <c r="J389" i="1"/>
  <c r="J404" i="1"/>
  <c r="J419" i="1"/>
  <c r="J434" i="1"/>
  <c r="J449" i="1"/>
  <c r="J464" i="1"/>
  <c r="J479" i="1"/>
  <c r="J494" i="1"/>
  <c r="J509" i="1"/>
  <c r="J524" i="1"/>
  <c r="J539" i="1"/>
  <c r="J554" i="1"/>
  <c r="J569" i="1"/>
  <c r="J584" i="1"/>
  <c r="J599" i="1"/>
  <c r="J614" i="1"/>
  <c r="J629" i="1"/>
  <c r="J644" i="1"/>
  <c r="J659" i="1"/>
  <c r="J674" i="1"/>
  <c r="J689" i="1"/>
  <c r="J704" i="1"/>
  <c r="J719" i="1"/>
  <c r="J734" i="1"/>
  <c r="J749" i="1"/>
  <c r="J764" i="1"/>
  <c r="J779" i="1"/>
  <c r="J794" i="1"/>
  <c r="J809" i="1"/>
  <c r="J824" i="1"/>
  <c r="J839" i="1"/>
  <c r="J854" i="1"/>
  <c r="J869" i="1"/>
  <c r="J884" i="1"/>
  <c r="J899" i="1"/>
  <c r="J914" i="1"/>
  <c r="J929" i="1"/>
  <c r="J944" i="1"/>
  <c r="J959" i="1"/>
  <c r="J974" i="1"/>
  <c r="J989" i="1"/>
  <c r="J1004" i="1"/>
  <c r="J1019" i="1"/>
  <c r="J1034" i="1"/>
  <c r="J1049" i="1"/>
  <c r="J1064" i="1"/>
  <c r="J1079" i="1"/>
  <c r="J1094" i="1"/>
  <c r="J1109" i="1"/>
  <c r="J1124" i="1"/>
  <c r="J1139" i="1"/>
  <c r="J1154" i="1"/>
  <c r="J1169" i="1"/>
  <c r="J1184" i="1"/>
  <c r="J1199" i="1"/>
  <c r="J1214" i="1"/>
  <c r="J1229" i="1"/>
  <c r="J1244" i="1"/>
  <c r="J1259" i="1"/>
  <c r="J1274" i="1"/>
  <c r="J1289" i="1"/>
  <c r="J1304" i="1"/>
  <c r="J1319" i="1"/>
  <c r="J1334" i="1"/>
  <c r="J1349" i="1"/>
  <c r="J1364" i="1"/>
  <c r="J1379" i="1"/>
  <c r="J1394" i="1"/>
  <c r="J1409" i="1"/>
  <c r="J1424" i="1"/>
  <c r="J1439" i="1"/>
  <c r="J1454" i="1"/>
  <c r="J1469" i="1"/>
  <c r="J1484" i="1"/>
  <c r="J1499" i="1"/>
  <c r="J1514" i="1"/>
  <c r="J1529" i="1"/>
  <c r="J1544" i="1"/>
  <c r="J1559" i="1"/>
  <c r="J1574" i="1"/>
  <c r="J1589" i="1"/>
  <c r="J1604" i="1"/>
  <c r="J1619" i="1"/>
  <c r="J1634" i="1"/>
  <c r="J1649" i="1"/>
  <c r="J1664" i="1"/>
  <c r="J1679" i="1"/>
  <c r="J1694" i="1"/>
  <c r="J1709" i="1"/>
  <c r="J1724" i="1"/>
  <c r="J1739" i="1"/>
  <c r="J1754" i="1"/>
  <c r="J1769" i="1"/>
  <c r="J1784" i="1"/>
  <c r="J1799" i="1"/>
  <c r="J1814" i="1"/>
  <c r="J1829" i="1"/>
  <c r="J1844" i="1"/>
  <c r="J1859" i="1"/>
  <c r="J1874" i="1"/>
  <c r="J1889" i="1"/>
  <c r="J1904" i="1"/>
  <c r="J1919" i="1"/>
  <c r="J1934" i="1"/>
  <c r="J1949" i="1"/>
  <c r="J1964" i="1"/>
  <c r="J1979" i="1"/>
  <c r="J1994" i="1"/>
  <c r="J2009" i="1"/>
  <c r="J2024" i="1"/>
  <c r="J2039" i="1"/>
  <c r="J2054" i="1"/>
  <c r="J2069" i="1"/>
  <c r="J2084" i="1"/>
  <c r="J2099" i="1"/>
  <c r="J2114" i="1"/>
  <c r="J2129" i="1"/>
  <c r="J2144" i="1"/>
  <c r="J2159" i="1"/>
  <c r="J2174" i="1"/>
  <c r="J2189" i="1"/>
  <c r="J2204" i="1"/>
  <c r="J2219" i="1"/>
  <c r="J2234" i="1"/>
  <c r="J2249" i="1"/>
  <c r="J2264" i="1"/>
  <c r="J2279" i="1"/>
  <c r="J2294" i="1"/>
  <c r="J2309" i="1"/>
  <c r="J2324" i="1"/>
  <c r="J2339" i="1"/>
  <c r="J2354" i="1"/>
  <c r="J2369" i="1"/>
  <c r="J2384" i="1"/>
  <c r="J2399" i="1"/>
  <c r="J2414" i="1"/>
  <c r="J2429" i="1"/>
  <c r="J2444" i="1"/>
  <c r="J2459" i="1"/>
  <c r="J2474" i="1"/>
  <c r="J2489" i="1"/>
  <c r="J2504" i="1"/>
  <c r="J2519" i="1"/>
  <c r="J2534" i="1"/>
  <c r="J2549" i="1"/>
  <c r="J2564" i="1"/>
  <c r="J2579" i="1"/>
  <c r="J2594" i="1"/>
  <c r="J2609" i="1"/>
  <c r="J2624" i="1"/>
  <c r="J2639" i="1"/>
  <c r="J2654" i="1"/>
  <c r="J2669" i="1"/>
  <c r="J2684" i="1"/>
  <c r="J2699" i="1"/>
  <c r="J2714" i="1"/>
  <c r="J2729" i="1"/>
  <c r="J2744" i="1"/>
  <c r="J2759" i="1"/>
  <c r="J2774" i="1"/>
  <c r="J2789" i="1"/>
  <c r="J2804" i="1"/>
  <c r="J2819" i="1"/>
  <c r="J2834" i="1"/>
  <c r="J2849" i="1"/>
  <c r="J2864" i="1"/>
  <c r="J2879" i="1"/>
  <c r="J2894" i="1"/>
  <c r="J2909" i="1"/>
  <c r="J2924" i="1"/>
  <c r="J2939" i="1"/>
  <c r="J2954" i="1"/>
  <c r="J2969" i="1"/>
  <c r="J2984" i="1"/>
  <c r="J2999" i="1"/>
  <c r="J3014" i="1"/>
  <c r="J3029" i="1"/>
  <c r="J3044" i="1"/>
  <c r="J3059" i="1"/>
  <c r="J3074" i="1"/>
  <c r="J3089" i="1"/>
  <c r="J3104" i="1"/>
  <c r="J3119" i="1"/>
  <c r="J3134" i="1"/>
  <c r="J3149" i="1"/>
  <c r="J3164" i="1"/>
  <c r="J3179" i="1"/>
  <c r="J3194" i="1"/>
  <c r="J3209" i="1"/>
  <c r="J3224" i="1"/>
  <c r="J3239" i="1"/>
  <c r="J3254" i="1"/>
  <c r="J3269" i="1"/>
  <c r="J3284" i="1"/>
  <c r="J3299" i="1"/>
  <c r="J3314" i="1"/>
  <c r="J3329" i="1"/>
  <c r="J3344" i="1"/>
  <c r="J3359" i="1"/>
  <c r="J3374" i="1"/>
  <c r="J3389" i="1"/>
  <c r="J3404" i="1"/>
  <c r="J3419" i="1"/>
  <c r="J3434" i="1"/>
  <c r="J3449" i="1"/>
  <c r="J3464" i="1"/>
  <c r="J3479" i="1"/>
  <c r="J3494" i="1"/>
  <c r="J3509" i="1"/>
  <c r="J3524" i="1"/>
  <c r="J3539" i="1"/>
  <c r="J3554" i="1"/>
  <c r="J3569" i="1"/>
  <c r="J3584" i="1"/>
  <c r="J3599" i="1"/>
  <c r="J3614" i="1"/>
  <c r="J3642" i="1"/>
  <c r="J3657" i="1"/>
  <c r="J3672" i="1"/>
  <c r="J3687" i="1"/>
  <c r="J15" i="1"/>
  <c r="J30" i="1"/>
  <c r="J45" i="1"/>
  <c r="J60" i="1"/>
  <c r="J75" i="1"/>
  <c r="J90" i="1"/>
  <c r="J105" i="1"/>
  <c r="J120" i="1"/>
  <c r="J135" i="1"/>
  <c r="J150" i="1"/>
  <c r="J165" i="1"/>
  <c r="J180" i="1"/>
  <c r="J195" i="1"/>
  <c r="J210" i="1"/>
  <c r="J225" i="1"/>
  <c r="J240" i="1"/>
  <c r="J255" i="1"/>
  <c r="J270" i="1"/>
  <c r="J285" i="1"/>
  <c r="J300" i="1"/>
  <c r="J315" i="1"/>
  <c r="J330" i="1"/>
  <c r="J345" i="1"/>
  <c r="J360" i="1"/>
  <c r="J375" i="1"/>
  <c r="J390" i="1"/>
  <c r="J405" i="1"/>
  <c r="J420" i="1"/>
  <c r="J435" i="1"/>
  <c r="J450" i="1"/>
  <c r="J465" i="1"/>
  <c r="J480" i="1"/>
  <c r="J495" i="1"/>
  <c r="J510" i="1"/>
  <c r="J525" i="1"/>
  <c r="J540" i="1"/>
  <c r="J555" i="1"/>
  <c r="J570" i="1"/>
  <c r="J585" i="1"/>
  <c r="J600" i="1"/>
  <c r="J615" i="1"/>
  <c r="J630" i="1"/>
  <c r="J645" i="1"/>
  <c r="J660" i="1"/>
  <c r="J675" i="1"/>
  <c r="J690" i="1"/>
  <c r="J705" i="1"/>
  <c r="J720" i="1"/>
  <c r="J735" i="1"/>
  <c r="J750" i="1"/>
  <c r="J765" i="1"/>
  <c r="J780" i="1"/>
  <c r="J795" i="1"/>
  <c r="J810" i="1"/>
  <c r="J825" i="1"/>
  <c r="J840" i="1"/>
  <c r="J855" i="1"/>
  <c r="J870" i="1"/>
  <c r="J885" i="1"/>
  <c r="J900" i="1"/>
  <c r="J915" i="1"/>
  <c r="J930" i="1"/>
  <c r="J945" i="1"/>
  <c r="J960" i="1"/>
  <c r="J975" i="1"/>
  <c r="J990" i="1"/>
  <c r="J1005" i="1"/>
  <c r="J1020" i="1"/>
  <c r="J1035" i="1"/>
  <c r="J1050" i="1"/>
  <c r="J1065" i="1"/>
  <c r="J1080" i="1"/>
  <c r="J1095" i="1"/>
  <c r="J1110" i="1"/>
  <c r="J1125" i="1"/>
  <c r="J1140" i="1"/>
  <c r="J1155" i="1"/>
  <c r="J1170" i="1"/>
  <c r="J1185" i="1"/>
  <c r="J1200" i="1"/>
  <c r="J1215" i="1"/>
  <c r="J1230" i="1"/>
  <c r="J1245" i="1"/>
  <c r="J1260" i="1"/>
  <c r="J1275" i="1"/>
  <c r="J1290" i="1"/>
  <c r="J1305" i="1"/>
  <c r="J1320" i="1"/>
  <c r="J1335" i="1"/>
  <c r="J1350" i="1"/>
  <c r="J1365" i="1"/>
  <c r="J1380" i="1"/>
  <c r="J1395" i="1"/>
  <c r="J1410" i="1"/>
  <c r="J1425" i="1"/>
  <c r="J1440" i="1"/>
  <c r="J1455" i="1"/>
  <c r="J1470" i="1"/>
  <c r="J1485" i="1"/>
  <c r="J1500" i="1"/>
  <c r="J1515" i="1"/>
  <c r="J1530" i="1"/>
  <c r="J1545" i="1"/>
  <c r="J1560" i="1"/>
  <c r="J1575" i="1"/>
  <c r="J1590" i="1"/>
  <c r="J1605" i="1"/>
  <c r="J1620" i="1"/>
  <c r="J1635" i="1"/>
  <c r="J1650" i="1"/>
  <c r="J1665" i="1"/>
  <c r="J1680" i="1"/>
  <c r="J1695" i="1"/>
  <c r="J1710" i="1"/>
  <c r="J1725" i="1"/>
  <c r="J1740" i="1"/>
  <c r="J1755" i="1"/>
  <c r="J1770" i="1"/>
  <c r="J1785" i="1"/>
  <c r="J1800" i="1"/>
  <c r="J1815" i="1"/>
  <c r="J1830" i="1"/>
  <c r="J1845" i="1"/>
  <c r="J1860" i="1"/>
  <c r="J1875" i="1"/>
  <c r="J1890" i="1"/>
  <c r="J1905" i="1"/>
  <c r="J1920" i="1"/>
  <c r="J1935" i="1"/>
  <c r="J1950" i="1"/>
  <c r="J1965" i="1"/>
  <c r="J1980" i="1"/>
  <c r="J1995" i="1"/>
  <c r="J2010" i="1"/>
  <c r="J2025" i="1"/>
  <c r="J2040" i="1"/>
  <c r="J2055" i="1"/>
  <c r="J2070" i="1"/>
  <c r="J2085" i="1"/>
  <c r="J2100" i="1"/>
  <c r="J2115" i="1"/>
  <c r="J2130" i="1"/>
  <c r="J2145" i="1"/>
  <c r="J2160" i="1"/>
  <c r="J2175" i="1"/>
  <c r="J2190" i="1"/>
  <c r="J2205" i="1"/>
  <c r="J2220" i="1"/>
  <c r="J2235" i="1"/>
  <c r="J2250" i="1"/>
  <c r="J2265" i="1"/>
  <c r="J2280" i="1"/>
  <c r="J2295" i="1"/>
  <c r="J2310" i="1"/>
  <c r="J2325" i="1"/>
  <c r="J2340" i="1"/>
  <c r="J2355" i="1"/>
  <c r="J2370" i="1"/>
  <c r="J2385" i="1"/>
  <c r="J2400" i="1"/>
  <c r="J2415" i="1"/>
  <c r="J2430" i="1"/>
  <c r="J2445" i="1"/>
  <c r="J2460" i="1"/>
  <c r="J2475" i="1"/>
  <c r="J2490" i="1"/>
  <c r="J2505" i="1"/>
  <c r="J2520" i="1"/>
  <c r="J2535" i="1"/>
  <c r="J2550" i="1"/>
  <c r="J2565" i="1"/>
  <c r="J2580" i="1"/>
  <c r="J2595" i="1"/>
  <c r="J2610" i="1"/>
  <c r="J2625" i="1"/>
  <c r="J2640" i="1"/>
  <c r="J2655" i="1"/>
  <c r="J2670" i="1"/>
  <c r="J2685" i="1"/>
  <c r="J2700" i="1"/>
  <c r="J2715" i="1"/>
  <c r="J2730" i="1"/>
  <c r="J2745" i="1"/>
  <c r="J2760" i="1"/>
  <c r="J2775" i="1"/>
  <c r="J2790" i="1"/>
  <c r="J2805" i="1"/>
  <c r="J2820" i="1"/>
  <c r="J2835" i="1"/>
  <c r="J2850" i="1"/>
  <c r="J2865" i="1"/>
  <c r="J2880" i="1"/>
  <c r="J2895" i="1"/>
  <c r="J2910" i="1"/>
  <c r="J2925" i="1"/>
  <c r="J2940" i="1"/>
  <c r="J2955" i="1"/>
  <c r="J2970" i="1"/>
  <c r="J2985" i="1"/>
  <c r="J3000" i="1"/>
  <c r="J3015" i="1"/>
  <c r="J3030" i="1"/>
  <c r="J3045" i="1"/>
  <c r="J3060" i="1"/>
  <c r="J3075" i="1"/>
  <c r="J3090" i="1"/>
  <c r="J3105" i="1"/>
  <c r="J3120" i="1"/>
  <c r="J3135" i="1"/>
  <c r="J3150" i="1"/>
  <c r="J3165" i="1"/>
  <c r="J3180" i="1"/>
  <c r="J3195" i="1"/>
  <c r="J3210" i="1"/>
  <c r="J3225" i="1"/>
  <c r="J3240" i="1"/>
  <c r="J3255" i="1"/>
  <c r="J3270" i="1"/>
  <c r="J3285" i="1"/>
  <c r="J3300" i="1"/>
  <c r="J3315" i="1"/>
  <c r="J3330" i="1"/>
  <c r="J3345" i="1"/>
  <c r="J3360" i="1"/>
  <c r="J3375" i="1"/>
  <c r="J3390" i="1"/>
  <c r="J3405" i="1"/>
  <c r="J3420" i="1"/>
  <c r="J3435" i="1"/>
  <c r="J3450" i="1"/>
  <c r="J3465" i="1"/>
  <c r="J3480" i="1"/>
  <c r="J3495" i="1"/>
  <c r="J3510" i="1"/>
  <c r="J3525" i="1"/>
  <c r="J3540" i="1"/>
  <c r="J3555" i="1"/>
  <c r="J3570" i="1"/>
  <c r="J3585" i="1"/>
  <c r="J3600" i="1"/>
  <c r="J3615" i="1"/>
  <c r="J3629" i="1"/>
  <c r="J3643" i="1"/>
  <c r="J3658" i="1"/>
  <c r="J3673" i="1"/>
  <c r="J3688" i="1"/>
  <c r="J16" i="1"/>
  <c r="J31" i="1"/>
  <c r="J46" i="1"/>
  <c r="J61" i="1"/>
  <c r="J76" i="1"/>
  <c r="J91" i="1"/>
  <c r="J106" i="1"/>
  <c r="J121" i="1"/>
  <c r="J136" i="1"/>
  <c r="J151" i="1"/>
  <c r="J166" i="1"/>
  <c r="J181" i="1"/>
  <c r="J196" i="1"/>
  <c r="J211" i="1"/>
  <c r="J226" i="1"/>
  <c r="J241" i="1"/>
  <c r="J256" i="1"/>
  <c r="J271" i="1"/>
  <c r="J286" i="1"/>
  <c r="J301" i="1"/>
  <c r="J316" i="1"/>
  <c r="J331" i="1"/>
  <c r="J346" i="1"/>
  <c r="J361" i="1"/>
  <c r="J376" i="1"/>
  <c r="J391" i="1"/>
  <c r="J406" i="1"/>
  <c r="J421" i="1"/>
  <c r="J436" i="1"/>
  <c r="J451" i="1"/>
  <c r="J466" i="1"/>
  <c r="J481" i="1"/>
  <c r="J496" i="1"/>
  <c r="J511" i="1"/>
  <c r="J526" i="1"/>
  <c r="J541" i="1"/>
  <c r="J556" i="1"/>
  <c r="J571" i="1"/>
  <c r="J586" i="1"/>
  <c r="J601" i="1"/>
  <c r="J616" i="1"/>
  <c r="J631" i="1"/>
  <c r="J646" i="1"/>
  <c r="J661" i="1"/>
  <c r="J676" i="1"/>
  <c r="J691" i="1"/>
  <c r="J706" i="1"/>
  <c r="J721" i="1"/>
  <c r="J736" i="1"/>
  <c r="J751" i="1"/>
  <c r="J766" i="1"/>
  <c r="J781" i="1"/>
  <c r="J796" i="1"/>
  <c r="J811" i="1"/>
  <c r="J826" i="1"/>
  <c r="J841" i="1"/>
  <c r="J856" i="1"/>
  <c r="J871" i="1"/>
  <c r="J886" i="1"/>
  <c r="J901" i="1"/>
  <c r="J916" i="1"/>
  <c r="J931" i="1"/>
  <c r="J946" i="1"/>
  <c r="J961" i="1"/>
  <c r="J976" i="1"/>
  <c r="J991" i="1"/>
  <c r="J1006" i="1"/>
  <c r="J1021" i="1"/>
  <c r="J1036" i="1"/>
  <c r="J1051" i="1"/>
  <c r="J1066" i="1"/>
  <c r="J1081" i="1"/>
  <c r="J1096" i="1"/>
  <c r="J1111" i="1"/>
  <c r="J1126" i="1"/>
  <c r="J1141" i="1"/>
  <c r="J1156" i="1"/>
  <c r="J1171" i="1"/>
  <c r="J1186" i="1"/>
  <c r="J1201" i="1"/>
  <c r="J1216" i="1"/>
  <c r="J1231" i="1"/>
  <c r="J1246" i="1"/>
  <c r="J1261" i="1"/>
  <c r="J1276" i="1"/>
  <c r="J1291" i="1"/>
  <c r="J1306" i="1"/>
  <c r="J1321" i="1"/>
  <c r="J1336" i="1"/>
  <c r="J1351" i="1"/>
  <c r="J1366" i="1"/>
  <c r="J1381" i="1"/>
  <c r="J1396" i="1"/>
  <c r="J1411" i="1"/>
  <c r="J1426" i="1"/>
  <c r="J1441" i="1"/>
  <c r="J1456" i="1"/>
  <c r="J1471" i="1"/>
  <c r="J1486" i="1"/>
  <c r="J1501" i="1"/>
  <c r="J1516" i="1"/>
  <c r="J1531" i="1"/>
  <c r="J1546" i="1"/>
  <c r="J1561" i="1"/>
  <c r="J1576" i="1"/>
  <c r="J1591" i="1"/>
  <c r="J1606" i="1"/>
  <c r="J1621" i="1"/>
  <c r="J1636" i="1"/>
  <c r="J1651" i="1"/>
  <c r="J1666" i="1"/>
  <c r="J1681" i="1"/>
  <c r="J1696" i="1"/>
  <c r="J1711" i="1"/>
  <c r="J1726" i="1"/>
  <c r="J1741" i="1"/>
  <c r="J1756" i="1"/>
  <c r="J1771" i="1"/>
  <c r="J1786" i="1"/>
  <c r="J1801" i="1"/>
  <c r="J1816" i="1"/>
  <c r="J1831" i="1"/>
  <c r="J1846" i="1"/>
  <c r="J1861" i="1"/>
  <c r="J1876" i="1"/>
  <c r="J1891" i="1"/>
  <c r="J1906" i="1"/>
  <c r="J1921" i="1"/>
  <c r="J1936" i="1"/>
  <c r="J1951" i="1"/>
  <c r="J1966" i="1"/>
  <c r="J1981" i="1"/>
  <c r="J1996" i="1"/>
  <c r="J2011" i="1"/>
  <c r="J2026" i="1"/>
  <c r="J2041" i="1"/>
  <c r="J2056" i="1"/>
  <c r="J2071" i="1"/>
  <c r="J2086" i="1"/>
  <c r="J2101" i="1"/>
  <c r="J2116" i="1"/>
  <c r="J2131" i="1"/>
  <c r="J2146" i="1"/>
  <c r="J2161" i="1"/>
  <c r="J2176" i="1"/>
  <c r="J2191" i="1"/>
  <c r="J2206" i="1"/>
  <c r="J2221" i="1"/>
  <c r="J2236" i="1"/>
  <c r="J2251" i="1"/>
  <c r="J2266" i="1"/>
  <c r="J2281" i="1"/>
  <c r="J2296" i="1"/>
  <c r="J2311" i="1"/>
  <c r="J2326" i="1"/>
  <c r="J2341" i="1"/>
  <c r="J2356" i="1"/>
  <c r="J2371" i="1"/>
  <c r="J2386" i="1"/>
  <c r="J2401" i="1"/>
  <c r="J2416" i="1"/>
  <c r="J2431" i="1"/>
  <c r="J2446" i="1"/>
  <c r="J2461" i="1"/>
  <c r="J2476" i="1"/>
  <c r="J2491" i="1"/>
  <c r="J2506" i="1"/>
  <c r="J2521" i="1"/>
  <c r="J2536" i="1"/>
  <c r="J2551" i="1"/>
  <c r="J2566" i="1"/>
  <c r="J2581" i="1"/>
  <c r="J2596" i="1"/>
  <c r="J2611" i="1"/>
  <c r="J2626" i="1"/>
  <c r="J2641" i="1"/>
  <c r="J2656" i="1"/>
  <c r="J2671" i="1"/>
  <c r="J2686" i="1"/>
  <c r="J2701" i="1"/>
  <c r="J2716" i="1"/>
  <c r="J2731" i="1"/>
  <c r="J2746" i="1"/>
  <c r="J2761" i="1"/>
  <c r="J2776" i="1"/>
  <c r="J2791" i="1"/>
  <c r="J2806" i="1"/>
  <c r="J2821" i="1"/>
  <c r="J2836" i="1"/>
  <c r="J2851" i="1"/>
  <c r="J2866" i="1"/>
  <c r="J2881" i="1"/>
  <c r="J2896" i="1"/>
  <c r="J2911" i="1"/>
  <c r="J2926" i="1"/>
  <c r="J2941" i="1"/>
  <c r="J2956" i="1"/>
  <c r="J2971" i="1"/>
  <c r="J2986" i="1"/>
  <c r="J3001" i="1"/>
  <c r="J3016" i="1"/>
  <c r="J3031" i="1"/>
  <c r="J3046" i="1"/>
  <c r="J3061" i="1"/>
  <c r="J3076" i="1"/>
  <c r="J3091" i="1"/>
  <c r="J3106" i="1"/>
  <c r="J3121" i="1"/>
  <c r="J3136" i="1"/>
  <c r="J3151" i="1"/>
  <c r="J3166" i="1"/>
  <c r="J3181" i="1"/>
  <c r="J3196" i="1"/>
  <c r="J3211" i="1"/>
  <c r="J3226" i="1"/>
  <c r="J3241" i="1"/>
  <c r="J3256" i="1"/>
  <c r="J3271" i="1"/>
  <c r="J3286" i="1"/>
  <c r="J3301" i="1"/>
  <c r="J3316" i="1"/>
  <c r="J3331" i="1"/>
  <c r="J3346" i="1"/>
  <c r="J3361" i="1"/>
  <c r="J3376" i="1"/>
  <c r="J3391" i="1"/>
  <c r="J3406" i="1"/>
  <c r="J3421" i="1"/>
  <c r="J3436" i="1"/>
  <c r="J3451" i="1"/>
  <c r="J3466" i="1"/>
  <c r="J3481" i="1"/>
  <c r="J3496" i="1"/>
  <c r="J3511" i="1"/>
  <c r="J3526" i="1"/>
  <c r="J3541" i="1"/>
  <c r="J3556" i="1"/>
  <c r="J3571" i="1"/>
  <c r="J3586" i="1"/>
  <c r="J3601" i="1"/>
  <c r="J3616" i="1"/>
  <c r="J3644" i="1"/>
  <c r="J3659" i="1"/>
  <c r="J3674" i="1"/>
  <c r="J3689" i="1"/>
  <c r="J2" i="1"/>
  <c r="I17" i="1"/>
  <c r="I32" i="1"/>
  <c r="I47" i="1"/>
  <c r="I62" i="1"/>
  <c r="I77" i="1"/>
  <c r="I92" i="1"/>
  <c r="I107" i="1"/>
  <c r="I122" i="1"/>
  <c r="I137" i="1"/>
  <c r="I152" i="1"/>
  <c r="I167" i="1"/>
  <c r="I182" i="1"/>
  <c r="I197" i="1"/>
  <c r="I212" i="1"/>
  <c r="I227" i="1"/>
  <c r="I242" i="1"/>
  <c r="I257" i="1"/>
  <c r="I272" i="1"/>
  <c r="I287" i="1"/>
  <c r="I302" i="1"/>
  <c r="I317" i="1"/>
  <c r="I332" i="1"/>
  <c r="I347" i="1"/>
  <c r="I362" i="1"/>
  <c r="I377" i="1"/>
  <c r="I392" i="1"/>
  <c r="I407" i="1"/>
  <c r="I422" i="1"/>
  <c r="I437" i="1"/>
  <c r="I452" i="1"/>
  <c r="I467" i="1"/>
  <c r="I482" i="1"/>
  <c r="I497" i="1"/>
  <c r="I512" i="1"/>
  <c r="I527" i="1"/>
  <c r="I542" i="1"/>
  <c r="I557" i="1"/>
  <c r="I572" i="1"/>
  <c r="I587" i="1"/>
  <c r="I602" i="1"/>
  <c r="I617" i="1"/>
  <c r="I632" i="1"/>
  <c r="I647" i="1"/>
  <c r="I662" i="1"/>
  <c r="I677" i="1"/>
  <c r="I692" i="1"/>
  <c r="I707" i="1"/>
  <c r="I722" i="1"/>
  <c r="I737" i="1"/>
  <c r="I752" i="1"/>
  <c r="I767" i="1"/>
  <c r="I782" i="1"/>
  <c r="I797" i="1"/>
  <c r="I812" i="1"/>
  <c r="I827" i="1"/>
  <c r="I842" i="1"/>
  <c r="I857" i="1"/>
  <c r="I872" i="1"/>
  <c r="I887" i="1"/>
  <c r="I902" i="1"/>
  <c r="I917" i="1"/>
  <c r="I932" i="1"/>
  <c r="I947" i="1"/>
  <c r="I962" i="1"/>
  <c r="I977" i="1"/>
  <c r="I992" i="1"/>
  <c r="I1007" i="1"/>
  <c r="I1022" i="1"/>
  <c r="I1037" i="1"/>
  <c r="I1052" i="1"/>
  <c r="I1067" i="1"/>
  <c r="I1082" i="1"/>
  <c r="I1097" i="1"/>
  <c r="I1112" i="1"/>
  <c r="I1127" i="1"/>
  <c r="I1142" i="1"/>
  <c r="I1157" i="1"/>
  <c r="I1172" i="1"/>
  <c r="I1187" i="1"/>
  <c r="I1202" i="1"/>
  <c r="I1217" i="1"/>
  <c r="I1232" i="1"/>
  <c r="I1247" i="1"/>
  <c r="I1262" i="1"/>
  <c r="I1277" i="1"/>
  <c r="I1292" i="1"/>
  <c r="I1307" i="1"/>
  <c r="I1322" i="1"/>
  <c r="I1337" i="1"/>
  <c r="I1352" i="1"/>
  <c r="I1367" i="1"/>
  <c r="I1382" i="1"/>
  <c r="I1397" i="1"/>
  <c r="I1412" i="1"/>
  <c r="I1427" i="1"/>
  <c r="I1442" i="1"/>
  <c r="I1457" i="1"/>
  <c r="I1472" i="1"/>
  <c r="I1487" i="1"/>
  <c r="I1502" i="1"/>
  <c r="I1517" i="1"/>
  <c r="I1532" i="1"/>
  <c r="I1547" i="1"/>
  <c r="I1562" i="1"/>
  <c r="I1577" i="1"/>
  <c r="I1592" i="1"/>
  <c r="I1607" i="1"/>
  <c r="I1622" i="1"/>
  <c r="I1637" i="1"/>
  <c r="I1652" i="1"/>
  <c r="I1667" i="1"/>
  <c r="I1682" i="1"/>
  <c r="I1697" i="1"/>
  <c r="I1712" i="1"/>
  <c r="I1727" i="1"/>
  <c r="I1742" i="1"/>
  <c r="I1757" i="1"/>
  <c r="I1772" i="1"/>
  <c r="I1787" i="1"/>
  <c r="I1802" i="1"/>
  <c r="I1817" i="1"/>
  <c r="I1832" i="1"/>
  <c r="I1847" i="1"/>
  <c r="I1862" i="1"/>
  <c r="I1877" i="1"/>
  <c r="I1892" i="1"/>
  <c r="I1907" i="1"/>
  <c r="I1922" i="1"/>
  <c r="I1937" i="1"/>
  <c r="I1952" i="1"/>
  <c r="I1967" i="1"/>
  <c r="I1982" i="1"/>
  <c r="I1997" i="1"/>
  <c r="I2012" i="1"/>
  <c r="I2027" i="1"/>
  <c r="I2042" i="1"/>
  <c r="I2057" i="1"/>
  <c r="I2072" i="1"/>
  <c r="I2087" i="1"/>
  <c r="I2102" i="1"/>
  <c r="I2117" i="1"/>
  <c r="I2132" i="1"/>
  <c r="I2147" i="1"/>
  <c r="I2162" i="1"/>
  <c r="I2177" i="1"/>
  <c r="I2192" i="1"/>
  <c r="I2207" i="1"/>
  <c r="I2222" i="1"/>
  <c r="I2237" i="1"/>
  <c r="I2252" i="1"/>
  <c r="I2267" i="1"/>
  <c r="I2282" i="1"/>
  <c r="I2297" i="1"/>
  <c r="I2312" i="1"/>
  <c r="I2327" i="1"/>
  <c r="I2342" i="1"/>
  <c r="I2357" i="1"/>
  <c r="I2372" i="1"/>
  <c r="I2387" i="1"/>
  <c r="I2402" i="1"/>
  <c r="I2417" i="1"/>
  <c r="I2432" i="1"/>
  <c r="I2447" i="1"/>
  <c r="I2462" i="1"/>
  <c r="I2477" i="1"/>
  <c r="I2492" i="1"/>
  <c r="I2507" i="1"/>
  <c r="I2522" i="1"/>
  <c r="I2537" i="1"/>
  <c r="I2552" i="1"/>
  <c r="I2567" i="1"/>
  <c r="I2582" i="1"/>
  <c r="I2597" i="1"/>
  <c r="I2612" i="1"/>
  <c r="I2627" i="1"/>
  <c r="I2642" i="1"/>
  <c r="I2657" i="1"/>
  <c r="I2672" i="1"/>
  <c r="I2687" i="1"/>
  <c r="I2702" i="1"/>
  <c r="I2717" i="1"/>
  <c r="I2732" i="1"/>
  <c r="I2747" i="1"/>
  <c r="I2762" i="1"/>
  <c r="I2777" i="1"/>
  <c r="I2792" i="1"/>
  <c r="I2807" i="1"/>
  <c r="I2822" i="1"/>
  <c r="I2837" i="1"/>
  <c r="I2852" i="1"/>
  <c r="I2867" i="1"/>
  <c r="I2882" i="1"/>
  <c r="I2897" i="1"/>
  <c r="I2912" i="1"/>
  <c r="I2927" i="1"/>
  <c r="I2942" i="1"/>
  <c r="I2957" i="1"/>
  <c r="I2972" i="1"/>
  <c r="I2987" i="1"/>
  <c r="I3002" i="1"/>
  <c r="I3017" i="1"/>
  <c r="I3032" i="1"/>
  <c r="I3047" i="1"/>
  <c r="I3062" i="1"/>
  <c r="I3077" i="1"/>
  <c r="I3092" i="1"/>
  <c r="I3107" i="1"/>
  <c r="I3122" i="1"/>
  <c r="I3137" i="1"/>
  <c r="I3152" i="1"/>
  <c r="I3167" i="1"/>
  <c r="I3182" i="1"/>
  <c r="I3197" i="1"/>
  <c r="I3212" i="1"/>
  <c r="I3227" i="1"/>
  <c r="I3242" i="1"/>
  <c r="I3257" i="1"/>
  <c r="I3272" i="1"/>
  <c r="I3287" i="1"/>
  <c r="I3302" i="1"/>
  <c r="I3317" i="1"/>
  <c r="I3332" i="1"/>
  <c r="I3347" i="1"/>
  <c r="I3362" i="1"/>
  <c r="I3377" i="1"/>
  <c r="I3392" i="1"/>
  <c r="I3407" i="1"/>
  <c r="I3422" i="1"/>
  <c r="I3437" i="1"/>
  <c r="I3452" i="1"/>
  <c r="I3467" i="1"/>
  <c r="I3482" i="1"/>
  <c r="I3497" i="1"/>
  <c r="I3512" i="1"/>
  <c r="I3527" i="1"/>
  <c r="I3542" i="1"/>
  <c r="I3557" i="1"/>
  <c r="I3572" i="1"/>
  <c r="I3587" i="1"/>
  <c r="I3602" i="1"/>
  <c r="I3617" i="1"/>
  <c r="I3630" i="1"/>
  <c r="I3645" i="1"/>
  <c r="I3660" i="1"/>
  <c r="I3675" i="1"/>
  <c r="I3" i="1"/>
  <c r="I18" i="1"/>
  <c r="I33" i="1"/>
  <c r="I48" i="1"/>
  <c r="I63" i="1"/>
  <c r="I78" i="1"/>
  <c r="I93" i="1"/>
  <c r="I108" i="1"/>
  <c r="I123" i="1"/>
  <c r="I138" i="1"/>
  <c r="I153" i="1"/>
  <c r="I168" i="1"/>
  <c r="I183" i="1"/>
  <c r="I198" i="1"/>
  <c r="I213" i="1"/>
  <c r="I228" i="1"/>
  <c r="I243" i="1"/>
  <c r="I258" i="1"/>
  <c r="I273" i="1"/>
  <c r="I288" i="1"/>
  <c r="I303" i="1"/>
  <c r="I318" i="1"/>
  <c r="I333" i="1"/>
  <c r="I348" i="1"/>
  <c r="I363" i="1"/>
  <c r="I378" i="1"/>
  <c r="I393" i="1"/>
  <c r="I408" i="1"/>
  <c r="I423" i="1"/>
  <c r="I438" i="1"/>
  <c r="I453" i="1"/>
  <c r="I468" i="1"/>
  <c r="I483" i="1"/>
  <c r="I498" i="1"/>
  <c r="I513" i="1"/>
  <c r="I528" i="1"/>
  <c r="I543" i="1"/>
  <c r="I558" i="1"/>
  <c r="I573" i="1"/>
  <c r="I588" i="1"/>
  <c r="I603" i="1"/>
  <c r="I618" i="1"/>
  <c r="I633" i="1"/>
  <c r="I648" i="1"/>
  <c r="I663" i="1"/>
  <c r="I678" i="1"/>
  <c r="I693" i="1"/>
  <c r="I708" i="1"/>
  <c r="I723" i="1"/>
  <c r="I738" i="1"/>
  <c r="I753" i="1"/>
  <c r="I768" i="1"/>
  <c r="I783" i="1"/>
  <c r="I798" i="1"/>
  <c r="I813" i="1"/>
  <c r="I828" i="1"/>
  <c r="I843" i="1"/>
  <c r="I858" i="1"/>
  <c r="I873" i="1"/>
  <c r="I888" i="1"/>
  <c r="I903" i="1"/>
  <c r="I918" i="1"/>
  <c r="I933" i="1"/>
  <c r="I948" i="1"/>
  <c r="I963" i="1"/>
  <c r="I978" i="1"/>
  <c r="I993" i="1"/>
  <c r="I1008" i="1"/>
  <c r="I1023" i="1"/>
  <c r="I1038" i="1"/>
  <c r="I1053" i="1"/>
  <c r="I1068" i="1"/>
  <c r="I1083" i="1"/>
  <c r="I1098" i="1"/>
  <c r="I1113" i="1"/>
  <c r="I1128" i="1"/>
  <c r="I1143" i="1"/>
  <c r="I1158" i="1"/>
  <c r="I1173" i="1"/>
  <c r="I1188" i="1"/>
  <c r="I1203" i="1"/>
  <c r="I1218" i="1"/>
  <c r="I1233" i="1"/>
  <c r="I1248" i="1"/>
  <c r="I1263" i="1"/>
  <c r="I1278" i="1"/>
  <c r="I1293" i="1"/>
  <c r="I1308" i="1"/>
  <c r="I1323" i="1"/>
  <c r="I1338" i="1"/>
  <c r="I1353" i="1"/>
  <c r="I1368" i="1"/>
  <c r="I1383" i="1"/>
  <c r="I1398" i="1"/>
  <c r="I1413" i="1"/>
  <c r="I1428" i="1"/>
  <c r="I1443" i="1"/>
  <c r="I1458" i="1"/>
  <c r="I1473" i="1"/>
  <c r="I1488" i="1"/>
  <c r="I1503" i="1"/>
  <c r="I1518" i="1"/>
  <c r="I1533" i="1"/>
  <c r="I1548" i="1"/>
  <c r="I1563" i="1"/>
  <c r="I1578" i="1"/>
  <c r="I1593" i="1"/>
  <c r="I1608" i="1"/>
  <c r="I1623" i="1"/>
  <c r="I1638" i="1"/>
  <c r="I1653" i="1"/>
  <c r="I1668" i="1"/>
  <c r="I1683" i="1"/>
  <c r="I1698" i="1"/>
  <c r="I1713" i="1"/>
  <c r="I1728" i="1"/>
  <c r="I1743" i="1"/>
  <c r="I1758" i="1"/>
  <c r="I1773" i="1"/>
  <c r="I1788" i="1"/>
  <c r="I1803" i="1"/>
  <c r="I1818" i="1"/>
  <c r="I1833" i="1"/>
  <c r="I1848" i="1"/>
  <c r="I1863" i="1"/>
  <c r="I1878" i="1"/>
  <c r="I1893" i="1"/>
  <c r="I1908" i="1"/>
  <c r="I1923" i="1"/>
  <c r="I1938" i="1"/>
  <c r="I1953" i="1"/>
  <c r="I1968" i="1"/>
  <c r="I1983" i="1"/>
  <c r="I1998" i="1"/>
  <c r="I2013" i="1"/>
  <c r="I2028" i="1"/>
  <c r="I2043" i="1"/>
  <c r="I2058" i="1"/>
  <c r="I2073" i="1"/>
  <c r="I2088" i="1"/>
  <c r="I2103" i="1"/>
  <c r="I2118" i="1"/>
  <c r="I2133" i="1"/>
  <c r="I2148" i="1"/>
  <c r="I2163" i="1"/>
  <c r="I2178" i="1"/>
  <c r="I2193" i="1"/>
  <c r="I2208" i="1"/>
  <c r="I2223" i="1"/>
  <c r="I2238" i="1"/>
  <c r="I2253" i="1"/>
  <c r="I2268" i="1"/>
  <c r="I2283" i="1"/>
  <c r="I2298" i="1"/>
  <c r="I2313" i="1"/>
  <c r="I2328" i="1"/>
  <c r="I2343" i="1"/>
  <c r="I2358" i="1"/>
  <c r="I2373" i="1"/>
  <c r="I2388" i="1"/>
  <c r="I2403" i="1"/>
  <c r="I2418" i="1"/>
  <c r="I2433" i="1"/>
  <c r="I2448" i="1"/>
  <c r="I2463" i="1"/>
  <c r="I2478" i="1"/>
  <c r="I2493" i="1"/>
  <c r="I2508" i="1"/>
  <c r="I2523" i="1"/>
  <c r="I2538" i="1"/>
  <c r="I2553" i="1"/>
  <c r="I2568" i="1"/>
  <c r="I2583" i="1"/>
  <c r="I2598" i="1"/>
  <c r="I2613" i="1"/>
  <c r="I2628" i="1"/>
  <c r="I2643" i="1"/>
  <c r="I2658" i="1"/>
  <c r="I2673" i="1"/>
  <c r="I2688" i="1"/>
  <c r="I2703" i="1"/>
  <c r="I2718" i="1"/>
  <c r="I2733" i="1"/>
  <c r="I2748" i="1"/>
  <c r="I2763" i="1"/>
  <c r="I2778" i="1"/>
  <c r="I2793" i="1"/>
  <c r="I2808" i="1"/>
  <c r="I2823" i="1"/>
  <c r="I2838" i="1"/>
  <c r="I2853" i="1"/>
  <c r="I2868" i="1"/>
  <c r="I2883" i="1"/>
  <c r="I2898" i="1"/>
  <c r="I2913" i="1"/>
  <c r="I2928" i="1"/>
  <c r="I2943" i="1"/>
  <c r="I2958" i="1"/>
  <c r="I2973" i="1"/>
  <c r="I2988" i="1"/>
  <c r="I3003" i="1"/>
  <c r="I3018" i="1"/>
  <c r="I3033" i="1"/>
  <c r="I3048" i="1"/>
  <c r="I3063" i="1"/>
  <c r="I3078" i="1"/>
  <c r="I3093" i="1"/>
  <c r="I3108" i="1"/>
  <c r="I3123" i="1"/>
  <c r="I3138" i="1"/>
  <c r="I3153" i="1"/>
  <c r="I3168" i="1"/>
  <c r="I3183" i="1"/>
  <c r="I3198" i="1"/>
  <c r="I3213" i="1"/>
  <c r="I3228" i="1"/>
  <c r="I3243" i="1"/>
  <c r="I3258" i="1"/>
  <c r="I3273" i="1"/>
  <c r="I3288" i="1"/>
  <c r="I3303" i="1"/>
  <c r="I3318" i="1"/>
  <c r="I3333" i="1"/>
  <c r="I3348" i="1"/>
  <c r="I3363" i="1"/>
  <c r="I3378" i="1"/>
  <c r="I3393" i="1"/>
  <c r="I3408" i="1"/>
  <c r="I3423" i="1"/>
  <c r="I3438" i="1"/>
  <c r="I3453" i="1"/>
  <c r="I3468" i="1"/>
  <c r="I3483" i="1"/>
  <c r="I3498" i="1"/>
  <c r="I3513" i="1"/>
  <c r="I3528" i="1"/>
  <c r="I3543" i="1"/>
  <c r="I3558" i="1"/>
  <c r="I3573" i="1"/>
  <c r="I3588" i="1"/>
  <c r="I3603" i="1"/>
  <c r="I3618" i="1"/>
  <c r="I3631" i="1"/>
  <c r="I3646" i="1"/>
  <c r="I3661" i="1"/>
  <c r="I3676" i="1"/>
  <c r="I4" i="1"/>
  <c r="I19" i="1"/>
  <c r="I34" i="1"/>
  <c r="I49" i="1"/>
  <c r="I64" i="1"/>
  <c r="I79" i="1"/>
  <c r="I94" i="1"/>
  <c r="I109" i="1"/>
  <c r="I124" i="1"/>
  <c r="I139" i="1"/>
  <c r="I154" i="1"/>
  <c r="I169" i="1"/>
  <c r="I184" i="1"/>
  <c r="I199" i="1"/>
  <c r="I214" i="1"/>
  <c r="I229" i="1"/>
  <c r="I244" i="1"/>
  <c r="I259" i="1"/>
  <c r="I274" i="1"/>
  <c r="I289" i="1"/>
  <c r="I304" i="1"/>
  <c r="I319" i="1"/>
  <c r="I334" i="1"/>
  <c r="I349" i="1"/>
  <c r="I364" i="1"/>
  <c r="I379" i="1"/>
  <c r="I394" i="1"/>
  <c r="I409" i="1"/>
  <c r="I424" i="1"/>
  <c r="I439" i="1"/>
  <c r="I454" i="1"/>
  <c r="I469" i="1"/>
  <c r="I484" i="1"/>
  <c r="I499" i="1"/>
  <c r="I514" i="1"/>
  <c r="I529" i="1"/>
  <c r="I544" i="1"/>
  <c r="I559" i="1"/>
  <c r="I574" i="1"/>
  <c r="I589" i="1"/>
  <c r="I604" i="1"/>
  <c r="I619" i="1"/>
  <c r="I634" i="1"/>
  <c r="I649" i="1"/>
  <c r="I664" i="1"/>
  <c r="I679" i="1"/>
  <c r="I694" i="1"/>
  <c r="I709" i="1"/>
  <c r="I724" i="1"/>
  <c r="I739" i="1"/>
  <c r="I754" i="1"/>
  <c r="I769" i="1"/>
  <c r="I784" i="1"/>
  <c r="I799" i="1"/>
  <c r="I814" i="1"/>
  <c r="I829" i="1"/>
  <c r="I844" i="1"/>
  <c r="I859" i="1"/>
  <c r="I874" i="1"/>
  <c r="I889" i="1"/>
  <c r="I904" i="1"/>
  <c r="I919" i="1"/>
  <c r="I934" i="1"/>
  <c r="I949" i="1"/>
  <c r="I964" i="1"/>
  <c r="I979" i="1"/>
  <c r="I994" i="1"/>
  <c r="I1009" i="1"/>
  <c r="I1024" i="1"/>
  <c r="I1039" i="1"/>
  <c r="I1054" i="1"/>
  <c r="I1069" i="1"/>
  <c r="I1084" i="1"/>
  <c r="I1099" i="1"/>
  <c r="I1114" i="1"/>
  <c r="I1129" i="1"/>
  <c r="I1144" i="1"/>
  <c r="I1159" i="1"/>
  <c r="I1174" i="1"/>
  <c r="I1189" i="1"/>
  <c r="I1204" i="1"/>
  <c r="I1219" i="1"/>
  <c r="I1234" i="1"/>
  <c r="I1249" i="1"/>
  <c r="I1264" i="1"/>
  <c r="I1279" i="1"/>
  <c r="I1294" i="1"/>
  <c r="I1309" i="1"/>
  <c r="I1324" i="1"/>
  <c r="I1339" i="1"/>
  <c r="I1354" i="1"/>
  <c r="I1369" i="1"/>
  <c r="I1384" i="1"/>
  <c r="I1399" i="1"/>
  <c r="I1414" i="1"/>
  <c r="I1429" i="1"/>
  <c r="I1444" i="1"/>
  <c r="I1459" i="1"/>
  <c r="I1474" i="1"/>
  <c r="I1489" i="1"/>
  <c r="I1504" i="1"/>
  <c r="I1519" i="1"/>
  <c r="I1534" i="1"/>
  <c r="I1549" i="1"/>
  <c r="I1564" i="1"/>
  <c r="I1579" i="1"/>
  <c r="I1594" i="1"/>
  <c r="I1609" i="1"/>
  <c r="I1624" i="1"/>
  <c r="I1639" i="1"/>
  <c r="I1654" i="1"/>
  <c r="I1669" i="1"/>
  <c r="I1684" i="1"/>
  <c r="I1699" i="1"/>
  <c r="I1714" i="1"/>
  <c r="I1729" i="1"/>
  <c r="I1744" i="1"/>
  <c r="I1759" i="1"/>
  <c r="I1774" i="1"/>
  <c r="I1789" i="1"/>
  <c r="I1804" i="1"/>
  <c r="I1819" i="1"/>
  <c r="I1834" i="1"/>
  <c r="I1849" i="1"/>
  <c r="I1864" i="1"/>
  <c r="I1879" i="1"/>
  <c r="I1894" i="1"/>
  <c r="I1909" i="1"/>
  <c r="I1924" i="1"/>
  <c r="I1939" i="1"/>
  <c r="I1954" i="1"/>
  <c r="I1969" i="1"/>
  <c r="I1984" i="1"/>
  <c r="I1999" i="1"/>
  <c r="I2014" i="1"/>
  <c r="I2029" i="1"/>
  <c r="I2044" i="1"/>
  <c r="I2059" i="1"/>
  <c r="I2074" i="1"/>
  <c r="I2089" i="1"/>
  <c r="I2104" i="1"/>
  <c r="I2119" i="1"/>
  <c r="I2134" i="1"/>
  <c r="I2149" i="1"/>
  <c r="I2164" i="1"/>
  <c r="I2179" i="1"/>
  <c r="I2194" i="1"/>
  <c r="I2209" i="1"/>
  <c r="I2224" i="1"/>
  <c r="I2239" i="1"/>
  <c r="I2254" i="1"/>
  <c r="I2269" i="1"/>
  <c r="I2284" i="1"/>
  <c r="I2299" i="1"/>
  <c r="I2314" i="1"/>
  <c r="I2329" i="1"/>
  <c r="I2344" i="1"/>
  <c r="I2359" i="1"/>
  <c r="I2374" i="1"/>
  <c r="I2389" i="1"/>
  <c r="I2404" i="1"/>
  <c r="I2419" i="1"/>
  <c r="I2434" i="1"/>
  <c r="I2449" i="1"/>
  <c r="I2464" i="1"/>
  <c r="I2479" i="1"/>
  <c r="I2494" i="1"/>
  <c r="I2509" i="1"/>
  <c r="I2524" i="1"/>
  <c r="I2539" i="1"/>
  <c r="I2554" i="1"/>
  <c r="I2569" i="1"/>
  <c r="I2584" i="1"/>
  <c r="I2599" i="1"/>
  <c r="I2614" i="1"/>
  <c r="I2629" i="1"/>
  <c r="I2644" i="1"/>
  <c r="I2659" i="1"/>
  <c r="I2674" i="1"/>
  <c r="I2689" i="1"/>
  <c r="I2704" i="1"/>
  <c r="I2719" i="1"/>
  <c r="I2734" i="1"/>
  <c r="I2749" i="1"/>
  <c r="I2764" i="1"/>
  <c r="I2779" i="1"/>
  <c r="I2794" i="1"/>
  <c r="I2809" i="1"/>
  <c r="I2824" i="1"/>
  <c r="I2839" i="1"/>
  <c r="I2854" i="1"/>
  <c r="I2869" i="1"/>
  <c r="I2884" i="1"/>
  <c r="I2899" i="1"/>
  <c r="I2914" i="1"/>
  <c r="I2929" i="1"/>
  <c r="I2944" i="1"/>
  <c r="I2959" i="1"/>
  <c r="I2974" i="1"/>
  <c r="I2989" i="1"/>
  <c r="I3004" i="1"/>
  <c r="I3019" i="1"/>
  <c r="I3034" i="1"/>
  <c r="I3049" i="1"/>
  <c r="I3064" i="1"/>
  <c r="I3079" i="1"/>
  <c r="I3094" i="1"/>
  <c r="I3109" i="1"/>
  <c r="I3124" i="1"/>
  <c r="I3139" i="1"/>
  <c r="I3154" i="1"/>
  <c r="I3169" i="1"/>
  <c r="I3184" i="1"/>
  <c r="I3199" i="1"/>
  <c r="I3214" i="1"/>
  <c r="I3229" i="1"/>
  <c r="I3244" i="1"/>
  <c r="I3259" i="1"/>
  <c r="I3274" i="1"/>
  <c r="I3289" i="1"/>
  <c r="I3304" i="1"/>
  <c r="I3319" i="1"/>
  <c r="I3334" i="1"/>
  <c r="I3349" i="1"/>
  <c r="I3364" i="1"/>
  <c r="I3379" i="1"/>
  <c r="I3394" i="1"/>
  <c r="I3409" i="1"/>
  <c r="I3424" i="1"/>
  <c r="I3439" i="1"/>
  <c r="I3454" i="1"/>
  <c r="I3469" i="1"/>
  <c r="I3484" i="1"/>
  <c r="I3499" i="1"/>
  <c r="I3514" i="1"/>
  <c r="I3529" i="1"/>
  <c r="I3544" i="1"/>
  <c r="I3559" i="1"/>
  <c r="I3574" i="1"/>
  <c r="I3589" i="1"/>
  <c r="I3604" i="1"/>
  <c r="I3619" i="1"/>
  <c r="I3632" i="1"/>
  <c r="I3647" i="1"/>
  <c r="I3662" i="1"/>
  <c r="I3677" i="1"/>
  <c r="I5" i="1"/>
  <c r="I20" i="1"/>
  <c r="I35" i="1"/>
  <c r="I50" i="1"/>
  <c r="I65" i="1"/>
  <c r="I80" i="1"/>
  <c r="I95" i="1"/>
  <c r="I110" i="1"/>
  <c r="I125" i="1"/>
  <c r="I140" i="1"/>
  <c r="I155" i="1"/>
  <c r="I170" i="1"/>
  <c r="I185" i="1"/>
  <c r="I200" i="1"/>
  <c r="I215" i="1"/>
  <c r="I230" i="1"/>
  <c r="I245" i="1"/>
  <c r="I260" i="1"/>
  <c r="I275" i="1"/>
  <c r="I290" i="1"/>
  <c r="I305" i="1"/>
  <c r="I320" i="1"/>
  <c r="I335" i="1"/>
  <c r="I350" i="1"/>
  <c r="I365" i="1"/>
  <c r="I380" i="1"/>
  <c r="I395" i="1"/>
  <c r="I410" i="1"/>
  <c r="I425" i="1"/>
  <c r="I440" i="1"/>
  <c r="I455" i="1"/>
  <c r="I470" i="1"/>
  <c r="I485" i="1"/>
  <c r="I500" i="1"/>
  <c r="I515" i="1"/>
  <c r="I530" i="1"/>
  <c r="I545" i="1"/>
  <c r="I560" i="1"/>
  <c r="I575" i="1"/>
  <c r="I590" i="1"/>
  <c r="I605" i="1"/>
  <c r="I620" i="1"/>
  <c r="I635" i="1"/>
  <c r="I650" i="1"/>
  <c r="I665" i="1"/>
  <c r="I680" i="1"/>
  <c r="I695" i="1"/>
  <c r="I710" i="1"/>
  <c r="I725" i="1"/>
  <c r="I740" i="1"/>
  <c r="I755" i="1"/>
  <c r="I770" i="1"/>
  <c r="I785" i="1"/>
  <c r="I800" i="1"/>
  <c r="I815" i="1"/>
  <c r="I830" i="1"/>
  <c r="I845" i="1"/>
  <c r="I860" i="1"/>
  <c r="I875" i="1"/>
  <c r="I890" i="1"/>
  <c r="I905" i="1"/>
  <c r="I920" i="1"/>
  <c r="I935" i="1"/>
  <c r="I950" i="1"/>
  <c r="I965" i="1"/>
  <c r="I980" i="1"/>
  <c r="I995" i="1"/>
  <c r="I1010" i="1"/>
  <c r="I1025" i="1"/>
  <c r="I1040" i="1"/>
  <c r="I1055" i="1"/>
  <c r="I1070" i="1"/>
  <c r="I1085" i="1"/>
  <c r="I1100" i="1"/>
  <c r="I1115" i="1"/>
  <c r="I1130" i="1"/>
  <c r="I1145" i="1"/>
  <c r="I1160" i="1"/>
  <c r="I1175" i="1"/>
  <c r="I1190" i="1"/>
  <c r="I1205" i="1"/>
  <c r="I1220" i="1"/>
  <c r="I1235" i="1"/>
  <c r="I1250" i="1"/>
  <c r="I1265" i="1"/>
  <c r="I1280" i="1"/>
  <c r="I1295" i="1"/>
  <c r="I1310" i="1"/>
  <c r="I1325" i="1"/>
  <c r="I1340" i="1"/>
  <c r="I1355" i="1"/>
  <c r="I1370" i="1"/>
  <c r="I1385" i="1"/>
  <c r="I1400" i="1"/>
  <c r="I1415" i="1"/>
  <c r="I1430" i="1"/>
  <c r="I1445" i="1"/>
  <c r="I1460" i="1"/>
  <c r="I1475" i="1"/>
  <c r="I1490" i="1"/>
  <c r="I1505" i="1"/>
  <c r="I1520" i="1"/>
  <c r="I1535" i="1"/>
  <c r="I1550" i="1"/>
  <c r="I1565" i="1"/>
  <c r="I1580" i="1"/>
  <c r="I1595" i="1"/>
  <c r="I1610" i="1"/>
  <c r="I1625" i="1"/>
  <c r="I1640" i="1"/>
  <c r="I1655" i="1"/>
  <c r="I1670" i="1"/>
  <c r="I1685" i="1"/>
  <c r="I1700" i="1"/>
  <c r="I1715" i="1"/>
  <c r="I1730" i="1"/>
  <c r="I1745" i="1"/>
  <c r="I1760" i="1"/>
  <c r="I1775" i="1"/>
  <c r="I1790" i="1"/>
  <c r="I1805" i="1"/>
  <c r="I1820" i="1"/>
  <c r="I1835" i="1"/>
  <c r="I1850" i="1"/>
  <c r="I1865" i="1"/>
  <c r="I1880" i="1"/>
  <c r="I1895" i="1"/>
  <c r="I1910" i="1"/>
  <c r="I1925" i="1"/>
  <c r="I1940" i="1"/>
  <c r="I1955" i="1"/>
  <c r="I1970" i="1"/>
  <c r="I1985" i="1"/>
  <c r="I2000" i="1"/>
  <c r="I2015" i="1"/>
  <c r="I2030" i="1"/>
  <c r="I2045" i="1"/>
  <c r="I2060" i="1"/>
  <c r="I2075" i="1"/>
  <c r="I2090" i="1"/>
  <c r="I2105" i="1"/>
  <c r="I2120" i="1"/>
  <c r="I2135" i="1"/>
  <c r="I2150" i="1"/>
  <c r="I2165" i="1"/>
  <c r="I2180" i="1"/>
  <c r="I2195" i="1"/>
  <c r="I2210" i="1"/>
  <c r="I2225" i="1"/>
  <c r="I2240" i="1"/>
  <c r="I2255" i="1"/>
  <c r="I2270" i="1"/>
  <c r="I2285" i="1"/>
  <c r="I2300" i="1"/>
  <c r="I2315" i="1"/>
  <c r="I2330" i="1"/>
  <c r="I2345" i="1"/>
  <c r="I2360" i="1"/>
  <c r="I2375" i="1"/>
  <c r="I2390" i="1"/>
  <c r="I2405" i="1"/>
  <c r="I2420" i="1"/>
  <c r="I2435" i="1"/>
  <c r="I2450" i="1"/>
  <c r="I2465" i="1"/>
  <c r="I2480" i="1"/>
  <c r="I2495" i="1"/>
  <c r="I2510" i="1"/>
  <c r="I2525" i="1"/>
  <c r="I2540" i="1"/>
  <c r="I2555" i="1"/>
  <c r="I2570" i="1"/>
  <c r="I2585" i="1"/>
  <c r="I2600" i="1"/>
  <c r="I2615" i="1"/>
  <c r="I2630" i="1"/>
  <c r="I2645" i="1"/>
  <c r="I2660" i="1"/>
  <c r="I2675" i="1"/>
  <c r="I2690" i="1"/>
  <c r="I2705" i="1"/>
  <c r="I2720" i="1"/>
  <c r="I2735" i="1"/>
  <c r="I2750" i="1"/>
  <c r="I2765" i="1"/>
  <c r="I2780" i="1"/>
  <c r="I2795" i="1"/>
  <c r="I2810" i="1"/>
  <c r="I2825" i="1"/>
  <c r="I2840" i="1"/>
  <c r="I2855" i="1"/>
  <c r="I2870" i="1"/>
  <c r="I2885" i="1"/>
  <c r="I2900" i="1"/>
  <c r="I2915" i="1"/>
  <c r="I2930" i="1"/>
  <c r="I2945" i="1"/>
  <c r="I2960" i="1"/>
  <c r="I2975" i="1"/>
  <c r="I2990" i="1"/>
  <c r="I3005" i="1"/>
  <c r="I3020" i="1"/>
  <c r="I3035" i="1"/>
  <c r="I3050" i="1"/>
  <c r="I3065" i="1"/>
  <c r="I3080" i="1"/>
  <c r="I3095" i="1"/>
  <c r="I3110" i="1"/>
  <c r="I3125" i="1"/>
  <c r="I3140" i="1"/>
  <c r="I3155" i="1"/>
  <c r="I3170" i="1"/>
  <c r="I3185" i="1"/>
  <c r="I3200" i="1"/>
  <c r="I3215" i="1"/>
  <c r="I3230" i="1"/>
  <c r="I3245" i="1"/>
  <c r="I3260" i="1"/>
  <c r="I3275" i="1"/>
  <c r="I3290" i="1"/>
  <c r="I3305" i="1"/>
  <c r="I3320" i="1"/>
  <c r="I3335" i="1"/>
  <c r="I3350" i="1"/>
  <c r="I3365" i="1"/>
  <c r="I3380" i="1"/>
  <c r="I3395" i="1"/>
  <c r="I3410" i="1"/>
  <c r="I3425" i="1"/>
  <c r="I3440" i="1"/>
  <c r="I3455" i="1"/>
  <c r="I3470" i="1"/>
  <c r="I3485" i="1"/>
  <c r="I3500" i="1"/>
  <c r="I3515" i="1"/>
  <c r="I3530" i="1"/>
  <c r="I3545" i="1"/>
  <c r="I3560" i="1"/>
  <c r="I3575" i="1"/>
  <c r="I3590" i="1"/>
  <c r="I3605" i="1"/>
  <c r="I3620" i="1"/>
  <c r="I3633" i="1"/>
  <c r="I3648" i="1"/>
  <c r="I3663" i="1"/>
  <c r="I3678" i="1"/>
  <c r="I6" i="1"/>
  <c r="I21" i="1"/>
  <c r="I36" i="1"/>
  <c r="I51" i="1"/>
  <c r="I66" i="1"/>
  <c r="I81" i="1"/>
  <c r="I96" i="1"/>
  <c r="I111" i="1"/>
  <c r="I126" i="1"/>
  <c r="I141" i="1"/>
  <c r="I156" i="1"/>
  <c r="I171" i="1"/>
  <c r="I186" i="1"/>
  <c r="I201" i="1"/>
  <c r="I216" i="1"/>
  <c r="I231" i="1"/>
  <c r="I246" i="1"/>
  <c r="I261" i="1"/>
  <c r="I276" i="1"/>
  <c r="I291" i="1"/>
  <c r="I306" i="1"/>
  <c r="I321" i="1"/>
  <c r="I336" i="1"/>
  <c r="I351" i="1"/>
  <c r="I366" i="1"/>
  <c r="I381" i="1"/>
  <c r="I396" i="1"/>
  <c r="I411" i="1"/>
  <c r="I426" i="1"/>
  <c r="I441" i="1"/>
  <c r="I456" i="1"/>
  <c r="I471" i="1"/>
  <c r="I486" i="1"/>
  <c r="I501" i="1"/>
  <c r="I516" i="1"/>
  <c r="I531" i="1"/>
  <c r="I546" i="1"/>
  <c r="I561" i="1"/>
  <c r="I576" i="1"/>
  <c r="I591" i="1"/>
  <c r="I606" i="1"/>
  <c r="I621" i="1"/>
  <c r="I636" i="1"/>
  <c r="I651" i="1"/>
  <c r="I666" i="1"/>
  <c r="I681" i="1"/>
  <c r="I696" i="1"/>
  <c r="I711" i="1"/>
  <c r="I726" i="1"/>
  <c r="I741" i="1"/>
  <c r="I756" i="1"/>
  <c r="I771" i="1"/>
  <c r="I786" i="1"/>
  <c r="I801" i="1"/>
  <c r="I816" i="1"/>
  <c r="I831" i="1"/>
  <c r="I846" i="1"/>
  <c r="I861" i="1"/>
  <c r="I876" i="1"/>
  <c r="I891" i="1"/>
  <c r="I906" i="1"/>
  <c r="I921" i="1"/>
  <c r="I936" i="1"/>
  <c r="I951" i="1"/>
  <c r="I966" i="1"/>
  <c r="I981" i="1"/>
  <c r="I996" i="1"/>
  <c r="I1011" i="1"/>
  <c r="I1026" i="1"/>
  <c r="I1041" i="1"/>
  <c r="I1056" i="1"/>
  <c r="I1071" i="1"/>
  <c r="I1086" i="1"/>
  <c r="I1101" i="1"/>
  <c r="I1116" i="1"/>
  <c r="I1131" i="1"/>
  <c r="I1146" i="1"/>
  <c r="I1161" i="1"/>
  <c r="I1176" i="1"/>
  <c r="I1191" i="1"/>
  <c r="I1206" i="1"/>
  <c r="I1221" i="1"/>
  <c r="I1236" i="1"/>
  <c r="I1251" i="1"/>
  <c r="I1266" i="1"/>
  <c r="I1281" i="1"/>
  <c r="I1296" i="1"/>
  <c r="I1311" i="1"/>
  <c r="I1326" i="1"/>
  <c r="I1341" i="1"/>
  <c r="I1356" i="1"/>
  <c r="I1371" i="1"/>
  <c r="I1386" i="1"/>
  <c r="I1401" i="1"/>
  <c r="I1416" i="1"/>
  <c r="I1431" i="1"/>
  <c r="I1446" i="1"/>
  <c r="I1461" i="1"/>
  <c r="I1476" i="1"/>
  <c r="I1491" i="1"/>
  <c r="I1506" i="1"/>
  <c r="I1521" i="1"/>
  <c r="I1536" i="1"/>
  <c r="I1551" i="1"/>
  <c r="I1566" i="1"/>
  <c r="I1581" i="1"/>
  <c r="I1596" i="1"/>
  <c r="I1611" i="1"/>
  <c r="I1626" i="1"/>
  <c r="I1641" i="1"/>
  <c r="I1656" i="1"/>
  <c r="I1671" i="1"/>
  <c r="I1686" i="1"/>
  <c r="I1701" i="1"/>
  <c r="I1716" i="1"/>
  <c r="I1731" i="1"/>
  <c r="I1746" i="1"/>
  <c r="I1761" i="1"/>
  <c r="I1776" i="1"/>
  <c r="I1791" i="1"/>
  <c r="I1806" i="1"/>
  <c r="I1821" i="1"/>
  <c r="I1836" i="1"/>
  <c r="I1851" i="1"/>
  <c r="I1866" i="1"/>
  <c r="I1881" i="1"/>
  <c r="I1896" i="1"/>
  <c r="I1911" i="1"/>
  <c r="I1926" i="1"/>
  <c r="I1941" i="1"/>
  <c r="I1956" i="1"/>
  <c r="I1971" i="1"/>
  <c r="I1986" i="1"/>
  <c r="I2001" i="1"/>
  <c r="I2016" i="1"/>
  <c r="I2031" i="1"/>
  <c r="I2046" i="1"/>
  <c r="I2061" i="1"/>
  <c r="I2076" i="1"/>
  <c r="I2091" i="1"/>
  <c r="I2106" i="1"/>
  <c r="I2121" i="1"/>
  <c r="I2136" i="1"/>
  <c r="I2151" i="1"/>
  <c r="I2166" i="1"/>
  <c r="I2181" i="1"/>
  <c r="I2196" i="1"/>
  <c r="I2211" i="1"/>
  <c r="I2226" i="1"/>
  <c r="I2241" i="1"/>
  <c r="I2256" i="1"/>
  <c r="I2271" i="1"/>
  <c r="I2286" i="1"/>
  <c r="I2301" i="1"/>
  <c r="I2316" i="1"/>
  <c r="I2331" i="1"/>
  <c r="I2346" i="1"/>
  <c r="I2361" i="1"/>
  <c r="I2376" i="1"/>
  <c r="I2391" i="1"/>
  <c r="I2406" i="1"/>
  <c r="I2421" i="1"/>
  <c r="I2436" i="1"/>
  <c r="I2451" i="1"/>
  <c r="I2466" i="1"/>
  <c r="I2481" i="1"/>
  <c r="I2496" i="1"/>
  <c r="I2511" i="1"/>
  <c r="I2526" i="1"/>
  <c r="I2541" i="1"/>
  <c r="I2556" i="1"/>
  <c r="I2571" i="1"/>
  <c r="I2586" i="1"/>
  <c r="I2601" i="1"/>
  <c r="I2616" i="1"/>
  <c r="I2631" i="1"/>
  <c r="I2646" i="1"/>
  <c r="I2661" i="1"/>
  <c r="I2676" i="1"/>
  <c r="I2691" i="1"/>
  <c r="I2706" i="1"/>
  <c r="I2721" i="1"/>
  <c r="I2736" i="1"/>
  <c r="I2751" i="1"/>
  <c r="I2766" i="1"/>
  <c r="I2781" i="1"/>
  <c r="I2796" i="1"/>
  <c r="I2811" i="1"/>
  <c r="I2826" i="1"/>
  <c r="I2841" i="1"/>
  <c r="I2856" i="1"/>
  <c r="I2871" i="1"/>
  <c r="I2886" i="1"/>
  <c r="I2901" i="1"/>
  <c r="I2916" i="1"/>
  <c r="I2931" i="1"/>
  <c r="I2946" i="1"/>
  <c r="I2961" i="1"/>
  <c r="I2976" i="1"/>
  <c r="I2991" i="1"/>
  <c r="I3006" i="1"/>
  <c r="I3021" i="1"/>
  <c r="I3036" i="1"/>
  <c r="I3051" i="1"/>
  <c r="I3066" i="1"/>
  <c r="I3081" i="1"/>
  <c r="I3096" i="1"/>
  <c r="I3111" i="1"/>
  <c r="I3126" i="1"/>
  <c r="I3141" i="1"/>
  <c r="I3156" i="1"/>
  <c r="I3171" i="1"/>
  <c r="I3186" i="1"/>
  <c r="I3201" i="1"/>
  <c r="I3216" i="1"/>
  <c r="I3231" i="1"/>
  <c r="I3246" i="1"/>
  <c r="I3261" i="1"/>
  <c r="I3276" i="1"/>
  <c r="I3291" i="1"/>
  <c r="I3306" i="1"/>
  <c r="I3321" i="1"/>
  <c r="I3336" i="1"/>
  <c r="I3351" i="1"/>
  <c r="I3366" i="1"/>
  <c r="I3381" i="1"/>
  <c r="I3396" i="1"/>
  <c r="I3411" i="1"/>
  <c r="I3426" i="1"/>
  <c r="I3441" i="1"/>
  <c r="I3456" i="1"/>
  <c r="I3471" i="1"/>
  <c r="I3486" i="1"/>
  <c r="I3501" i="1"/>
  <c r="I3516" i="1"/>
  <c r="I3531" i="1"/>
  <c r="I3546" i="1"/>
  <c r="I3561" i="1"/>
  <c r="I3576" i="1"/>
  <c r="I3591" i="1"/>
  <c r="I3606" i="1"/>
  <c r="I3621" i="1"/>
  <c r="I3634" i="1"/>
  <c r="I3649" i="1"/>
  <c r="I3664" i="1"/>
  <c r="I3679" i="1"/>
  <c r="I7" i="1"/>
  <c r="I22" i="1"/>
  <c r="I37" i="1"/>
  <c r="I52" i="1"/>
  <c r="I67" i="1"/>
  <c r="I82" i="1"/>
  <c r="I97" i="1"/>
  <c r="I112" i="1"/>
  <c r="I127" i="1"/>
  <c r="I142" i="1"/>
  <c r="I157" i="1"/>
  <c r="I172" i="1"/>
  <c r="I187" i="1"/>
  <c r="I202" i="1"/>
  <c r="I217" i="1"/>
  <c r="I232" i="1"/>
  <c r="I247" i="1"/>
  <c r="I262" i="1"/>
  <c r="I277" i="1"/>
  <c r="I292" i="1"/>
  <c r="I307" i="1"/>
  <c r="I322" i="1"/>
  <c r="I337" i="1"/>
  <c r="I352" i="1"/>
  <c r="I367" i="1"/>
  <c r="I382" i="1"/>
  <c r="I397" i="1"/>
  <c r="I412" i="1"/>
  <c r="I427" i="1"/>
  <c r="I442" i="1"/>
  <c r="I457" i="1"/>
  <c r="I472" i="1"/>
  <c r="I487" i="1"/>
  <c r="I502" i="1"/>
  <c r="I517" i="1"/>
  <c r="I532" i="1"/>
  <c r="I547" i="1"/>
  <c r="I562" i="1"/>
  <c r="I577" i="1"/>
  <c r="I592" i="1"/>
  <c r="I607" i="1"/>
  <c r="I622" i="1"/>
  <c r="I637" i="1"/>
  <c r="I652" i="1"/>
  <c r="I667" i="1"/>
  <c r="I682" i="1"/>
  <c r="I697" i="1"/>
  <c r="I712" i="1"/>
  <c r="I727" i="1"/>
  <c r="I742" i="1"/>
  <c r="I757" i="1"/>
  <c r="I772" i="1"/>
  <c r="I787" i="1"/>
  <c r="I802" i="1"/>
  <c r="I817" i="1"/>
  <c r="I832" i="1"/>
  <c r="I847" i="1"/>
  <c r="I862" i="1"/>
  <c r="I877" i="1"/>
  <c r="I892" i="1"/>
  <c r="I907" i="1"/>
  <c r="I922" i="1"/>
  <c r="I937" i="1"/>
  <c r="I952" i="1"/>
  <c r="I967" i="1"/>
  <c r="I982" i="1"/>
  <c r="I997" i="1"/>
  <c r="I1012" i="1"/>
  <c r="I1027" i="1"/>
  <c r="I1042" i="1"/>
  <c r="I1057" i="1"/>
  <c r="I1072" i="1"/>
  <c r="I1087" i="1"/>
  <c r="I1102" i="1"/>
  <c r="I1117" i="1"/>
  <c r="I1132" i="1"/>
  <c r="I1147" i="1"/>
  <c r="I1162" i="1"/>
  <c r="I1177" i="1"/>
  <c r="I1192" i="1"/>
  <c r="I1207" i="1"/>
  <c r="I1222" i="1"/>
  <c r="I1237" i="1"/>
  <c r="I1252" i="1"/>
  <c r="I1267" i="1"/>
  <c r="I1282" i="1"/>
  <c r="I1297" i="1"/>
  <c r="I1312" i="1"/>
  <c r="I1327" i="1"/>
  <c r="I1342" i="1"/>
  <c r="I1357" i="1"/>
  <c r="I1372" i="1"/>
  <c r="I1387" i="1"/>
  <c r="I1402" i="1"/>
  <c r="I1417" i="1"/>
  <c r="I1432" i="1"/>
  <c r="I1447" i="1"/>
  <c r="I1462" i="1"/>
  <c r="I1477" i="1"/>
  <c r="I1492" i="1"/>
  <c r="I1507" i="1"/>
  <c r="I1522" i="1"/>
  <c r="I1537" i="1"/>
  <c r="I1552" i="1"/>
  <c r="I1567" i="1"/>
  <c r="I1582" i="1"/>
  <c r="I1597" i="1"/>
  <c r="I1612" i="1"/>
  <c r="I1627" i="1"/>
  <c r="I1642" i="1"/>
  <c r="I1657" i="1"/>
  <c r="I1672" i="1"/>
  <c r="I1687" i="1"/>
  <c r="I1702" i="1"/>
  <c r="I1717" i="1"/>
  <c r="I1732" i="1"/>
  <c r="I1747" i="1"/>
  <c r="I1762" i="1"/>
  <c r="I1777" i="1"/>
  <c r="I1792" i="1"/>
  <c r="I1807" i="1"/>
  <c r="I1822" i="1"/>
  <c r="I1837" i="1"/>
  <c r="I1852" i="1"/>
  <c r="I1867" i="1"/>
  <c r="I1882" i="1"/>
  <c r="I1897" i="1"/>
  <c r="I1912" i="1"/>
  <c r="I1927" i="1"/>
  <c r="I1942" i="1"/>
  <c r="I1957" i="1"/>
  <c r="I1972" i="1"/>
  <c r="I1987" i="1"/>
  <c r="I2002" i="1"/>
  <c r="I2017" i="1"/>
  <c r="I2032" i="1"/>
  <c r="I2047" i="1"/>
  <c r="I2062" i="1"/>
  <c r="I2077" i="1"/>
  <c r="I2092" i="1"/>
  <c r="I2107" i="1"/>
  <c r="I2122" i="1"/>
  <c r="I2137" i="1"/>
  <c r="I2152" i="1"/>
  <c r="I2167" i="1"/>
  <c r="I2182" i="1"/>
  <c r="I2197" i="1"/>
  <c r="I2212" i="1"/>
  <c r="I2227" i="1"/>
  <c r="I2242" i="1"/>
  <c r="I2257" i="1"/>
  <c r="I2272" i="1"/>
  <c r="I2287" i="1"/>
  <c r="I2302" i="1"/>
  <c r="I2317" i="1"/>
  <c r="I2332" i="1"/>
  <c r="I2347" i="1"/>
  <c r="I2362" i="1"/>
  <c r="I2377" i="1"/>
  <c r="I2392" i="1"/>
  <c r="I2407" i="1"/>
  <c r="I2422" i="1"/>
  <c r="I2437" i="1"/>
  <c r="I2452" i="1"/>
  <c r="I2467" i="1"/>
  <c r="I2482" i="1"/>
  <c r="I2497" i="1"/>
  <c r="I2512" i="1"/>
  <c r="I2527" i="1"/>
  <c r="I2542" i="1"/>
  <c r="I2557" i="1"/>
  <c r="I2572" i="1"/>
  <c r="I2587" i="1"/>
  <c r="I2602" i="1"/>
  <c r="I2617" i="1"/>
  <c r="I2632" i="1"/>
  <c r="I2647" i="1"/>
  <c r="I2662" i="1"/>
  <c r="I2677" i="1"/>
  <c r="I2692" i="1"/>
  <c r="I2707" i="1"/>
  <c r="I2722" i="1"/>
  <c r="I2737" i="1"/>
  <c r="I2752" i="1"/>
  <c r="I2767" i="1"/>
  <c r="I2782" i="1"/>
  <c r="I2797" i="1"/>
  <c r="I2812" i="1"/>
  <c r="I2827" i="1"/>
  <c r="I2842" i="1"/>
  <c r="I2857" i="1"/>
  <c r="I2872" i="1"/>
  <c r="I2887" i="1"/>
  <c r="I2902" i="1"/>
  <c r="I2917" i="1"/>
  <c r="I2932" i="1"/>
  <c r="I2947" i="1"/>
  <c r="I2962" i="1"/>
  <c r="I2977" i="1"/>
  <c r="I2992" i="1"/>
  <c r="I3007" i="1"/>
  <c r="I3022" i="1"/>
  <c r="I3037" i="1"/>
  <c r="I3052" i="1"/>
  <c r="I3067" i="1"/>
  <c r="I3082" i="1"/>
  <c r="I3097" i="1"/>
  <c r="I3112" i="1"/>
  <c r="I3127" i="1"/>
  <c r="I3142" i="1"/>
  <c r="I3157" i="1"/>
  <c r="I3172" i="1"/>
  <c r="I3187" i="1"/>
  <c r="I3202" i="1"/>
  <c r="I3217" i="1"/>
  <c r="I3232" i="1"/>
  <c r="I3247" i="1"/>
  <c r="I3262" i="1"/>
  <c r="I3277" i="1"/>
  <c r="I3292" i="1"/>
  <c r="I3307" i="1"/>
  <c r="I3322" i="1"/>
  <c r="I3337" i="1"/>
  <c r="I3352" i="1"/>
  <c r="I3367" i="1"/>
  <c r="I3382" i="1"/>
  <c r="I3397" i="1"/>
  <c r="I3412" i="1"/>
  <c r="I3427" i="1"/>
  <c r="I3442" i="1"/>
  <c r="I3457" i="1"/>
  <c r="I3472" i="1"/>
  <c r="I3487" i="1"/>
  <c r="I3502" i="1"/>
  <c r="I3517" i="1"/>
  <c r="I3532" i="1"/>
  <c r="I3547" i="1"/>
  <c r="I3562" i="1"/>
  <c r="I3577" i="1"/>
  <c r="I3592" i="1"/>
  <c r="I3607" i="1"/>
  <c r="I3622" i="1"/>
  <c r="I3635" i="1"/>
  <c r="I3650" i="1"/>
  <c r="I3665" i="1"/>
  <c r="I3680" i="1"/>
  <c r="I8" i="1"/>
  <c r="I23" i="1"/>
  <c r="I38" i="1"/>
  <c r="I53" i="1"/>
  <c r="I68" i="1"/>
  <c r="I83" i="1"/>
  <c r="I98" i="1"/>
  <c r="I113" i="1"/>
  <c r="I128" i="1"/>
  <c r="I143" i="1"/>
  <c r="I158" i="1"/>
  <c r="I173" i="1"/>
  <c r="I188" i="1"/>
  <c r="I203" i="1"/>
  <c r="I218" i="1"/>
  <c r="I233" i="1"/>
  <c r="I248" i="1"/>
  <c r="I263" i="1"/>
  <c r="I278" i="1"/>
  <c r="I293" i="1"/>
  <c r="I308" i="1"/>
  <c r="I323" i="1"/>
  <c r="I338" i="1"/>
  <c r="I353" i="1"/>
  <c r="I368" i="1"/>
  <c r="I383" i="1"/>
  <c r="I398" i="1"/>
  <c r="I413" i="1"/>
  <c r="I428" i="1"/>
  <c r="I443" i="1"/>
  <c r="I458" i="1"/>
  <c r="I473" i="1"/>
  <c r="I488" i="1"/>
  <c r="I503" i="1"/>
  <c r="I518" i="1"/>
  <c r="I533" i="1"/>
  <c r="I548" i="1"/>
  <c r="I563" i="1"/>
  <c r="I578" i="1"/>
  <c r="I593" i="1"/>
  <c r="I608" i="1"/>
  <c r="I623" i="1"/>
  <c r="I638" i="1"/>
  <c r="I653" i="1"/>
  <c r="I668" i="1"/>
  <c r="I683" i="1"/>
  <c r="I698" i="1"/>
  <c r="I713" i="1"/>
  <c r="I728" i="1"/>
  <c r="I743" i="1"/>
  <c r="I758" i="1"/>
  <c r="I773" i="1"/>
  <c r="I788" i="1"/>
  <c r="I803" i="1"/>
  <c r="I818" i="1"/>
  <c r="I833" i="1"/>
  <c r="I848" i="1"/>
  <c r="I863" i="1"/>
  <c r="I878" i="1"/>
  <c r="I893" i="1"/>
  <c r="I908" i="1"/>
  <c r="I923" i="1"/>
  <c r="I938" i="1"/>
  <c r="I953" i="1"/>
  <c r="I968" i="1"/>
  <c r="I983" i="1"/>
  <c r="I998" i="1"/>
  <c r="I1013" i="1"/>
  <c r="I1028" i="1"/>
  <c r="I1043" i="1"/>
  <c r="I1058" i="1"/>
  <c r="I1073" i="1"/>
  <c r="I1088" i="1"/>
  <c r="I1103" i="1"/>
  <c r="I1118" i="1"/>
  <c r="I1133" i="1"/>
  <c r="I1148" i="1"/>
  <c r="I1163" i="1"/>
  <c r="I1178" i="1"/>
  <c r="I1193" i="1"/>
  <c r="I1208" i="1"/>
  <c r="I1223" i="1"/>
  <c r="I1238" i="1"/>
  <c r="I1253" i="1"/>
  <c r="I1268" i="1"/>
  <c r="I1283" i="1"/>
  <c r="I1298" i="1"/>
  <c r="I1313" i="1"/>
  <c r="I1328" i="1"/>
  <c r="I1343" i="1"/>
  <c r="I1358" i="1"/>
  <c r="I1373" i="1"/>
  <c r="I1388" i="1"/>
  <c r="I1403" i="1"/>
  <c r="I1418" i="1"/>
  <c r="I1433" i="1"/>
  <c r="I1448" i="1"/>
  <c r="I1463" i="1"/>
  <c r="I1478" i="1"/>
  <c r="I1493" i="1"/>
  <c r="I1508" i="1"/>
  <c r="I1523" i="1"/>
  <c r="I1538" i="1"/>
  <c r="I1553" i="1"/>
  <c r="I1568" i="1"/>
  <c r="I1583" i="1"/>
  <c r="I1598" i="1"/>
  <c r="I1613" i="1"/>
  <c r="I1628" i="1"/>
  <c r="I1643" i="1"/>
  <c r="I1658" i="1"/>
  <c r="I1673" i="1"/>
  <c r="I1688" i="1"/>
  <c r="I1703" i="1"/>
  <c r="I1718" i="1"/>
  <c r="I1733" i="1"/>
  <c r="I1748" i="1"/>
  <c r="I1763" i="1"/>
  <c r="I1778" i="1"/>
  <c r="I1793" i="1"/>
  <c r="I1808" i="1"/>
  <c r="I1823" i="1"/>
  <c r="I1838" i="1"/>
  <c r="I1853" i="1"/>
  <c r="I1868" i="1"/>
  <c r="I1883" i="1"/>
  <c r="I1898" i="1"/>
  <c r="I1913" i="1"/>
  <c r="I1928" i="1"/>
  <c r="I1943" i="1"/>
  <c r="I1958" i="1"/>
  <c r="I1973" i="1"/>
  <c r="I1988" i="1"/>
  <c r="I2003" i="1"/>
  <c r="I2018" i="1"/>
  <c r="I2033" i="1"/>
  <c r="I2048" i="1"/>
  <c r="I2063" i="1"/>
  <c r="I2078" i="1"/>
  <c r="I2093" i="1"/>
  <c r="I2108" i="1"/>
  <c r="I2123" i="1"/>
  <c r="I2138" i="1"/>
  <c r="I2153" i="1"/>
  <c r="I2168" i="1"/>
  <c r="I2183" i="1"/>
  <c r="I2198" i="1"/>
  <c r="I2213" i="1"/>
  <c r="I2228" i="1"/>
  <c r="I2243" i="1"/>
  <c r="I2258" i="1"/>
  <c r="I2273" i="1"/>
  <c r="I2288" i="1"/>
  <c r="I2303" i="1"/>
  <c r="I2318" i="1"/>
  <c r="I2333" i="1"/>
  <c r="I2348" i="1"/>
  <c r="I2363" i="1"/>
  <c r="I2378" i="1"/>
  <c r="I2393" i="1"/>
  <c r="I2408" i="1"/>
  <c r="I2423" i="1"/>
  <c r="I2438" i="1"/>
  <c r="I2453" i="1"/>
  <c r="I2468" i="1"/>
  <c r="I2483" i="1"/>
  <c r="I2498" i="1"/>
  <c r="I2513" i="1"/>
  <c r="I2528" i="1"/>
  <c r="I2543" i="1"/>
  <c r="I2558" i="1"/>
  <c r="I2573" i="1"/>
  <c r="I2588" i="1"/>
  <c r="I2603" i="1"/>
  <c r="I2618" i="1"/>
  <c r="I2633" i="1"/>
  <c r="I2648" i="1"/>
  <c r="I2663" i="1"/>
  <c r="I2678" i="1"/>
  <c r="I2693" i="1"/>
  <c r="I2708" i="1"/>
  <c r="I2723" i="1"/>
  <c r="I2738" i="1"/>
  <c r="I2753" i="1"/>
  <c r="I2768" i="1"/>
  <c r="I2783" i="1"/>
  <c r="I2798" i="1"/>
  <c r="I2813" i="1"/>
  <c r="I2828" i="1"/>
  <c r="I2843" i="1"/>
  <c r="I2858" i="1"/>
  <c r="I2873" i="1"/>
  <c r="I2888" i="1"/>
  <c r="I2903" i="1"/>
  <c r="I2918" i="1"/>
  <c r="I2933" i="1"/>
  <c r="I2948" i="1"/>
  <c r="I2963" i="1"/>
  <c r="I2978" i="1"/>
  <c r="I2993" i="1"/>
  <c r="I3008" i="1"/>
  <c r="I3023" i="1"/>
  <c r="I3038" i="1"/>
  <c r="I3053" i="1"/>
  <c r="I3068" i="1"/>
  <c r="I3083" i="1"/>
  <c r="I3098" i="1"/>
  <c r="I3113" i="1"/>
  <c r="I3128" i="1"/>
  <c r="I3143" i="1"/>
  <c r="I3158" i="1"/>
  <c r="I3173" i="1"/>
  <c r="I3188" i="1"/>
  <c r="I3203" i="1"/>
  <c r="I3218" i="1"/>
  <c r="I3233" i="1"/>
  <c r="I3248" i="1"/>
  <c r="I3263" i="1"/>
  <c r="I3278" i="1"/>
  <c r="I3293" i="1"/>
  <c r="I3308" i="1"/>
  <c r="I3323" i="1"/>
  <c r="I3338" i="1"/>
  <c r="I3353" i="1"/>
  <c r="I3368" i="1"/>
  <c r="I3383" i="1"/>
  <c r="I3398" i="1"/>
  <c r="I3413" i="1"/>
  <c r="I3428" i="1"/>
  <c r="I3443" i="1"/>
  <c r="I3458" i="1"/>
  <c r="I3473" i="1"/>
  <c r="I3488" i="1"/>
  <c r="I3503" i="1"/>
  <c r="I3518" i="1"/>
  <c r="I3533" i="1"/>
  <c r="I3548" i="1"/>
  <c r="I3563" i="1"/>
  <c r="I3578" i="1"/>
  <c r="I3593" i="1"/>
  <c r="I3608" i="1"/>
  <c r="I3623" i="1"/>
  <c r="I3636" i="1"/>
  <c r="I3651" i="1"/>
  <c r="I3666" i="1"/>
  <c r="I3681" i="1"/>
  <c r="I9" i="1"/>
  <c r="I24" i="1"/>
  <c r="I39" i="1"/>
  <c r="I54" i="1"/>
  <c r="I69" i="1"/>
  <c r="I84" i="1"/>
  <c r="I99" i="1"/>
  <c r="I114" i="1"/>
  <c r="I129" i="1"/>
  <c r="I144" i="1"/>
  <c r="I159" i="1"/>
  <c r="I174" i="1"/>
  <c r="I189" i="1"/>
  <c r="I204" i="1"/>
  <c r="I219" i="1"/>
  <c r="I234" i="1"/>
  <c r="I249" i="1"/>
  <c r="I264" i="1"/>
  <c r="I279" i="1"/>
  <c r="I294" i="1"/>
  <c r="I309" i="1"/>
  <c r="I324" i="1"/>
  <c r="I339" i="1"/>
  <c r="I354" i="1"/>
  <c r="I369" i="1"/>
  <c r="I384" i="1"/>
  <c r="I399" i="1"/>
  <c r="I414" i="1"/>
  <c r="I429" i="1"/>
  <c r="I444" i="1"/>
  <c r="I459" i="1"/>
  <c r="I474" i="1"/>
  <c r="I489" i="1"/>
  <c r="I504" i="1"/>
  <c r="I519" i="1"/>
  <c r="I534" i="1"/>
  <c r="I549" i="1"/>
  <c r="I564" i="1"/>
  <c r="I579" i="1"/>
  <c r="I594" i="1"/>
  <c r="I609" i="1"/>
  <c r="I624" i="1"/>
  <c r="I639" i="1"/>
  <c r="I654" i="1"/>
  <c r="I669" i="1"/>
  <c r="I684" i="1"/>
  <c r="I699" i="1"/>
  <c r="I714" i="1"/>
  <c r="I729" i="1"/>
  <c r="I744" i="1"/>
  <c r="I759" i="1"/>
  <c r="I774" i="1"/>
  <c r="I789" i="1"/>
  <c r="I804" i="1"/>
  <c r="I819" i="1"/>
  <c r="I834" i="1"/>
  <c r="I849" i="1"/>
  <c r="I864" i="1"/>
  <c r="I879" i="1"/>
  <c r="I894" i="1"/>
  <c r="I909" i="1"/>
  <c r="I924" i="1"/>
  <c r="I939" i="1"/>
  <c r="I954" i="1"/>
  <c r="I969" i="1"/>
  <c r="I984" i="1"/>
  <c r="I999" i="1"/>
  <c r="I1014" i="1"/>
  <c r="I1029" i="1"/>
  <c r="I1044" i="1"/>
  <c r="I1059" i="1"/>
  <c r="I1074" i="1"/>
  <c r="I1089" i="1"/>
  <c r="I1104" i="1"/>
  <c r="I1119" i="1"/>
  <c r="I1134" i="1"/>
  <c r="I1149" i="1"/>
  <c r="I1164" i="1"/>
  <c r="I1179" i="1"/>
  <c r="I1194" i="1"/>
  <c r="I1209" i="1"/>
  <c r="I1224" i="1"/>
  <c r="I1239" i="1"/>
  <c r="I1254" i="1"/>
  <c r="I1269" i="1"/>
  <c r="I1284" i="1"/>
  <c r="I1299" i="1"/>
  <c r="I1314" i="1"/>
  <c r="I1329" i="1"/>
  <c r="I1344" i="1"/>
  <c r="I1359" i="1"/>
  <c r="I1374" i="1"/>
  <c r="I1389" i="1"/>
  <c r="I1404" i="1"/>
  <c r="I1419" i="1"/>
  <c r="I1434" i="1"/>
  <c r="I1449" i="1"/>
  <c r="I1464" i="1"/>
  <c r="I1479" i="1"/>
  <c r="I1494" i="1"/>
  <c r="I1509" i="1"/>
  <c r="I1524" i="1"/>
  <c r="I1539" i="1"/>
  <c r="I1554" i="1"/>
  <c r="I1569" i="1"/>
  <c r="I1584" i="1"/>
  <c r="I1599" i="1"/>
  <c r="I1614" i="1"/>
  <c r="I1629" i="1"/>
  <c r="I1644" i="1"/>
  <c r="I1659" i="1"/>
  <c r="I1674" i="1"/>
  <c r="I1689" i="1"/>
  <c r="I1704" i="1"/>
  <c r="I1719" i="1"/>
  <c r="I1734" i="1"/>
  <c r="I1749" i="1"/>
  <c r="I1764" i="1"/>
  <c r="I1779" i="1"/>
  <c r="I1794" i="1"/>
  <c r="I1809" i="1"/>
  <c r="I1824" i="1"/>
  <c r="I1839" i="1"/>
  <c r="I1854" i="1"/>
  <c r="I1869" i="1"/>
  <c r="I1884" i="1"/>
  <c r="I1899" i="1"/>
  <c r="I1914" i="1"/>
  <c r="I1929" i="1"/>
  <c r="I1944" i="1"/>
  <c r="I1959" i="1"/>
  <c r="I1974" i="1"/>
  <c r="I1989" i="1"/>
  <c r="I2004" i="1"/>
  <c r="I2019" i="1"/>
  <c r="I2034" i="1"/>
  <c r="I2049" i="1"/>
  <c r="I2064" i="1"/>
  <c r="I2079" i="1"/>
  <c r="I2094" i="1"/>
  <c r="I2109" i="1"/>
  <c r="I2124" i="1"/>
  <c r="I2139" i="1"/>
  <c r="I2154" i="1"/>
  <c r="I2169" i="1"/>
  <c r="I2184" i="1"/>
  <c r="I2199" i="1"/>
  <c r="I2214" i="1"/>
  <c r="I2229" i="1"/>
  <c r="I2244" i="1"/>
  <c r="I2259" i="1"/>
  <c r="I2274" i="1"/>
  <c r="I2289" i="1"/>
  <c r="I2304" i="1"/>
  <c r="I2319" i="1"/>
  <c r="I2334" i="1"/>
  <c r="I2349" i="1"/>
  <c r="I2364" i="1"/>
  <c r="I2379" i="1"/>
  <c r="I2394" i="1"/>
  <c r="I2409" i="1"/>
  <c r="I2424" i="1"/>
  <c r="I2439" i="1"/>
  <c r="I2454" i="1"/>
  <c r="I2469" i="1"/>
  <c r="I2484" i="1"/>
  <c r="I2499" i="1"/>
  <c r="I2514" i="1"/>
  <c r="I2529" i="1"/>
  <c r="I2544" i="1"/>
  <c r="I2559" i="1"/>
  <c r="I2574" i="1"/>
  <c r="I2589" i="1"/>
  <c r="I2604" i="1"/>
  <c r="I2619" i="1"/>
  <c r="I2634" i="1"/>
  <c r="I2649" i="1"/>
  <c r="I2664" i="1"/>
  <c r="I2679" i="1"/>
  <c r="I2694" i="1"/>
  <c r="I2709" i="1"/>
  <c r="I2724" i="1"/>
  <c r="I2739" i="1"/>
  <c r="I2754" i="1"/>
  <c r="I2769" i="1"/>
  <c r="I2784" i="1"/>
  <c r="I2799" i="1"/>
  <c r="I2814" i="1"/>
  <c r="I2829" i="1"/>
  <c r="I2844" i="1"/>
  <c r="I2859" i="1"/>
  <c r="I2874" i="1"/>
  <c r="I2889" i="1"/>
  <c r="I2904" i="1"/>
  <c r="I2919" i="1"/>
  <c r="I2934" i="1"/>
  <c r="I2949" i="1"/>
  <c r="I2964" i="1"/>
  <c r="I2979" i="1"/>
  <c r="I2994" i="1"/>
  <c r="I3009" i="1"/>
  <c r="I3024" i="1"/>
  <c r="I3039" i="1"/>
  <c r="I3054" i="1"/>
  <c r="I3069" i="1"/>
  <c r="I3084" i="1"/>
  <c r="I3099" i="1"/>
  <c r="I3114" i="1"/>
  <c r="I3129" i="1"/>
  <c r="I3144" i="1"/>
  <c r="I3159" i="1"/>
  <c r="I3174" i="1"/>
  <c r="I3189" i="1"/>
  <c r="I3204" i="1"/>
  <c r="I3219" i="1"/>
  <c r="I3234" i="1"/>
  <c r="I3249" i="1"/>
  <c r="I3264" i="1"/>
  <c r="I3279" i="1"/>
  <c r="I3294" i="1"/>
  <c r="I3309" i="1"/>
  <c r="I3324" i="1"/>
  <c r="I3339" i="1"/>
  <c r="I3354" i="1"/>
  <c r="I3369" i="1"/>
  <c r="I3384" i="1"/>
  <c r="I3399" i="1"/>
  <c r="I3414" i="1"/>
  <c r="I3429" i="1"/>
  <c r="I3444" i="1"/>
  <c r="I3459" i="1"/>
  <c r="I3474" i="1"/>
  <c r="I3489" i="1"/>
  <c r="I3504" i="1"/>
  <c r="I3519" i="1"/>
  <c r="I3534" i="1"/>
  <c r="I3549" i="1"/>
  <c r="I3564" i="1"/>
  <c r="I3579" i="1"/>
  <c r="I3594" i="1"/>
  <c r="I3609" i="1"/>
  <c r="I3624" i="1"/>
  <c r="I3637" i="1"/>
  <c r="I3652" i="1"/>
  <c r="I3667" i="1"/>
  <c r="I3682" i="1"/>
  <c r="I10" i="1"/>
  <c r="I25" i="1"/>
  <c r="I40" i="1"/>
  <c r="I55" i="1"/>
  <c r="I70" i="1"/>
  <c r="I85" i="1"/>
  <c r="I100" i="1"/>
  <c r="I115" i="1"/>
  <c r="I130" i="1"/>
  <c r="I145" i="1"/>
  <c r="I160" i="1"/>
  <c r="I175" i="1"/>
  <c r="I190" i="1"/>
  <c r="I205" i="1"/>
  <c r="I220" i="1"/>
  <c r="I235" i="1"/>
  <c r="I250" i="1"/>
  <c r="I265" i="1"/>
  <c r="I280" i="1"/>
  <c r="I295" i="1"/>
  <c r="I310" i="1"/>
  <c r="I325" i="1"/>
  <c r="I340" i="1"/>
  <c r="I355" i="1"/>
  <c r="I370" i="1"/>
  <c r="I385" i="1"/>
  <c r="I400" i="1"/>
  <c r="I415" i="1"/>
  <c r="I430" i="1"/>
  <c r="I445" i="1"/>
  <c r="I460" i="1"/>
  <c r="I475" i="1"/>
  <c r="I490" i="1"/>
  <c r="I505" i="1"/>
  <c r="I520" i="1"/>
  <c r="I535" i="1"/>
  <c r="I550" i="1"/>
  <c r="I565" i="1"/>
  <c r="I580" i="1"/>
  <c r="I595" i="1"/>
  <c r="I610" i="1"/>
  <c r="I625" i="1"/>
  <c r="I640" i="1"/>
  <c r="I655" i="1"/>
  <c r="I670" i="1"/>
  <c r="I685" i="1"/>
  <c r="I700" i="1"/>
  <c r="I715" i="1"/>
  <c r="I730" i="1"/>
  <c r="I745" i="1"/>
  <c r="I760" i="1"/>
  <c r="I775" i="1"/>
  <c r="I790" i="1"/>
  <c r="I805" i="1"/>
  <c r="I820" i="1"/>
  <c r="I835" i="1"/>
  <c r="I850" i="1"/>
  <c r="I865" i="1"/>
  <c r="I880" i="1"/>
  <c r="I895" i="1"/>
  <c r="I910" i="1"/>
  <c r="I925" i="1"/>
  <c r="I940" i="1"/>
  <c r="I955" i="1"/>
  <c r="I970" i="1"/>
  <c r="I985" i="1"/>
  <c r="I1000" i="1"/>
  <c r="I1015" i="1"/>
  <c r="I1030" i="1"/>
  <c r="I1045" i="1"/>
  <c r="I1060" i="1"/>
  <c r="I1075" i="1"/>
  <c r="I1090" i="1"/>
  <c r="I1105" i="1"/>
  <c r="I1120" i="1"/>
  <c r="I1135" i="1"/>
  <c r="I1150" i="1"/>
  <c r="I1165" i="1"/>
  <c r="I1180" i="1"/>
  <c r="I1195" i="1"/>
  <c r="I1210" i="1"/>
  <c r="I1225" i="1"/>
  <c r="I1240" i="1"/>
  <c r="I1255" i="1"/>
  <c r="I1270" i="1"/>
  <c r="I1285" i="1"/>
  <c r="I1300" i="1"/>
  <c r="I1315" i="1"/>
  <c r="I1330" i="1"/>
  <c r="I1345" i="1"/>
  <c r="I1360" i="1"/>
  <c r="I1375" i="1"/>
  <c r="I1390" i="1"/>
  <c r="I1405" i="1"/>
  <c r="I1420" i="1"/>
  <c r="I1435" i="1"/>
  <c r="I1450" i="1"/>
  <c r="I1465" i="1"/>
  <c r="I1480" i="1"/>
  <c r="I1495" i="1"/>
  <c r="I1510" i="1"/>
  <c r="I1525" i="1"/>
  <c r="I1540" i="1"/>
  <c r="I1555" i="1"/>
  <c r="I1570" i="1"/>
  <c r="I1585" i="1"/>
  <c r="I1600" i="1"/>
  <c r="I1615" i="1"/>
  <c r="I1630" i="1"/>
  <c r="I1645" i="1"/>
  <c r="I1660" i="1"/>
  <c r="I1675" i="1"/>
  <c r="I1690" i="1"/>
  <c r="I1705" i="1"/>
  <c r="I1720" i="1"/>
  <c r="I1735" i="1"/>
  <c r="I1750" i="1"/>
  <c r="I1765" i="1"/>
  <c r="I1780" i="1"/>
  <c r="I1795" i="1"/>
  <c r="I1810" i="1"/>
  <c r="I1825" i="1"/>
  <c r="I1840" i="1"/>
  <c r="I1855" i="1"/>
  <c r="I1870" i="1"/>
  <c r="I1885" i="1"/>
  <c r="I1900" i="1"/>
  <c r="I1915" i="1"/>
  <c r="I1930" i="1"/>
  <c r="I1945" i="1"/>
  <c r="I1960" i="1"/>
  <c r="I1975" i="1"/>
  <c r="I1990" i="1"/>
  <c r="I2005" i="1"/>
  <c r="I2020" i="1"/>
  <c r="I2035" i="1"/>
  <c r="I2050" i="1"/>
  <c r="I2065" i="1"/>
  <c r="I2080" i="1"/>
  <c r="I2095" i="1"/>
  <c r="I2110" i="1"/>
  <c r="I2125" i="1"/>
  <c r="I2140" i="1"/>
  <c r="I2155" i="1"/>
  <c r="I2170" i="1"/>
  <c r="I2185" i="1"/>
  <c r="I2200" i="1"/>
  <c r="I2215" i="1"/>
  <c r="I2230" i="1"/>
  <c r="I2245" i="1"/>
  <c r="I2260" i="1"/>
  <c r="I2275" i="1"/>
  <c r="I2290" i="1"/>
  <c r="I2305" i="1"/>
  <c r="I2320" i="1"/>
  <c r="I2335" i="1"/>
  <c r="I2350" i="1"/>
  <c r="I2365" i="1"/>
  <c r="I2380" i="1"/>
  <c r="I2395" i="1"/>
  <c r="I2410" i="1"/>
  <c r="I2425" i="1"/>
  <c r="I2440" i="1"/>
  <c r="I2455" i="1"/>
  <c r="I2470" i="1"/>
  <c r="I2485" i="1"/>
  <c r="I2500" i="1"/>
  <c r="I2515" i="1"/>
  <c r="I2530" i="1"/>
  <c r="I2545" i="1"/>
  <c r="I2560" i="1"/>
  <c r="I2575" i="1"/>
  <c r="I2590" i="1"/>
  <c r="I2605" i="1"/>
  <c r="I2620" i="1"/>
  <c r="I2635" i="1"/>
  <c r="I2650" i="1"/>
  <c r="I2665" i="1"/>
  <c r="I2680" i="1"/>
  <c r="I2695" i="1"/>
  <c r="I2710" i="1"/>
  <c r="I2725" i="1"/>
  <c r="I2740" i="1"/>
  <c r="I2755" i="1"/>
  <c r="I2770" i="1"/>
  <c r="I2785" i="1"/>
  <c r="I2800" i="1"/>
  <c r="I2815" i="1"/>
  <c r="I2830" i="1"/>
  <c r="I2845" i="1"/>
  <c r="I2860" i="1"/>
  <c r="I2875" i="1"/>
  <c r="I2890" i="1"/>
  <c r="I2905" i="1"/>
  <c r="I2920" i="1"/>
  <c r="I2935" i="1"/>
  <c r="I2950" i="1"/>
  <c r="I2965" i="1"/>
  <c r="I2980" i="1"/>
  <c r="I2995" i="1"/>
  <c r="I3010" i="1"/>
  <c r="I3025" i="1"/>
  <c r="I3040" i="1"/>
  <c r="I3055" i="1"/>
  <c r="I3070" i="1"/>
  <c r="I3085" i="1"/>
  <c r="I3100" i="1"/>
  <c r="I3115" i="1"/>
  <c r="I3130" i="1"/>
  <c r="I3145" i="1"/>
  <c r="I3160" i="1"/>
  <c r="I3175" i="1"/>
  <c r="I3190" i="1"/>
  <c r="I3205" i="1"/>
  <c r="I3220" i="1"/>
  <c r="I3235" i="1"/>
  <c r="I3250" i="1"/>
  <c r="I3265" i="1"/>
  <c r="I3280" i="1"/>
  <c r="I3295" i="1"/>
  <c r="I3310" i="1"/>
  <c r="I3325" i="1"/>
  <c r="I3340" i="1"/>
  <c r="I3355" i="1"/>
  <c r="I3370" i="1"/>
  <c r="I3385" i="1"/>
  <c r="I3400" i="1"/>
  <c r="I3415" i="1"/>
  <c r="I3430" i="1"/>
  <c r="I3445" i="1"/>
  <c r="I3460" i="1"/>
  <c r="I3475" i="1"/>
  <c r="I3490" i="1"/>
  <c r="I3505" i="1"/>
  <c r="I3520" i="1"/>
  <c r="I3535" i="1"/>
  <c r="I3550" i="1"/>
  <c r="I3565" i="1"/>
  <c r="I3580" i="1"/>
  <c r="I3595" i="1"/>
  <c r="I3610" i="1"/>
  <c r="I3625" i="1"/>
  <c r="I3638" i="1"/>
  <c r="I3653" i="1"/>
  <c r="I3668" i="1"/>
  <c r="I3683" i="1"/>
  <c r="I11" i="1"/>
  <c r="I26" i="1"/>
  <c r="I41" i="1"/>
  <c r="I56" i="1"/>
  <c r="I71" i="1"/>
  <c r="I86" i="1"/>
  <c r="I101" i="1"/>
  <c r="I116" i="1"/>
  <c r="I131" i="1"/>
  <c r="I146" i="1"/>
  <c r="I161" i="1"/>
  <c r="I176" i="1"/>
  <c r="I191" i="1"/>
  <c r="I206" i="1"/>
  <c r="I221" i="1"/>
  <c r="I236" i="1"/>
  <c r="I251" i="1"/>
  <c r="I266" i="1"/>
  <c r="I281" i="1"/>
  <c r="I296" i="1"/>
  <c r="I311" i="1"/>
  <c r="I326" i="1"/>
  <c r="I341" i="1"/>
  <c r="I356" i="1"/>
  <c r="I371" i="1"/>
  <c r="I386" i="1"/>
  <c r="I401" i="1"/>
  <c r="I416" i="1"/>
  <c r="I431" i="1"/>
  <c r="I446" i="1"/>
  <c r="I461" i="1"/>
  <c r="I476" i="1"/>
  <c r="I491" i="1"/>
  <c r="I506" i="1"/>
  <c r="I521" i="1"/>
  <c r="I536" i="1"/>
  <c r="I551" i="1"/>
  <c r="I566" i="1"/>
  <c r="I581" i="1"/>
  <c r="I596" i="1"/>
  <c r="I611" i="1"/>
  <c r="I626" i="1"/>
  <c r="I641" i="1"/>
  <c r="I656" i="1"/>
  <c r="I671" i="1"/>
  <c r="I686" i="1"/>
  <c r="I701" i="1"/>
  <c r="I716" i="1"/>
  <c r="I731" i="1"/>
  <c r="I746" i="1"/>
  <c r="I761" i="1"/>
  <c r="I776" i="1"/>
  <c r="I791" i="1"/>
  <c r="I806" i="1"/>
  <c r="I821" i="1"/>
  <c r="I836" i="1"/>
  <c r="I851" i="1"/>
  <c r="I866" i="1"/>
  <c r="I881" i="1"/>
  <c r="I896" i="1"/>
  <c r="I911" i="1"/>
  <c r="I926" i="1"/>
  <c r="I941" i="1"/>
  <c r="I956" i="1"/>
  <c r="I971" i="1"/>
  <c r="I986" i="1"/>
  <c r="I1001" i="1"/>
  <c r="I1016" i="1"/>
  <c r="I1031" i="1"/>
  <c r="I1046" i="1"/>
  <c r="I1061" i="1"/>
  <c r="I1076" i="1"/>
  <c r="I1091" i="1"/>
  <c r="I1106" i="1"/>
  <c r="I1121" i="1"/>
  <c r="I1136" i="1"/>
  <c r="I1151" i="1"/>
  <c r="I1166" i="1"/>
  <c r="I1181" i="1"/>
  <c r="I1196" i="1"/>
  <c r="I1211" i="1"/>
  <c r="I1226" i="1"/>
  <c r="I1241" i="1"/>
  <c r="I1256" i="1"/>
  <c r="I1271" i="1"/>
  <c r="I1286" i="1"/>
  <c r="I1301" i="1"/>
  <c r="I1316" i="1"/>
  <c r="I1331" i="1"/>
  <c r="I1346" i="1"/>
  <c r="I1361" i="1"/>
  <c r="I1376" i="1"/>
  <c r="I1391" i="1"/>
  <c r="I1406" i="1"/>
  <c r="I1421" i="1"/>
  <c r="I1436" i="1"/>
  <c r="I1451" i="1"/>
  <c r="I1466" i="1"/>
  <c r="I1481" i="1"/>
  <c r="I1496" i="1"/>
  <c r="I1511" i="1"/>
  <c r="I1526" i="1"/>
  <c r="I1541" i="1"/>
  <c r="I1556" i="1"/>
  <c r="I1571" i="1"/>
  <c r="I1586" i="1"/>
  <c r="I1601" i="1"/>
  <c r="I1616" i="1"/>
  <c r="I1631" i="1"/>
  <c r="I1646" i="1"/>
  <c r="I1661" i="1"/>
  <c r="I1676" i="1"/>
  <c r="I1691" i="1"/>
  <c r="I1706" i="1"/>
  <c r="I1721" i="1"/>
  <c r="I1736" i="1"/>
  <c r="I1751" i="1"/>
  <c r="I1766" i="1"/>
  <c r="I1781" i="1"/>
  <c r="I1796" i="1"/>
  <c r="I1811" i="1"/>
  <c r="I1826" i="1"/>
  <c r="I1841" i="1"/>
  <c r="I1856" i="1"/>
  <c r="I1871" i="1"/>
  <c r="I1886" i="1"/>
  <c r="I1901" i="1"/>
  <c r="I1916" i="1"/>
  <c r="I1931" i="1"/>
  <c r="I1946" i="1"/>
  <c r="I1961" i="1"/>
  <c r="I1976" i="1"/>
  <c r="I1991" i="1"/>
  <c r="I2006" i="1"/>
  <c r="I2021" i="1"/>
  <c r="I2036" i="1"/>
  <c r="I2051" i="1"/>
  <c r="I2066" i="1"/>
  <c r="I2081" i="1"/>
  <c r="I2096" i="1"/>
  <c r="I2111" i="1"/>
  <c r="I2126" i="1"/>
  <c r="I2141" i="1"/>
  <c r="I2156" i="1"/>
  <c r="I2171" i="1"/>
  <c r="I2186" i="1"/>
  <c r="I2201" i="1"/>
  <c r="I2216" i="1"/>
  <c r="I2231" i="1"/>
  <c r="I2246" i="1"/>
  <c r="I2261" i="1"/>
  <c r="I2276" i="1"/>
  <c r="I2291" i="1"/>
  <c r="I2306" i="1"/>
  <c r="I2321" i="1"/>
  <c r="I2336" i="1"/>
  <c r="I2351" i="1"/>
  <c r="I2366" i="1"/>
  <c r="I2381" i="1"/>
  <c r="I2396" i="1"/>
  <c r="I2411" i="1"/>
  <c r="I2426" i="1"/>
  <c r="I2441" i="1"/>
  <c r="I2456" i="1"/>
  <c r="I2471" i="1"/>
  <c r="I2486" i="1"/>
  <c r="I2501" i="1"/>
  <c r="I2516" i="1"/>
  <c r="I2531" i="1"/>
  <c r="I2546" i="1"/>
  <c r="I2561" i="1"/>
  <c r="I2576" i="1"/>
  <c r="I2591" i="1"/>
  <c r="I2606" i="1"/>
  <c r="I2621" i="1"/>
  <c r="I2636" i="1"/>
  <c r="I2651" i="1"/>
  <c r="I2666" i="1"/>
  <c r="I2681" i="1"/>
  <c r="I2696" i="1"/>
  <c r="I2711" i="1"/>
  <c r="I2726" i="1"/>
  <c r="I2741" i="1"/>
  <c r="I2756" i="1"/>
  <c r="I2771" i="1"/>
  <c r="I2786" i="1"/>
  <c r="I2801" i="1"/>
  <c r="I2816" i="1"/>
  <c r="I2831" i="1"/>
  <c r="I2846" i="1"/>
  <c r="I2861" i="1"/>
  <c r="I2876" i="1"/>
  <c r="I2891" i="1"/>
  <c r="I2906" i="1"/>
  <c r="I2921" i="1"/>
  <c r="I2936" i="1"/>
  <c r="I2951" i="1"/>
  <c r="I2966" i="1"/>
  <c r="I2981" i="1"/>
  <c r="I2996" i="1"/>
  <c r="I3011" i="1"/>
  <c r="I3026" i="1"/>
  <c r="I3041" i="1"/>
  <c r="I3056" i="1"/>
  <c r="I3071" i="1"/>
  <c r="I3086" i="1"/>
  <c r="I3101" i="1"/>
  <c r="I3116" i="1"/>
  <c r="I3131" i="1"/>
  <c r="I3146" i="1"/>
  <c r="I3161" i="1"/>
  <c r="I3176" i="1"/>
  <c r="I3191" i="1"/>
  <c r="I3206" i="1"/>
  <c r="I3221" i="1"/>
  <c r="I3236" i="1"/>
  <c r="I3251" i="1"/>
  <c r="I3266" i="1"/>
  <c r="I3281" i="1"/>
  <c r="I3296" i="1"/>
  <c r="I3311" i="1"/>
  <c r="I3326" i="1"/>
  <c r="I3341" i="1"/>
  <c r="I3356" i="1"/>
  <c r="I3371" i="1"/>
  <c r="I3386" i="1"/>
  <c r="I3401" i="1"/>
  <c r="I3416" i="1"/>
  <c r="I3431" i="1"/>
  <c r="I3446" i="1"/>
  <c r="I3461" i="1"/>
  <c r="I3476" i="1"/>
  <c r="I3491" i="1"/>
  <c r="I3506" i="1"/>
  <c r="I3521" i="1"/>
  <c r="I3536" i="1"/>
  <c r="I3551" i="1"/>
  <c r="I3566" i="1"/>
  <c r="I3581" i="1"/>
  <c r="I3596" i="1"/>
  <c r="I3611" i="1"/>
  <c r="I3626" i="1"/>
  <c r="I3639" i="1"/>
  <c r="I3654" i="1"/>
  <c r="I3669" i="1"/>
  <c r="I3684" i="1"/>
  <c r="I12" i="1"/>
  <c r="I27" i="1"/>
  <c r="I42" i="1"/>
  <c r="I57" i="1"/>
  <c r="I72" i="1"/>
  <c r="I87" i="1"/>
  <c r="I102" i="1"/>
  <c r="I117" i="1"/>
  <c r="I132" i="1"/>
  <c r="I147" i="1"/>
  <c r="I162" i="1"/>
  <c r="I177" i="1"/>
  <c r="I192" i="1"/>
  <c r="I207" i="1"/>
  <c r="I222" i="1"/>
  <c r="I237" i="1"/>
  <c r="I252" i="1"/>
  <c r="I267" i="1"/>
  <c r="I282" i="1"/>
  <c r="I297" i="1"/>
  <c r="I312" i="1"/>
  <c r="I327" i="1"/>
  <c r="I342" i="1"/>
  <c r="I357" i="1"/>
  <c r="I372" i="1"/>
  <c r="I387" i="1"/>
  <c r="I402" i="1"/>
  <c r="I417" i="1"/>
  <c r="I432" i="1"/>
  <c r="I447" i="1"/>
  <c r="I462" i="1"/>
  <c r="I477" i="1"/>
  <c r="I492" i="1"/>
  <c r="I507" i="1"/>
  <c r="I522" i="1"/>
  <c r="I537" i="1"/>
  <c r="I552" i="1"/>
  <c r="I567" i="1"/>
  <c r="I582" i="1"/>
  <c r="I597" i="1"/>
  <c r="I612" i="1"/>
  <c r="I627" i="1"/>
  <c r="I642" i="1"/>
  <c r="I657" i="1"/>
  <c r="I672" i="1"/>
  <c r="I687" i="1"/>
  <c r="I702" i="1"/>
  <c r="I717" i="1"/>
  <c r="I732" i="1"/>
  <c r="I747" i="1"/>
  <c r="I762" i="1"/>
  <c r="I777" i="1"/>
  <c r="I792" i="1"/>
  <c r="I807" i="1"/>
  <c r="I822" i="1"/>
  <c r="I837" i="1"/>
  <c r="I852" i="1"/>
  <c r="I867" i="1"/>
  <c r="I882" i="1"/>
  <c r="I897" i="1"/>
  <c r="I912" i="1"/>
  <c r="I927" i="1"/>
  <c r="I942" i="1"/>
  <c r="I957" i="1"/>
  <c r="I972" i="1"/>
  <c r="I987" i="1"/>
  <c r="I1002" i="1"/>
  <c r="I1017" i="1"/>
  <c r="I1032" i="1"/>
  <c r="I1047" i="1"/>
  <c r="I1062" i="1"/>
  <c r="I1077" i="1"/>
  <c r="I1092" i="1"/>
  <c r="I1107" i="1"/>
  <c r="I1122" i="1"/>
  <c r="I1137" i="1"/>
  <c r="I1152" i="1"/>
  <c r="I1167" i="1"/>
  <c r="I1182" i="1"/>
  <c r="I1197" i="1"/>
  <c r="I1212" i="1"/>
  <c r="I1227" i="1"/>
  <c r="I1242" i="1"/>
  <c r="I1257" i="1"/>
  <c r="I1272" i="1"/>
  <c r="I1287" i="1"/>
  <c r="I1302" i="1"/>
  <c r="I1317" i="1"/>
  <c r="I1332" i="1"/>
  <c r="I1347" i="1"/>
  <c r="I1362" i="1"/>
  <c r="I1377" i="1"/>
  <c r="I1392" i="1"/>
  <c r="I1407" i="1"/>
  <c r="I1422" i="1"/>
  <c r="I1437" i="1"/>
  <c r="I1452" i="1"/>
  <c r="I1467" i="1"/>
  <c r="I1482" i="1"/>
  <c r="I1497" i="1"/>
  <c r="I1512" i="1"/>
  <c r="I1527" i="1"/>
  <c r="I1542" i="1"/>
  <c r="I1557" i="1"/>
  <c r="I1572" i="1"/>
  <c r="I1587" i="1"/>
  <c r="I1602" i="1"/>
  <c r="I1617" i="1"/>
  <c r="I1632" i="1"/>
  <c r="I1647" i="1"/>
  <c r="I1662" i="1"/>
  <c r="I1677" i="1"/>
  <c r="I1692" i="1"/>
  <c r="I1707" i="1"/>
  <c r="I1722" i="1"/>
  <c r="I1737" i="1"/>
  <c r="I1752" i="1"/>
  <c r="I1767" i="1"/>
  <c r="I1782" i="1"/>
  <c r="I1797" i="1"/>
  <c r="I1812" i="1"/>
  <c r="I1827" i="1"/>
  <c r="I1842" i="1"/>
  <c r="I1857" i="1"/>
  <c r="I1872" i="1"/>
  <c r="I1887" i="1"/>
  <c r="I1902" i="1"/>
  <c r="I1917" i="1"/>
  <c r="I1932" i="1"/>
  <c r="I1947" i="1"/>
  <c r="I1962" i="1"/>
  <c r="I1977" i="1"/>
  <c r="I1992" i="1"/>
  <c r="I2007" i="1"/>
  <c r="I2022" i="1"/>
  <c r="I2037" i="1"/>
  <c r="I2052" i="1"/>
  <c r="I2067" i="1"/>
  <c r="I2082" i="1"/>
  <c r="I2097" i="1"/>
  <c r="I2112" i="1"/>
  <c r="I2127" i="1"/>
  <c r="I2142" i="1"/>
  <c r="I2157" i="1"/>
  <c r="I2172" i="1"/>
  <c r="I2187" i="1"/>
  <c r="I2202" i="1"/>
  <c r="I2217" i="1"/>
  <c r="I2232" i="1"/>
  <c r="I2247" i="1"/>
  <c r="I2262" i="1"/>
  <c r="I2277" i="1"/>
  <c r="I2292" i="1"/>
  <c r="I2307" i="1"/>
  <c r="I2322" i="1"/>
  <c r="I2337" i="1"/>
  <c r="I2352" i="1"/>
  <c r="I2367" i="1"/>
  <c r="I2382" i="1"/>
  <c r="I2397" i="1"/>
  <c r="I2412" i="1"/>
  <c r="I2427" i="1"/>
  <c r="I2442" i="1"/>
  <c r="I2457" i="1"/>
  <c r="I2472" i="1"/>
  <c r="I2487" i="1"/>
  <c r="I2502" i="1"/>
  <c r="I2517" i="1"/>
  <c r="I2532" i="1"/>
  <c r="I2547" i="1"/>
  <c r="I2562" i="1"/>
  <c r="I2577" i="1"/>
  <c r="I2592" i="1"/>
  <c r="I2607" i="1"/>
  <c r="I2622" i="1"/>
  <c r="I2637" i="1"/>
  <c r="I2652" i="1"/>
  <c r="I2667" i="1"/>
  <c r="I2682" i="1"/>
  <c r="I2697" i="1"/>
  <c r="I2712" i="1"/>
  <c r="I2727" i="1"/>
  <c r="I2742" i="1"/>
  <c r="I2757" i="1"/>
  <c r="I2772" i="1"/>
  <c r="I2787" i="1"/>
  <c r="I2802" i="1"/>
  <c r="I2817" i="1"/>
  <c r="I2832" i="1"/>
  <c r="I2847" i="1"/>
  <c r="I2862" i="1"/>
  <c r="I2877" i="1"/>
  <c r="I2892" i="1"/>
  <c r="I2907" i="1"/>
  <c r="I2922" i="1"/>
  <c r="I2937" i="1"/>
  <c r="I2952" i="1"/>
  <c r="I2967" i="1"/>
  <c r="I2982" i="1"/>
  <c r="I2997" i="1"/>
  <c r="I3012" i="1"/>
  <c r="I3027" i="1"/>
  <c r="I3042" i="1"/>
  <c r="I3057" i="1"/>
  <c r="I3072" i="1"/>
  <c r="I3087" i="1"/>
  <c r="I3102" i="1"/>
  <c r="I3117" i="1"/>
  <c r="I3132" i="1"/>
  <c r="I3147" i="1"/>
  <c r="I3162" i="1"/>
  <c r="I3177" i="1"/>
  <c r="I3192" i="1"/>
  <c r="I3207" i="1"/>
  <c r="I3222" i="1"/>
  <c r="I3237" i="1"/>
  <c r="I3252" i="1"/>
  <c r="I3267" i="1"/>
  <c r="I3282" i="1"/>
  <c r="I3297" i="1"/>
  <c r="I3312" i="1"/>
  <c r="I3327" i="1"/>
  <c r="I3342" i="1"/>
  <c r="I3357" i="1"/>
  <c r="I3372" i="1"/>
  <c r="I3387" i="1"/>
  <c r="I3402" i="1"/>
  <c r="I3417" i="1"/>
  <c r="I3432" i="1"/>
  <c r="I3447" i="1"/>
  <c r="I3462" i="1"/>
  <c r="I3477" i="1"/>
  <c r="I3492" i="1"/>
  <c r="I3507" i="1"/>
  <c r="I3522" i="1"/>
  <c r="I3537" i="1"/>
  <c r="I3552" i="1"/>
  <c r="I3567" i="1"/>
  <c r="I3582" i="1"/>
  <c r="I3597" i="1"/>
  <c r="I3612" i="1"/>
  <c r="I3627" i="1"/>
  <c r="I3640" i="1"/>
  <c r="I3655" i="1"/>
  <c r="I3670" i="1"/>
  <c r="I3685" i="1"/>
  <c r="I13" i="1"/>
  <c r="I28" i="1"/>
  <c r="I43" i="1"/>
  <c r="I58" i="1"/>
  <c r="I73" i="1"/>
  <c r="I88" i="1"/>
  <c r="I103" i="1"/>
  <c r="I118" i="1"/>
  <c r="I133" i="1"/>
  <c r="I148" i="1"/>
  <c r="I163" i="1"/>
  <c r="I178" i="1"/>
  <c r="I193" i="1"/>
  <c r="I208" i="1"/>
  <c r="I223" i="1"/>
  <c r="I238" i="1"/>
  <c r="I253" i="1"/>
  <c r="I268" i="1"/>
  <c r="I283" i="1"/>
  <c r="I298" i="1"/>
  <c r="I313" i="1"/>
  <c r="I328" i="1"/>
  <c r="I343" i="1"/>
  <c r="I358" i="1"/>
  <c r="I373" i="1"/>
  <c r="I388" i="1"/>
  <c r="I403" i="1"/>
  <c r="I418" i="1"/>
  <c r="I433" i="1"/>
  <c r="I448" i="1"/>
  <c r="I463" i="1"/>
  <c r="I478" i="1"/>
  <c r="I493" i="1"/>
  <c r="I508" i="1"/>
  <c r="I523" i="1"/>
  <c r="I538" i="1"/>
  <c r="I553" i="1"/>
  <c r="I568" i="1"/>
  <c r="I583" i="1"/>
  <c r="I598" i="1"/>
  <c r="I613" i="1"/>
  <c r="I628" i="1"/>
  <c r="I643" i="1"/>
  <c r="I658" i="1"/>
  <c r="I673" i="1"/>
  <c r="I688" i="1"/>
  <c r="I703" i="1"/>
  <c r="I718" i="1"/>
  <c r="I733" i="1"/>
  <c r="I748" i="1"/>
  <c r="I763" i="1"/>
  <c r="I778" i="1"/>
  <c r="I793" i="1"/>
  <c r="I808" i="1"/>
  <c r="I823" i="1"/>
  <c r="I838" i="1"/>
  <c r="I853" i="1"/>
  <c r="I868" i="1"/>
  <c r="I883" i="1"/>
  <c r="I898" i="1"/>
  <c r="I913" i="1"/>
  <c r="I928" i="1"/>
  <c r="I943" i="1"/>
  <c r="I958" i="1"/>
  <c r="I973" i="1"/>
  <c r="I988" i="1"/>
  <c r="I1003" i="1"/>
  <c r="I1018" i="1"/>
  <c r="I1033" i="1"/>
  <c r="I1048" i="1"/>
  <c r="I1063" i="1"/>
  <c r="I1078" i="1"/>
  <c r="I1093" i="1"/>
  <c r="I1108" i="1"/>
  <c r="I1123" i="1"/>
  <c r="I1138" i="1"/>
  <c r="I1153" i="1"/>
  <c r="I1168" i="1"/>
  <c r="I1183" i="1"/>
  <c r="I1198" i="1"/>
  <c r="I1213" i="1"/>
  <c r="I1228" i="1"/>
  <c r="I1243" i="1"/>
  <c r="I1258" i="1"/>
  <c r="I1273" i="1"/>
  <c r="I1288" i="1"/>
  <c r="I1303" i="1"/>
  <c r="I1318" i="1"/>
  <c r="I1333" i="1"/>
  <c r="I1348" i="1"/>
  <c r="I1363" i="1"/>
  <c r="I1378" i="1"/>
  <c r="I1393" i="1"/>
  <c r="I1408" i="1"/>
  <c r="I1423" i="1"/>
  <c r="I1438" i="1"/>
  <c r="I1453" i="1"/>
  <c r="I1468" i="1"/>
  <c r="I1483" i="1"/>
  <c r="I1498" i="1"/>
  <c r="I1513" i="1"/>
  <c r="I1528" i="1"/>
  <c r="I1543" i="1"/>
  <c r="I1558" i="1"/>
  <c r="I1573" i="1"/>
  <c r="I1588" i="1"/>
  <c r="I1603" i="1"/>
  <c r="I1618" i="1"/>
  <c r="I1633" i="1"/>
  <c r="I1648" i="1"/>
  <c r="I1663" i="1"/>
  <c r="I1678" i="1"/>
  <c r="I1693" i="1"/>
  <c r="I1708" i="1"/>
  <c r="I1723" i="1"/>
  <c r="I1738" i="1"/>
  <c r="I1753" i="1"/>
  <c r="I1768" i="1"/>
  <c r="I1783" i="1"/>
  <c r="I1798" i="1"/>
  <c r="I1813" i="1"/>
  <c r="I1828" i="1"/>
  <c r="I1843" i="1"/>
  <c r="I1858" i="1"/>
  <c r="I1873" i="1"/>
  <c r="I1888" i="1"/>
  <c r="I1903" i="1"/>
  <c r="I1918" i="1"/>
  <c r="I1933" i="1"/>
  <c r="I1948" i="1"/>
  <c r="I1963" i="1"/>
  <c r="I1978" i="1"/>
  <c r="I1993" i="1"/>
  <c r="I2008" i="1"/>
  <c r="I2023" i="1"/>
  <c r="I2038" i="1"/>
  <c r="I2053" i="1"/>
  <c r="I2068" i="1"/>
  <c r="I2083" i="1"/>
  <c r="I2098" i="1"/>
  <c r="I2113" i="1"/>
  <c r="I2128" i="1"/>
  <c r="I2143" i="1"/>
  <c r="I2158" i="1"/>
  <c r="I2173" i="1"/>
  <c r="I2188" i="1"/>
  <c r="I2203" i="1"/>
  <c r="I2218" i="1"/>
  <c r="I2233" i="1"/>
  <c r="I2248" i="1"/>
  <c r="I2263" i="1"/>
  <c r="I2278" i="1"/>
  <c r="I2293" i="1"/>
  <c r="I2308" i="1"/>
  <c r="I2323" i="1"/>
  <c r="I2338" i="1"/>
  <c r="I2353" i="1"/>
  <c r="I2368" i="1"/>
  <c r="I2383" i="1"/>
  <c r="I2398" i="1"/>
  <c r="I2413" i="1"/>
  <c r="I2428" i="1"/>
  <c r="I2443" i="1"/>
  <c r="I2458" i="1"/>
  <c r="I2473" i="1"/>
  <c r="I2488" i="1"/>
  <c r="I2503" i="1"/>
  <c r="I2518" i="1"/>
  <c r="I2533" i="1"/>
  <c r="I2548" i="1"/>
  <c r="I2563" i="1"/>
  <c r="I2578" i="1"/>
  <c r="I2593" i="1"/>
  <c r="I2608" i="1"/>
  <c r="I2623" i="1"/>
  <c r="I2638" i="1"/>
  <c r="I2653" i="1"/>
  <c r="I2668" i="1"/>
  <c r="I2683" i="1"/>
  <c r="I2698" i="1"/>
  <c r="I2713" i="1"/>
  <c r="I2728" i="1"/>
  <c r="I2743" i="1"/>
  <c r="I2758" i="1"/>
  <c r="I2773" i="1"/>
  <c r="I2788" i="1"/>
  <c r="I2803" i="1"/>
  <c r="I2818" i="1"/>
  <c r="I2833" i="1"/>
  <c r="I2848" i="1"/>
  <c r="I2863" i="1"/>
  <c r="I2878" i="1"/>
  <c r="I2893" i="1"/>
  <c r="I2908" i="1"/>
  <c r="I2923" i="1"/>
  <c r="I2938" i="1"/>
  <c r="I2953" i="1"/>
  <c r="I2968" i="1"/>
  <c r="I2983" i="1"/>
  <c r="I2998" i="1"/>
  <c r="I3013" i="1"/>
  <c r="I3028" i="1"/>
  <c r="I3043" i="1"/>
  <c r="I3058" i="1"/>
  <c r="I3073" i="1"/>
  <c r="I3088" i="1"/>
  <c r="I3103" i="1"/>
  <c r="I3118" i="1"/>
  <c r="I3133" i="1"/>
  <c r="I3148" i="1"/>
  <c r="I3163" i="1"/>
  <c r="I3178" i="1"/>
  <c r="I3193" i="1"/>
  <c r="I3208" i="1"/>
  <c r="I3223" i="1"/>
  <c r="I3238" i="1"/>
  <c r="I3253" i="1"/>
  <c r="I3268" i="1"/>
  <c r="I3283" i="1"/>
  <c r="I3298" i="1"/>
  <c r="I3313" i="1"/>
  <c r="I3328" i="1"/>
  <c r="I3343" i="1"/>
  <c r="I3358" i="1"/>
  <c r="I3373" i="1"/>
  <c r="I3388" i="1"/>
  <c r="I3403" i="1"/>
  <c r="I3418" i="1"/>
  <c r="I3433" i="1"/>
  <c r="I3448" i="1"/>
  <c r="I3463" i="1"/>
  <c r="I3478" i="1"/>
  <c r="I3493" i="1"/>
  <c r="I3508" i="1"/>
  <c r="I3523" i="1"/>
  <c r="I3538" i="1"/>
  <c r="I3553" i="1"/>
  <c r="I3568" i="1"/>
  <c r="I3583" i="1"/>
  <c r="I3598" i="1"/>
  <c r="I3613" i="1"/>
  <c r="I3628" i="1"/>
  <c r="I3641" i="1"/>
  <c r="I3656" i="1"/>
  <c r="I3671" i="1"/>
  <c r="I3686" i="1"/>
  <c r="I14" i="1"/>
  <c r="I29" i="1"/>
  <c r="I44" i="1"/>
  <c r="I59" i="1"/>
  <c r="I74" i="1"/>
  <c r="I89" i="1"/>
  <c r="I104" i="1"/>
  <c r="I119" i="1"/>
  <c r="I134" i="1"/>
  <c r="I149" i="1"/>
  <c r="I164" i="1"/>
  <c r="I179" i="1"/>
  <c r="I194" i="1"/>
  <c r="I209" i="1"/>
  <c r="I224" i="1"/>
  <c r="I239" i="1"/>
  <c r="I254" i="1"/>
  <c r="I269" i="1"/>
  <c r="I284" i="1"/>
  <c r="I299" i="1"/>
  <c r="I314" i="1"/>
  <c r="I329" i="1"/>
  <c r="I344" i="1"/>
  <c r="I359" i="1"/>
  <c r="I374" i="1"/>
  <c r="I389" i="1"/>
  <c r="I404" i="1"/>
  <c r="I419" i="1"/>
  <c r="I434" i="1"/>
  <c r="I449" i="1"/>
  <c r="I464" i="1"/>
  <c r="I479" i="1"/>
  <c r="I494" i="1"/>
  <c r="I509" i="1"/>
  <c r="I524" i="1"/>
  <c r="I539" i="1"/>
  <c r="I554" i="1"/>
  <c r="I569" i="1"/>
  <c r="I584" i="1"/>
  <c r="I599" i="1"/>
  <c r="I614" i="1"/>
  <c r="I629" i="1"/>
  <c r="I644" i="1"/>
  <c r="I659" i="1"/>
  <c r="I674" i="1"/>
  <c r="I689" i="1"/>
  <c r="I704" i="1"/>
  <c r="I719" i="1"/>
  <c r="I734" i="1"/>
  <c r="I749" i="1"/>
  <c r="I764" i="1"/>
  <c r="I779" i="1"/>
  <c r="I794" i="1"/>
  <c r="I809" i="1"/>
  <c r="I824" i="1"/>
  <c r="I839" i="1"/>
  <c r="I854" i="1"/>
  <c r="I869" i="1"/>
  <c r="I884" i="1"/>
  <c r="I899" i="1"/>
  <c r="I914" i="1"/>
  <c r="I929" i="1"/>
  <c r="I944" i="1"/>
  <c r="I959" i="1"/>
  <c r="I974" i="1"/>
  <c r="I989" i="1"/>
  <c r="I1004" i="1"/>
  <c r="I1019" i="1"/>
  <c r="I1034" i="1"/>
  <c r="I1049" i="1"/>
  <c r="I1064" i="1"/>
  <c r="I1079" i="1"/>
  <c r="I1094" i="1"/>
  <c r="I1109" i="1"/>
  <c r="I1124" i="1"/>
  <c r="I1139" i="1"/>
  <c r="I1154" i="1"/>
  <c r="I1169" i="1"/>
  <c r="I1184" i="1"/>
  <c r="I1199" i="1"/>
  <c r="I1214" i="1"/>
  <c r="I1229" i="1"/>
  <c r="I1244" i="1"/>
  <c r="I1259" i="1"/>
  <c r="I1274" i="1"/>
  <c r="I1289" i="1"/>
  <c r="I1304" i="1"/>
  <c r="I1319" i="1"/>
  <c r="I1334" i="1"/>
  <c r="I1349" i="1"/>
  <c r="I1364" i="1"/>
  <c r="I1379" i="1"/>
  <c r="I1394" i="1"/>
  <c r="I1409" i="1"/>
  <c r="I1424" i="1"/>
  <c r="I1439" i="1"/>
  <c r="I1454" i="1"/>
  <c r="I1469" i="1"/>
  <c r="I1484" i="1"/>
  <c r="I1499" i="1"/>
  <c r="I1514" i="1"/>
  <c r="I1529" i="1"/>
  <c r="I1544" i="1"/>
  <c r="I1559" i="1"/>
  <c r="I1574" i="1"/>
  <c r="I1589" i="1"/>
  <c r="I1604" i="1"/>
  <c r="I1619" i="1"/>
  <c r="I1634" i="1"/>
  <c r="I1649" i="1"/>
  <c r="I1664" i="1"/>
  <c r="I1679" i="1"/>
  <c r="I1694" i="1"/>
  <c r="I1709" i="1"/>
  <c r="I1724" i="1"/>
  <c r="I1739" i="1"/>
  <c r="I1754" i="1"/>
  <c r="I1769" i="1"/>
  <c r="I1784" i="1"/>
  <c r="I1799" i="1"/>
  <c r="I1814" i="1"/>
  <c r="I1829" i="1"/>
  <c r="I1844" i="1"/>
  <c r="I1859" i="1"/>
  <c r="I1874" i="1"/>
  <c r="I1889" i="1"/>
  <c r="I1904" i="1"/>
  <c r="I1919" i="1"/>
  <c r="I1934" i="1"/>
  <c r="I1949" i="1"/>
  <c r="I1964" i="1"/>
  <c r="I1979" i="1"/>
  <c r="I1994" i="1"/>
  <c r="I2009" i="1"/>
  <c r="I2024" i="1"/>
  <c r="I2039" i="1"/>
  <c r="I2054" i="1"/>
  <c r="I2069" i="1"/>
  <c r="I2084" i="1"/>
  <c r="I2099" i="1"/>
  <c r="I2114" i="1"/>
  <c r="I2129" i="1"/>
  <c r="I2144" i="1"/>
  <c r="I2159" i="1"/>
  <c r="I2174" i="1"/>
  <c r="I2189" i="1"/>
  <c r="I2204" i="1"/>
  <c r="I2219" i="1"/>
  <c r="I2234" i="1"/>
  <c r="I2249" i="1"/>
  <c r="I2264" i="1"/>
  <c r="I2279" i="1"/>
  <c r="I2294" i="1"/>
  <c r="I2309" i="1"/>
  <c r="I2324" i="1"/>
  <c r="I2339" i="1"/>
  <c r="I2354" i="1"/>
  <c r="I2369" i="1"/>
  <c r="I2384" i="1"/>
  <c r="I2399" i="1"/>
  <c r="I2414" i="1"/>
  <c r="I2429" i="1"/>
  <c r="I2444" i="1"/>
  <c r="I2459" i="1"/>
  <c r="I2474" i="1"/>
  <c r="I2489" i="1"/>
  <c r="I2504" i="1"/>
  <c r="I2519" i="1"/>
  <c r="I2534" i="1"/>
  <c r="I2549" i="1"/>
  <c r="I2564" i="1"/>
  <c r="I2579" i="1"/>
  <c r="I2594" i="1"/>
  <c r="I2609" i="1"/>
  <c r="I2624" i="1"/>
  <c r="I2639" i="1"/>
  <c r="I2654" i="1"/>
  <c r="I2669" i="1"/>
  <c r="I2684" i="1"/>
  <c r="I2699" i="1"/>
  <c r="I2714" i="1"/>
  <c r="I2729" i="1"/>
  <c r="I2744" i="1"/>
  <c r="I2759" i="1"/>
  <c r="I2774" i="1"/>
  <c r="I2789" i="1"/>
  <c r="I2804" i="1"/>
  <c r="I2819" i="1"/>
  <c r="I2834" i="1"/>
  <c r="I2849" i="1"/>
  <c r="I2864" i="1"/>
  <c r="I2879" i="1"/>
  <c r="I2894" i="1"/>
  <c r="I2909" i="1"/>
  <c r="I2924" i="1"/>
  <c r="I2939" i="1"/>
  <c r="I2954" i="1"/>
  <c r="I2969" i="1"/>
  <c r="I2984" i="1"/>
  <c r="I2999" i="1"/>
  <c r="I3014" i="1"/>
  <c r="I3029" i="1"/>
  <c r="I3044" i="1"/>
  <c r="I3059" i="1"/>
  <c r="I3074" i="1"/>
  <c r="I3089" i="1"/>
  <c r="I3104" i="1"/>
  <c r="I3119" i="1"/>
  <c r="I3134" i="1"/>
  <c r="I3149" i="1"/>
  <c r="I3164" i="1"/>
  <c r="I3179" i="1"/>
  <c r="I3194" i="1"/>
  <c r="I3209" i="1"/>
  <c r="I3224" i="1"/>
  <c r="I3239" i="1"/>
  <c r="I3254" i="1"/>
  <c r="I3269" i="1"/>
  <c r="I3284" i="1"/>
  <c r="I3299" i="1"/>
  <c r="I3314" i="1"/>
  <c r="I3329" i="1"/>
  <c r="I3344" i="1"/>
  <c r="I3359" i="1"/>
  <c r="I3374" i="1"/>
  <c r="I3389" i="1"/>
  <c r="I3404" i="1"/>
  <c r="I3419" i="1"/>
  <c r="I3434" i="1"/>
  <c r="I3449" i="1"/>
  <c r="I3464" i="1"/>
  <c r="I3479" i="1"/>
  <c r="I3494" i="1"/>
  <c r="I3509" i="1"/>
  <c r="I3524" i="1"/>
  <c r="I3539" i="1"/>
  <c r="I3554" i="1"/>
  <c r="I3569" i="1"/>
  <c r="I3584" i="1"/>
  <c r="I3599" i="1"/>
  <c r="I3614" i="1"/>
  <c r="I3642" i="1"/>
  <c r="I3657" i="1"/>
  <c r="I3672" i="1"/>
  <c r="I3687" i="1"/>
  <c r="I15" i="1"/>
  <c r="I30" i="1"/>
  <c r="I45" i="1"/>
  <c r="I60" i="1"/>
  <c r="I75" i="1"/>
  <c r="I90" i="1"/>
  <c r="I105" i="1"/>
  <c r="I120" i="1"/>
  <c r="I135" i="1"/>
  <c r="I150" i="1"/>
  <c r="I165" i="1"/>
  <c r="I180" i="1"/>
  <c r="I195" i="1"/>
  <c r="I210" i="1"/>
  <c r="I225" i="1"/>
  <c r="I240" i="1"/>
  <c r="I255" i="1"/>
  <c r="I270" i="1"/>
  <c r="I285" i="1"/>
  <c r="I300" i="1"/>
  <c r="I315" i="1"/>
  <c r="I330" i="1"/>
  <c r="I345" i="1"/>
  <c r="I360" i="1"/>
  <c r="I375" i="1"/>
  <c r="I390" i="1"/>
  <c r="I405" i="1"/>
  <c r="I420" i="1"/>
  <c r="I435" i="1"/>
  <c r="I450" i="1"/>
  <c r="I465" i="1"/>
  <c r="I480" i="1"/>
  <c r="I495" i="1"/>
  <c r="I510" i="1"/>
  <c r="I525" i="1"/>
  <c r="I540" i="1"/>
  <c r="I555" i="1"/>
  <c r="I570" i="1"/>
  <c r="I585" i="1"/>
  <c r="I600" i="1"/>
  <c r="I615" i="1"/>
  <c r="I630" i="1"/>
  <c r="I645" i="1"/>
  <c r="I660" i="1"/>
  <c r="I675" i="1"/>
  <c r="I690" i="1"/>
  <c r="I705" i="1"/>
  <c r="I720" i="1"/>
  <c r="I735" i="1"/>
  <c r="I750" i="1"/>
  <c r="I765" i="1"/>
  <c r="I780" i="1"/>
  <c r="I795" i="1"/>
  <c r="I810" i="1"/>
  <c r="I825" i="1"/>
  <c r="I840" i="1"/>
  <c r="I855" i="1"/>
  <c r="I870" i="1"/>
  <c r="I885" i="1"/>
  <c r="I900" i="1"/>
  <c r="I915" i="1"/>
  <c r="I930" i="1"/>
  <c r="I945" i="1"/>
  <c r="I960" i="1"/>
  <c r="I975" i="1"/>
  <c r="I990" i="1"/>
  <c r="I1005" i="1"/>
  <c r="I1020" i="1"/>
  <c r="I1035" i="1"/>
  <c r="I1050" i="1"/>
  <c r="I1065" i="1"/>
  <c r="I1080" i="1"/>
  <c r="I1095" i="1"/>
  <c r="I1110" i="1"/>
  <c r="I1125" i="1"/>
  <c r="I1140" i="1"/>
  <c r="I1155" i="1"/>
  <c r="I1170" i="1"/>
  <c r="I1185" i="1"/>
  <c r="I1200" i="1"/>
  <c r="I1215" i="1"/>
  <c r="I1230" i="1"/>
  <c r="I1245" i="1"/>
  <c r="I1260" i="1"/>
  <c r="I1275" i="1"/>
  <c r="I1290" i="1"/>
  <c r="I1305" i="1"/>
  <c r="I1320" i="1"/>
  <c r="I1335" i="1"/>
  <c r="I1350" i="1"/>
  <c r="I1365" i="1"/>
  <c r="I1380" i="1"/>
  <c r="I1395" i="1"/>
  <c r="I1410" i="1"/>
  <c r="I1425" i="1"/>
  <c r="I1440" i="1"/>
  <c r="I1455" i="1"/>
  <c r="I1470" i="1"/>
  <c r="I1485" i="1"/>
  <c r="I1500" i="1"/>
  <c r="I1515" i="1"/>
  <c r="I1530" i="1"/>
  <c r="I1545" i="1"/>
  <c r="I1560" i="1"/>
  <c r="I1575" i="1"/>
  <c r="I1590" i="1"/>
  <c r="I1605" i="1"/>
  <c r="I1620" i="1"/>
  <c r="I1635" i="1"/>
  <c r="I1650" i="1"/>
  <c r="I1665" i="1"/>
  <c r="I1680" i="1"/>
  <c r="I1695" i="1"/>
  <c r="I1710" i="1"/>
  <c r="I1725" i="1"/>
  <c r="I1740" i="1"/>
  <c r="I1755" i="1"/>
  <c r="I1770" i="1"/>
  <c r="I1785" i="1"/>
  <c r="I1800" i="1"/>
  <c r="I1815" i="1"/>
  <c r="I1830" i="1"/>
  <c r="I1845" i="1"/>
  <c r="I1860" i="1"/>
  <c r="I1875" i="1"/>
  <c r="I1890" i="1"/>
  <c r="I1905" i="1"/>
  <c r="I1920" i="1"/>
  <c r="I1935" i="1"/>
  <c r="I1950" i="1"/>
  <c r="I1965" i="1"/>
  <c r="I1980" i="1"/>
  <c r="I1995" i="1"/>
  <c r="I2010" i="1"/>
  <c r="I2025" i="1"/>
  <c r="I2040" i="1"/>
  <c r="I2055" i="1"/>
  <c r="I2070" i="1"/>
  <c r="I2085" i="1"/>
  <c r="I2100" i="1"/>
  <c r="I2115" i="1"/>
  <c r="I2130" i="1"/>
  <c r="I2145" i="1"/>
  <c r="I2160" i="1"/>
  <c r="I2175" i="1"/>
  <c r="I2190" i="1"/>
  <c r="I2205" i="1"/>
  <c r="I2220" i="1"/>
  <c r="I2235" i="1"/>
  <c r="I2250" i="1"/>
  <c r="I2265" i="1"/>
  <c r="I2280" i="1"/>
  <c r="I2295" i="1"/>
  <c r="I2310" i="1"/>
  <c r="I2325" i="1"/>
  <c r="I2340" i="1"/>
  <c r="I2355" i="1"/>
  <c r="I2370" i="1"/>
  <c r="I2385" i="1"/>
  <c r="I2400" i="1"/>
  <c r="I2415" i="1"/>
  <c r="I2430" i="1"/>
  <c r="I2445" i="1"/>
  <c r="I2460" i="1"/>
  <c r="I2475" i="1"/>
  <c r="I2490" i="1"/>
  <c r="I2505" i="1"/>
  <c r="I2520" i="1"/>
  <c r="I2535" i="1"/>
  <c r="I2550" i="1"/>
  <c r="I2565" i="1"/>
  <c r="I2580" i="1"/>
  <c r="I2595" i="1"/>
  <c r="I2610" i="1"/>
  <c r="I2625" i="1"/>
  <c r="I2640" i="1"/>
  <c r="I2655" i="1"/>
  <c r="I2670" i="1"/>
  <c r="I2685" i="1"/>
  <c r="I2700" i="1"/>
  <c r="I2715" i="1"/>
  <c r="I2730" i="1"/>
  <c r="I2745" i="1"/>
  <c r="I2760" i="1"/>
  <c r="I2775" i="1"/>
  <c r="I2790" i="1"/>
  <c r="I2805" i="1"/>
  <c r="I2820" i="1"/>
  <c r="I2835" i="1"/>
  <c r="I2850" i="1"/>
  <c r="I2865" i="1"/>
  <c r="I2880" i="1"/>
  <c r="I2895" i="1"/>
  <c r="I2910" i="1"/>
  <c r="I2925" i="1"/>
  <c r="I2940" i="1"/>
  <c r="I2955" i="1"/>
  <c r="I2970" i="1"/>
  <c r="I2985" i="1"/>
  <c r="I3000" i="1"/>
  <c r="I3015" i="1"/>
  <c r="I3030" i="1"/>
  <c r="I3045" i="1"/>
  <c r="I3060" i="1"/>
  <c r="I3075" i="1"/>
  <c r="I3090" i="1"/>
  <c r="I3105" i="1"/>
  <c r="I3120" i="1"/>
  <c r="I3135" i="1"/>
  <c r="I3150" i="1"/>
  <c r="I3165" i="1"/>
  <c r="I3180" i="1"/>
  <c r="I3195" i="1"/>
  <c r="I3210" i="1"/>
  <c r="I3225" i="1"/>
  <c r="I3240" i="1"/>
  <c r="I3255" i="1"/>
  <c r="I3270" i="1"/>
  <c r="I3285" i="1"/>
  <c r="I3300" i="1"/>
  <c r="I3315" i="1"/>
  <c r="I3330" i="1"/>
  <c r="I3345" i="1"/>
  <c r="I3360" i="1"/>
  <c r="I3375" i="1"/>
  <c r="I3390" i="1"/>
  <c r="I3405" i="1"/>
  <c r="I3420" i="1"/>
  <c r="I3435" i="1"/>
  <c r="I3450" i="1"/>
  <c r="I3465" i="1"/>
  <c r="I3480" i="1"/>
  <c r="I3495" i="1"/>
  <c r="I3510" i="1"/>
  <c r="I3525" i="1"/>
  <c r="I3540" i="1"/>
  <c r="I3555" i="1"/>
  <c r="I3570" i="1"/>
  <c r="I3585" i="1"/>
  <c r="I3600" i="1"/>
  <c r="I3615" i="1"/>
  <c r="I3629" i="1"/>
  <c r="I3643" i="1"/>
  <c r="I3658" i="1"/>
  <c r="I3673" i="1"/>
  <c r="I3688" i="1"/>
  <c r="I16" i="1"/>
  <c r="I31" i="1"/>
  <c r="I46" i="1"/>
  <c r="I61" i="1"/>
  <c r="I76" i="1"/>
  <c r="I91" i="1"/>
  <c r="I106" i="1"/>
  <c r="I121" i="1"/>
  <c r="I136" i="1"/>
  <c r="I151" i="1"/>
  <c r="I166" i="1"/>
  <c r="I181" i="1"/>
  <c r="I196" i="1"/>
  <c r="I211" i="1"/>
  <c r="I226" i="1"/>
  <c r="I241" i="1"/>
  <c r="I256" i="1"/>
  <c r="I271" i="1"/>
  <c r="I286" i="1"/>
  <c r="I301" i="1"/>
  <c r="I316" i="1"/>
  <c r="I331" i="1"/>
  <c r="I346" i="1"/>
  <c r="I361" i="1"/>
  <c r="I376" i="1"/>
  <c r="I391" i="1"/>
  <c r="I406" i="1"/>
  <c r="I421" i="1"/>
  <c r="I436" i="1"/>
  <c r="I451" i="1"/>
  <c r="I466" i="1"/>
  <c r="I481" i="1"/>
  <c r="I496" i="1"/>
  <c r="I511" i="1"/>
  <c r="I526" i="1"/>
  <c r="I541" i="1"/>
  <c r="I556" i="1"/>
  <c r="I571" i="1"/>
  <c r="I586" i="1"/>
  <c r="I601" i="1"/>
  <c r="I616" i="1"/>
  <c r="I631" i="1"/>
  <c r="I646" i="1"/>
  <c r="I661" i="1"/>
  <c r="I676" i="1"/>
  <c r="I691" i="1"/>
  <c r="I706" i="1"/>
  <c r="I721" i="1"/>
  <c r="I736" i="1"/>
  <c r="I751" i="1"/>
  <c r="I766" i="1"/>
  <c r="I781" i="1"/>
  <c r="I796" i="1"/>
  <c r="I811" i="1"/>
  <c r="I826" i="1"/>
  <c r="I841" i="1"/>
  <c r="I856" i="1"/>
  <c r="I871" i="1"/>
  <c r="I886" i="1"/>
  <c r="I901" i="1"/>
  <c r="I916" i="1"/>
  <c r="I931" i="1"/>
  <c r="I946" i="1"/>
  <c r="I961" i="1"/>
  <c r="I976" i="1"/>
  <c r="I991" i="1"/>
  <c r="I1006" i="1"/>
  <c r="I1021" i="1"/>
  <c r="I1036" i="1"/>
  <c r="I1051" i="1"/>
  <c r="I1066" i="1"/>
  <c r="I1081" i="1"/>
  <c r="I1096" i="1"/>
  <c r="I1111" i="1"/>
  <c r="I1126" i="1"/>
  <c r="I1141" i="1"/>
  <c r="I1156" i="1"/>
  <c r="I1171" i="1"/>
  <c r="I1186" i="1"/>
  <c r="I1201" i="1"/>
  <c r="I1216" i="1"/>
  <c r="I1231" i="1"/>
  <c r="I1246" i="1"/>
  <c r="I1261" i="1"/>
  <c r="I1276" i="1"/>
  <c r="I1291" i="1"/>
  <c r="I1306" i="1"/>
  <c r="I1321" i="1"/>
  <c r="I1336" i="1"/>
  <c r="I1351" i="1"/>
  <c r="I1366" i="1"/>
  <c r="I1381" i="1"/>
  <c r="I1396" i="1"/>
  <c r="I1411" i="1"/>
  <c r="I1426" i="1"/>
  <c r="I1441" i="1"/>
  <c r="I1456" i="1"/>
  <c r="I1471" i="1"/>
  <c r="I1486" i="1"/>
  <c r="I1501" i="1"/>
  <c r="I1516" i="1"/>
  <c r="I1531" i="1"/>
  <c r="I1546" i="1"/>
  <c r="I1561" i="1"/>
  <c r="I1576" i="1"/>
  <c r="I1591" i="1"/>
  <c r="I1606" i="1"/>
  <c r="I1621" i="1"/>
  <c r="I1636" i="1"/>
  <c r="I1651" i="1"/>
  <c r="I1666" i="1"/>
  <c r="I1681" i="1"/>
  <c r="I1696" i="1"/>
  <c r="I1711" i="1"/>
  <c r="I1726" i="1"/>
  <c r="I1741" i="1"/>
  <c r="I1756" i="1"/>
  <c r="I1771" i="1"/>
  <c r="I1786" i="1"/>
  <c r="I1801" i="1"/>
  <c r="I1816" i="1"/>
  <c r="I1831" i="1"/>
  <c r="I1846" i="1"/>
  <c r="I1861" i="1"/>
  <c r="I1876" i="1"/>
  <c r="I1891" i="1"/>
  <c r="I1906" i="1"/>
  <c r="I1921" i="1"/>
  <c r="I1936" i="1"/>
  <c r="I1951" i="1"/>
  <c r="I1966" i="1"/>
  <c r="I1981" i="1"/>
  <c r="I1996" i="1"/>
  <c r="I2011" i="1"/>
  <c r="I2026" i="1"/>
  <c r="I2041" i="1"/>
  <c r="I2056" i="1"/>
  <c r="I2071" i="1"/>
  <c r="I2086" i="1"/>
  <c r="I2101" i="1"/>
  <c r="I2116" i="1"/>
  <c r="I2131" i="1"/>
  <c r="I2146" i="1"/>
  <c r="I2161" i="1"/>
  <c r="I2176" i="1"/>
  <c r="I2191" i="1"/>
  <c r="I2206" i="1"/>
  <c r="I2221" i="1"/>
  <c r="I2236" i="1"/>
  <c r="I2251" i="1"/>
  <c r="I2266" i="1"/>
  <c r="I2281" i="1"/>
  <c r="I2296" i="1"/>
  <c r="I2311" i="1"/>
  <c r="I2326" i="1"/>
  <c r="I2341" i="1"/>
  <c r="I2356" i="1"/>
  <c r="I2371" i="1"/>
  <c r="I2386" i="1"/>
  <c r="I2401" i="1"/>
  <c r="I2416" i="1"/>
  <c r="I2431" i="1"/>
  <c r="I2446" i="1"/>
  <c r="I2461" i="1"/>
  <c r="I2476" i="1"/>
  <c r="I2491" i="1"/>
  <c r="I2506" i="1"/>
  <c r="I2521" i="1"/>
  <c r="I2536" i="1"/>
  <c r="I2551" i="1"/>
  <c r="I2566" i="1"/>
  <c r="I2581" i="1"/>
  <c r="I2596" i="1"/>
  <c r="I2611" i="1"/>
  <c r="I2626" i="1"/>
  <c r="I2641" i="1"/>
  <c r="I2656" i="1"/>
  <c r="I2671" i="1"/>
  <c r="I2686" i="1"/>
  <c r="I2701" i="1"/>
  <c r="I2716" i="1"/>
  <c r="I2731" i="1"/>
  <c r="I2746" i="1"/>
  <c r="I2761" i="1"/>
  <c r="I2776" i="1"/>
  <c r="I2791" i="1"/>
  <c r="I2806" i="1"/>
  <c r="I2821" i="1"/>
  <c r="I2836" i="1"/>
  <c r="I2851" i="1"/>
  <c r="I2866" i="1"/>
  <c r="I2881" i="1"/>
  <c r="I2896" i="1"/>
  <c r="I2911" i="1"/>
  <c r="I2926" i="1"/>
  <c r="I2941" i="1"/>
  <c r="I2956" i="1"/>
  <c r="I2971" i="1"/>
  <c r="I2986" i="1"/>
  <c r="I3001" i="1"/>
  <c r="I3016" i="1"/>
  <c r="I3031" i="1"/>
  <c r="I3046" i="1"/>
  <c r="I3061" i="1"/>
  <c r="I3076" i="1"/>
  <c r="I3091" i="1"/>
  <c r="I3106" i="1"/>
  <c r="I3121" i="1"/>
  <c r="I3136" i="1"/>
  <c r="I3151" i="1"/>
  <c r="I3166" i="1"/>
  <c r="I3181" i="1"/>
  <c r="I3196" i="1"/>
  <c r="I3211" i="1"/>
  <c r="I3226" i="1"/>
  <c r="I3241" i="1"/>
  <c r="I3256" i="1"/>
  <c r="I3271" i="1"/>
  <c r="I3286" i="1"/>
  <c r="I3301" i="1"/>
  <c r="I3316" i="1"/>
  <c r="I3331" i="1"/>
  <c r="I3346" i="1"/>
  <c r="I3361" i="1"/>
  <c r="I3376" i="1"/>
  <c r="I3391" i="1"/>
  <c r="I3406" i="1"/>
  <c r="I3421" i="1"/>
  <c r="I3436" i="1"/>
  <c r="I3451" i="1"/>
  <c r="I3466" i="1"/>
  <c r="I3481" i="1"/>
  <c r="I3496" i="1"/>
  <c r="I3511" i="1"/>
  <c r="I3526" i="1"/>
  <c r="I3541" i="1"/>
  <c r="I3556" i="1"/>
  <c r="I3571" i="1"/>
  <c r="I3586" i="1"/>
  <c r="I3601" i="1"/>
  <c r="I3616" i="1"/>
  <c r="I3644" i="1"/>
  <c r="I3659" i="1"/>
  <c r="I3674" i="1"/>
  <c r="I3689" i="1"/>
  <c r="I2" i="1"/>
  <c r="C26" i="8" l="1" a="1"/>
  <c r="D30" i="8" a="1"/>
  <c r="D33" i="8" a="1"/>
  <c r="D23" i="8" a="1"/>
  <c r="D28" i="8" a="1"/>
  <c r="D20" i="8" a="1"/>
  <c r="D22" i="8" a="1"/>
  <c r="D21" i="8" a="1"/>
  <c r="C32" i="8" a="1"/>
  <c r="C25" i="8" a="1"/>
  <c r="C27" i="8" a="1"/>
  <c r="C34" i="8" a="1"/>
  <c r="C29" i="8" a="1"/>
  <c r="D26" i="8" a="1"/>
  <c r="D32" i="8" a="1"/>
  <c r="D25" i="8" a="1"/>
  <c r="D27" i="8" a="1"/>
  <c r="D34" i="8" a="1"/>
  <c r="D24" i="8" a="1"/>
  <c r="D29" i="8" a="1"/>
  <c r="D31" i="8" a="1"/>
  <c r="C30" i="8" a="1"/>
  <c r="C23" i="8" a="1"/>
  <c r="C20" i="8" a="1"/>
  <c r="C22" i="8" a="1"/>
  <c r="C31" i="8" a="1"/>
  <c r="C33" i="8" a="1"/>
  <c r="C28" i="8" a="1"/>
  <c r="C24" i="8" a="1"/>
  <c r="C21" i="8" a="1"/>
  <c r="E26" i="8" l="1"/>
  <c r="E20" i="8"/>
  <c r="E30" i="8"/>
  <c r="E33" i="8"/>
  <c r="E22" i="8"/>
  <c r="E21" i="8"/>
  <c r="E23" i="8"/>
  <c r="E28" i="8"/>
  <c r="E32" i="8"/>
  <c r="E25" i="8"/>
  <c r="E27" i="8"/>
  <c r="E34" i="8"/>
  <c r="E24" i="8"/>
  <c r="E29" i="8"/>
  <c r="E31" i="8"/>
  <c r="A31" i="8" l="1"/>
  <c r="A26" i="8"/>
  <c r="A20" i="8"/>
  <c r="A30" i="8"/>
  <c r="A33" i="8"/>
  <c r="A27" i="8"/>
  <c r="A29" i="8"/>
  <c r="A22" i="8"/>
  <c r="A21" i="8"/>
  <c r="A25" i="8"/>
  <c r="A34" i="8"/>
  <c r="A23" i="8"/>
  <c r="A28" i="8"/>
  <c r="A32" i="8"/>
  <c r="A2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<sst xmlns="http://schemas.openxmlformats.org/spreadsheetml/2006/main" count="7581" uniqueCount="120">
  <si>
    <t>Date</t>
  </si>
  <si>
    <t>Company</t>
  </si>
  <si>
    <t>Ticker</t>
  </si>
  <si>
    <t>Open</t>
  </si>
  <si>
    <t>High</t>
  </si>
  <si>
    <t>Low</t>
  </si>
  <si>
    <t>Close</t>
  </si>
  <si>
    <t>Volume</t>
  </si>
  <si>
    <t>Reliance</t>
  </si>
  <si>
    <t>RELIANCE.NS</t>
  </si>
  <si>
    <t>TCS</t>
  </si>
  <si>
    <t>TCS.NS</t>
  </si>
  <si>
    <t>Infosys</t>
  </si>
  <si>
    <t>INFY.NS</t>
  </si>
  <si>
    <t>HDFC Bank</t>
  </si>
  <si>
    <t>HDFCBANK.NS</t>
  </si>
  <si>
    <t>ICICI Bank</t>
  </si>
  <si>
    <t>ICICIBANK.NS</t>
  </si>
  <si>
    <t>Wipro</t>
  </si>
  <si>
    <t>WIPRO.NS</t>
  </si>
  <si>
    <t>HCL Tech</t>
  </si>
  <si>
    <t>HCLTECH.NS</t>
  </si>
  <si>
    <t>Bajaj Finance</t>
  </si>
  <si>
    <t>BAJFINANCE.NS</t>
  </si>
  <si>
    <t>Maruti</t>
  </si>
  <si>
    <t>MARUTI.NS</t>
  </si>
  <si>
    <t>Tata Motors</t>
  </si>
  <si>
    <t>TMPV.NS</t>
  </si>
  <si>
    <t>Sun Pharma</t>
  </si>
  <si>
    <t>SUNPHARMA.NS</t>
  </si>
  <si>
    <t>Asian Paints</t>
  </si>
  <si>
    <t>ASIANPAINT.NS</t>
  </si>
  <si>
    <t>Hindustan Unilever</t>
  </si>
  <si>
    <t>HINDUNILVR.NS</t>
  </si>
  <si>
    <t>Larsen &amp; Toubro</t>
  </si>
  <si>
    <t>LT.NS</t>
  </si>
  <si>
    <t>Axis Bank</t>
  </si>
  <si>
    <t>AXISBANK.NS</t>
  </si>
  <si>
    <t>Price Range</t>
  </si>
  <si>
    <t>Month</t>
  </si>
  <si>
    <t>Quarter</t>
  </si>
  <si>
    <t>CLEANING NOTES</t>
  </si>
  <si>
    <t>Area</t>
  </si>
  <si>
    <t>What I Found</t>
  </si>
  <si>
    <t>Action Taken</t>
  </si>
  <si>
    <t>Dates required consistent formatting</t>
  </si>
  <si>
    <t>Standardized to DD-MMM-YYYY</t>
  </si>
  <si>
    <t>Numeric fields</t>
  </si>
  <si>
    <t>Price and volume formatting was inconsistent</t>
  </si>
  <si>
    <t>Applied appropriate number formats</t>
  </si>
  <si>
    <t>Missing values</t>
  </si>
  <si>
    <t>Checked for blanks in key fields</t>
  </si>
  <si>
    <t>Reviewed and handled missing records</t>
  </si>
  <si>
    <t>Zero-volume records</t>
  </si>
  <si>
    <t>60 non-trading records identified</t>
  </si>
  <si>
    <t>Removed from analysis dataset</t>
  </si>
  <si>
    <t>Calculated metrics</t>
  </si>
  <si>
    <t>Additional analytical fields required</t>
  </si>
  <si>
    <t>Added return, range, month &amp; quarter</t>
  </si>
  <si>
    <t>Data structure</t>
  </si>
  <si>
    <t>Dataset needed consistent structure</t>
  </si>
  <si>
    <t>Dataset Summary</t>
  </si>
  <si>
    <t>Stocks</t>
  </si>
  <si>
    <t>Original Records</t>
  </si>
  <si>
    <t>Zero-volume Records</t>
  </si>
  <si>
    <t>Records After Cleaning</t>
  </si>
  <si>
    <t>Converted to StockData Excel Table</t>
  </si>
  <si>
    <t>Intraday Return (%)</t>
  </si>
  <si>
    <r>
      <t>Source:</t>
    </r>
    <r>
      <rPr>
        <sz val="8"/>
        <color theme="1"/>
        <rFont val="Calibri"/>
        <family val="2"/>
        <scheme val="minor"/>
      </rPr>
      <t xml:space="preserve"> Yahoo Finance via </t>
    </r>
    <r>
      <rPr>
        <sz val="8"/>
        <color theme="1"/>
        <rFont val="Arial Unicode MS"/>
      </rPr>
      <t>yfinance</t>
    </r>
  </si>
  <si>
    <r>
      <t>Coverage:</t>
    </r>
    <r>
      <rPr>
        <sz val="8"/>
        <color theme="1"/>
        <rFont val="Calibri"/>
        <family val="2"/>
        <scheme val="minor"/>
      </rPr>
      <t xml:space="preserve"> 15 selected NIFTY 50 stocks</t>
    </r>
  </si>
  <si>
    <r>
      <t>Purpose:</t>
    </r>
    <r>
      <rPr>
        <sz val="8"/>
        <color theme="1"/>
        <rFont val="Calibri"/>
        <family val="2"/>
        <scheme val="minor"/>
      </rPr>
      <t xml:space="preserve"> Stock performance, volatility and volume analysis</t>
    </r>
  </si>
  <si>
    <t>Row Labels</t>
  </si>
  <si>
    <t>Grand Total</t>
  </si>
  <si>
    <t>Average of Close</t>
  </si>
  <si>
    <t>Column Labels</t>
  </si>
  <si>
    <t>Average of Price Range</t>
  </si>
  <si>
    <t>Average of Volume</t>
  </si>
  <si>
    <t>Nifty 50 Stock Performance Analysis — FY2025</t>
  </si>
  <si>
    <t>15 companies · 1 year of daily data · 3,800+ data points</t>
  </si>
  <si>
    <t>Data: Yahoo Finance via yfinance · Analyst: Ayan Saifi</t>
  </si>
  <si>
    <t>PERFORMANCE ANALYSIS</t>
  </si>
  <si>
    <t>Monthly Trend</t>
  </si>
  <si>
    <t>INTRADAY PRICE RANGE ANALYSIS</t>
  </si>
  <si>
    <t>Trading Volume</t>
  </si>
  <si>
    <t>NIFTY 50 STOCK PERFORMANCE SUMMARY</t>
  </si>
  <si>
    <t>15 Selected Stocks | Sep 2025 – Sep 2026</t>
  </si>
  <si>
    <t>Stocks Analysed</t>
  </si>
  <si>
    <t>Trading Records</t>
  </si>
  <si>
    <t>Positive Performers</t>
  </si>
  <si>
    <t>Negative Performers</t>
  </si>
  <si>
    <t>Best Period Return</t>
  </si>
  <si>
    <t>Largest Decline</t>
  </si>
  <si>
    <t>Rank</t>
  </si>
  <si>
    <t>First Close</t>
  </si>
  <si>
    <t>Last Close</t>
  </si>
  <si>
    <t>Period Return %</t>
  </si>
  <si>
    <t xml:space="preserve"> </t>
  </si>
  <si>
    <t>AVERAGE TRADING VOLUME</t>
  </si>
  <si>
    <t>Average Volume</t>
  </si>
  <si>
    <t>KEY METRICS</t>
  </si>
  <si>
    <t>STOCK PERFORMANCE SUMMARY</t>
  </si>
  <si>
    <t>KEY BUSINESS INSIGHTS</t>
  </si>
  <si>
    <r>
      <t>1.</t>
    </r>
    <r>
      <rPr>
        <sz val="12"/>
        <color theme="1"/>
        <rFont val="Calibri"/>
        <family val="2"/>
        <scheme val="minor"/>
      </rPr>
      <t xml:space="preserve"> Sun Pharma recorded the highest period return among the 15 selected stocks at </t>
    </r>
    <r>
      <rPr>
        <b/>
        <sz val="12"/>
        <color theme="1"/>
        <rFont val="Calibri"/>
        <family val="2"/>
        <scheme val="minor"/>
      </rPr>
      <t>+15.91%</t>
    </r>
    <r>
      <rPr>
        <sz val="12"/>
        <color theme="1"/>
        <rFont val="Calibri"/>
        <family val="2"/>
        <scheme val="minor"/>
      </rPr>
      <t xml:space="preserve">, while Tata Motors recorded the largest decline at </t>
    </r>
    <r>
      <rPr>
        <b/>
        <sz val="12"/>
        <color theme="1"/>
        <rFont val="Calibri"/>
        <family val="2"/>
        <scheme val="minor"/>
      </rPr>
      <t>-57.41%</t>
    </r>
    <r>
      <rPr>
        <sz val="12"/>
        <color theme="1"/>
        <rFont val="Calibri"/>
        <family val="2"/>
        <scheme val="minor"/>
      </rPr>
      <t>.</t>
    </r>
  </si>
  <si>
    <r>
      <rPr>
        <b/>
        <sz val="12"/>
        <color theme="1"/>
        <rFont val="Calibri"/>
        <family val="2"/>
        <scheme val="minor"/>
      </rPr>
      <t>2.</t>
    </r>
    <r>
      <rPr>
        <sz val="12"/>
        <color theme="1"/>
        <rFont val="Calibri"/>
        <family val="2"/>
        <scheme val="minor"/>
      </rPr>
      <t xml:space="preserve"> March 2026 showed a broad-based decline, with </t>
    </r>
    <r>
      <rPr>
        <b/>
        <sz val="12"/>
        <color theme="1"/>
        <rFont val="Calibri"/>
        <family val="2"/>
        <scheme val="minor"/>
      </rPr>
      <t>14 of 15 stocks</t>
    </r>
    <r>
      <rPr>
        <sz val="12"/>
        <color theme="1"/>
        <rFont val="Calibri"/>
        <family val="2"/>
        <scheme val="minor"/>
      </rPr>
      <t xml:space="preserve"> recording lower monthly average closing prices than February.</t>
    </r>
  </si>
  <si>
    <r>
      <t>3.</t>
    </r>
    <r>
      <rPr>
        <sz val="12"/>
        <color theme="1"/>
        <rFont val="Calibri"/>
        <family val="2"/>
        <scheme val="minor"/>
      </rPr>
      <t xml:space="preserve"> April 2026 showed a broad recovery, with </t>
    </r>
    <r>
      <rPr>
        <b/>
        <sz val="12"/>
        <color theme="1"/>
        <rFont val="Calibri"/>
        <family val="2"/>
        <scheme val="minor"/>
      </rPr>
      <t>11 of 15 stocks</t>
    </r>
    <r>
      <rPr>
        <sz val="12"/>
        <color theme="1"/>
        <rFont val="Calibri"/>
        <family val="2"/>
        <scheme val="minor"/>
      </rPr>
      <t xml:space="preserve"> recording higher monthly average closing prices than March.</t>
    </r>
  </si>
  <si>
    <r>
      <t>4.</t>
    </r>
    <r>
      <rPr>
        <sz val="12"/>
        <color theme="1"/>
        <rFont val="Calibri"/>
        <family val="2"/>
        <scheme val="minor"/>
      </rPr>
      <t xml:space="preserve"> HDFC Bank had the highest average trading volume at approximately </t>
    </r>
    <r>
      <rPr>
        <b/>
        <sz val="12"/>
        <color theme="1"/>
        <rFont val="Calibri"/>
        <family val="2"/>
        <scheme val="minor"/>
      </rPr>
      <t>31.46 million shares</t>
    </r>
    <r>
      <rPr>
        <sz val="12"/>
        <color theme="1"/>
        <rFont val="Calibri"/>
        <family val="2"/>
        <scheme val="minor"/>
      </rPr>
      <t>, indicating substantially higher trading activity than the other selected stocks.</t>
    </r>
  </si>
  <si>
    <r>
      <t>5.</t>
    </r>
    <r>
      <rPr>
        <sz val="12"/>
        <color theme="1"/>
        <rFont val="Calibri"/>
        <family val="2"/>
        <scheme val="minor"/>
      </rPr>
      <t xml:space="preserve"> Tata Motors had the highest standard deviation of intraday returns at approximately </t>
    </r>
    <r>
      <rPr>
        <b/>
        <sz val="12"/>
        <color theme="1"/>
        <rFont val="Calibri"/>
        <family val="2"/>
        <scheme val="minor"/>
      </rPr>
      <t>1.63%</t>
    </r>
    <r>
      <rPr>
        <sz val="12"/>
        <color theme="1"/>
        <rFont val="Calibri"/>
        <family val="2"/>
        <scheme val="minor"/>
      </rPr>
      <t>, while also experiencing the largest period decline, highlighting substantial price movement during the period.</t>
    </r>
  </si>
  <si>
    <t>Nifty 50 Stock Performance Analysis</t>
  </si>
  <si>
    <t>15 Companies · 1 Year of Daily Data · 3,800+ Records</t>
  </si>
  <si>
    <t>Data Source: Yahoo Finance (yfinance) | Analyst: Ayan Saifi</t>
  </si>
  <si>
    <t>Worst Performer</t>
  </si>
  <si>
    <t xml:space="preserve">Average Intraday Price </t>
  </si>
  <si>
    <t>Highest Volume</t>
  </si>
  <si>
    <t>Best Perforemer</t>
  </si>
  <si>
    <t xml:space="preserve">          Key Insight</t>
  </si>
  <si>
    <r>
      <t xml:space="preserve">→ </t>
    </r>
    <r>
      <rPr>
        <b/>
        <sz val="11"/>
        <color rgb="FF424242"/>
        <rFont val="Calibri"/>
        <family val="2"/>
        <scheme val="minor"/>
      </rPr>
      <t>[Month]</t>
    </r>
    <r>
      <rPr>
        <sz val="11"/>
        <color rgb="FF424242"/>
        <rFont val="Calibri"/>
        <family val="2"/>
        <scheme val="minor"/>
      </rPr>
      <t xml:space="preserve"> recorded the sharpest movement across most stocks, likely influenced by broader market events</t>
    </r>
  </si>
  <si>
    <r>
      <t xml:space="preserve">→ </t>
    </r>
    <r>
      <rPr>
        <b/>
        <sz val="11"/>
        <color rgb="FF424242"/>
        <rFont val="Calibri"/>
        <family val="2"/>
        <scheme val="minor"/>
      </rPr>
      <t>[Company]</t>
    </r>
    <r>
      <rPr>
        <sz val="11"/>
        <color rgb="FF424242"/>
        <rFont val="Calibri"/>
        <family val="2"/>
        <scheme val="minor"/>
      </rPr>
      <t xml:space="preserve"> dominated trading activity with an average daily volume of [X] crore shares, reflecting strong market interest</t>
    </r>
  </si>
  <si>
    <t>→ Tata Motors showed the steepest decline, with average prices -57.41% below the group mean</t>
  </si>
  <si>
    <r>
      <t>→Maruti</t>
    </r>
    <r>
      <rPr>
        <sz val="11"/>
        <color rgb="FF424242"/>
        <rFont val="Calibri"/>
        <family val="2"/>
        <scheme val="minor"/>
      </rPr>
      <t xml:space="preserve"> was the most volatile stock — average daily price swing of ₹146.11, indicating higher short-term risk</t>
    </r>
  </si>
  <si>
    <t>→ Asian Paint delivered the strongest average closing price, outperforming the group average by ₹31462623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</si>
</sst>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₹&quot;\ #,##0.00;&quot;₹&quot;\ \-#,##0.00"/>
    <numFmt numFmtId="164" formatCode="[$-14009]dd\ mmmm\ yyyy;@"/>
    <numFmt numFmtId="165" formatCode="[$-409]d/mmm/yy;@"/>
    <numFmt numFmtId="166" formatCode="mmm/yyyy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 Unicode MS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4"/>
      <color rgb="FFC62828"/>
      <name val="Calibri"/>
      <family val="2"/>
      <scheme val="minor"/>
    </font>
    <font>
      <b/>
      <sz val="14"/>
      <color rgb="FF2E7D32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color rgb="FF1565C0"/>
      <name val="Calibri"/>
      <family val="2"/>
      <scheme val="minor"/>
    </font>
    <font>
      <sz val="11"/>
      <color rgb="FF424242"/>
      <name val="Calibri"/>
      <family val="2"/>
      <scheme val="minor"/>
    </font>
    <font>
      <b/>
      <sz val="11"/>
      <color rgb="FF4242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E65100"/>
      </left>
      <right/>
      <top style="thin">
        <color rgb="FFE65100"/>
      </top>
      <bottom/>
      <diagonal/>
    </border>
    <border>
      <left/>
      <right/>
      <top style="thin">
        <color rgb="FFE65100"/>
      </top>
      <bottom/>
      <diagonal/>
    </border>
    <border>
      <left/>
      <right style="thin">
        <color rgb="FFE65100"/>
      </right>
      <top style="thin">
        <color rgb="FFE65100"/>
      </top>
      <bottom/>
      <diagonal/>
    </border>
    <border>
      <left style="thin">
        <color rgb="FFE65100"/>
      </left>
      <right/>
      <top/>
      <bottom/>
      <diagonal/>
    </border>
    <border>
      <left/>
      <right style="thin">
        <color rgb="FFE65100"/>
      </right>
      <top/>
      <bottom/>
      <diagonal/>
    </border>
    <border>
      <left style="thin">
        <color rgb="FFE65100"/>
      </left>
      <right/>
      <top/>
      <bottom style="thin">
        <color rgb="FFE65100"/>
      </bottom>
      <diagonal/>
    </border>
    <border>
      <left/>
      <right/>
      <top/>
      <bottom style="thin">
        <color rgb="FFE65100"/>
      </bottom>
      <diagonal/>
    </border>
    <border>
      <left/>
      <right style="thin">
        <color rgb="FFE65100"/>
      </right>
      <top/>
      <bottom style="thin">
        <color rgb="FFE65100"/>
      </bottom>
      <diagonal/>
    </border>
    <border>
      <left style="thin">
        <color rgb="FF1565C0"/>
      </left>
      <right/>
      <top style="thin">
        <color rgb="FF1565C0"/>
      </top>
      <bottom/>
      <diagonal/>
    </border>
    <border>
      <left/>
      <right/>
      <top style="thin">
        <color rgb="FF1565C0"/>
      </top>
      <bottom/>
      <diagonal/>
    </border>
    <border>
      <left/>
      <right style="thin">
        <color rgb="FF1565C0"/>
      </right>
      <top style="thin">
        <color rgb="FF1565C0"/>
      </top>
      <bottom/>
      <diagonal/>
    </border>
    <border>
      <left style="thin">
        <color rgb="FF1565C0"/>
      </left>
      <right/>
      <top/>
      <bottom/>
      <diagonal/>
    </border>
    <border>
      <left/>
      <right style="thin">
        <color rgb="FF1565C0"/>
      </right>
      <top/>
      <bottom/>
      <diagonal/>
    </border>
    <border>
      <left style="thin">
        <color rgb="FF1565C0"/>
      </left>
      <right/>
      <top/>
      <bottom style="thin">
        <color rgb="FF1565C0"/>
      </bottom>
      <diagonal/>
    </border>
    <border>
      <left/>
      <right/>
      <top/>
      <bottom style="thin">
        <color rgb="FF1565C0"/>
      </bottom>
      <diagonal/>
    </border>
    <border>
      <left/>
      <right style="thin">
        <color rgb="FF1565C0"/>
      </right>
      <top/>
      <bottom style="thin">
        <color rgb="FF1565C0"/>
      </bottom>
      <diagonal/>
    </border>
    <border>
      <left style="thin">
        <color rgb="FFC62828"/>
      </left>
      <right/>
      <top style="thin">
        <color rgb="FFC62828"/>
      </top>
      <bottom/>
      <diagonal/>
    </border>
    <border>
      <left/>
      <right/>
      <top style="thin">
        <color rgb="FFC62828"/>
      </top>
      <bottom/>
      <diagonal/>
    </border>
    <border>
      <left/>
      <right style="thin">
        <color rgb="FFC62828"/>
      </right>
      <top style="thin">
        <color rgb="FFC62828"/>
      </top>
      <bottom/>
      <diagonal/>
    </border>
    <border>
      <left style="thin">
        <color rgb="FFC62828"/>
      </left>
      <right/>
      <top/>
      <bottom/>
      <diagonal/>
    </border>
    <border>
      <left/>
      <right style="thin">
        <color rgb="FFC62828"/>
      </right>
      <top/>
      <bottom/>
      <diagonal/>
    </border>
    <border>
      <left style="thin">
        <color rgb="FFC62828"/>
      </left>
      <right/>
      <top/>
      <bottom style="thin">
        <color rgb="FFC62828"/>
      </bottom>
      <diagonal/>
    </border>
    <border>
      <left/>
      <right/>
      <top/>
      <bottom style="thin">
        <color rgb="FFC62828"/>
      </bottom>
      <diagonal/>
    </border>
    <border>
      <left/>
      <right style="thin">
        <color rgb="FFC62828"/>
      </right>
      <top/>
      <bottom style="thin">
        <color rgb="FFC62828"/>
      </bottom>
      <diagonal/>
    </border>
    <border>
      <left style="thin">
        <color rgb="FF2E7D32"/>
      </left>
      <right/>
      <top style="thin">
        <color rgb="FF2E7D32"/>
      </top>
      <bottom/>
      <diagonal/>
    </border>
    <border>
      <left/>
      <right/>
      <top style="thin">
        <color rgb="FF2E7D32"/>
      </top>
      <bottom/>
      <diagonal/>
    </border>
    <border>
      <left/>
      <right style="thin">
        <color rgb="FF2E7D32"/>
      </right>
      <top style="thin">
        <color rgb="FF2E7D32"/>
      </top>
      <bottom/>
      <diagonal/>
    </border>
    <border>
      <left style="thin">
        <color rgb="FF2E7D32"/>
      </left>
      <right/>
      <top/>
      <bottom/>
      <diagonal/>
    </border>
    <border>
      <left/>
      <right style="thin">
        <color rgb="FF2E7D32"/>
      </right>
      <top/>
      <bottom/>
      <diagonal/>
    </border>
    <border>
      <left style="thin">
        <color rgb="FF2E7D32"/>
      </left>
      <right/>
      <top/>
      <bottom style="thin">
        <color rgb="FF2E7D32"/>
      </bottom>
      <diagonal/>
    </border>
    <border>
      <left/>
      <right/>
      <top/>
      <bottom style="thin">
        <color rgb="FF2E7D32"/>
      </bottom>
      <diagonal/>
    </border>
    <border>
      <left/>
      <right style="thin">
        <color rgb="FF2E7D32"/>
      </right>
      <top/>
      <bottom style="thin">
        <color rgb="FF2E7D3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164" fontId="0" fillId="0" borderId="0" xfId="0" applyNumberFormat="1"/>
    <xf numFmtId="2" fontId="0" fillId="0" borderId="0" xfId="0" applyNumberFormat="1"/>
    <xf numFmtId="3" fontId="0" fillId="0" borderId="0" xfId="0" applyNumberFormat="1"/>
    <xf numFmtId="9" fontId="0" fillId="0" borderId="0" xfId="1" applyFon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vertical="center"/>
    </xf>
    <xf numFmtId="3" fontId="13" fillId="0" borderId="1" xfId="0" applyNumberFormat="1" applyFont="1" applyBorder="1" applyAlignment="1">
      <alignment vertical="center"/>
    </xf>
    <xf numFmtId="10" fontId="13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1" xfId="0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0" fillId="0" borderId="0" xfId="0" applyFont="1"/>
    <xf numFmtId="0" fontId="9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5" borderId="24" xfId="0" applyFill="1" applyBorder="1"/>
    <xf numFmtId="0" fontId="0" fillId="5" borderId="25" xfId="0" applyFill="1" applyBorder="1"/>
    <xf numFmtId="0" fontId="0" fillId="5" borderId="26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0" xfId="0" applyFill="1"/>
    <xf numFmtId="0" fontId="0" fillId="5" borderId="23" xfId="0" applyFill="1" applyBorder="1"/>
    <xf numFmtId="0" fontId="17" fillId="5" borderId="22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7" borderId="27" xfId="0" applyFill="1" applyBorder="1"/>
    <xf numFmtId="0" fontId="0" fillId="7" borderId="28" xfId="0" applyFill="1" applyBorder="1"/>
    <xf numFmtId="0" fontId="0" fillId="7" borderId="29" xfId="0" applyFill="1" applyBorder="1"/>
    <xf numFmtId="0" fontId="0" fillId="7" borderId="30" xfId="0" applyFill="1" applyBorder="1"/>
    <xf numFmtId="0" fontId="0" fillId="7" borderId="0" xfId="0" applyFill="1" applyBorder="1"/>
    <xf numFmtId="0" fontId="0" fillId="7" borderId="31" xfId="0" applyFill="1" applyBorder="1"/>
    <xf numFmtId="0" fontId="0" fillId="7" borderId="32" xfId="0" applyFill="1" applyBorder="1"/>
    <xf numFmtId="0" fontId="0" fillId="7" borderId="33" xfId="0" applyFill="1" applyBorder="1"/>
    <xf numFmtId="0" fontId="0" fillId="7" borderId="34" xfId="0" applyFill="1" applyBorder="1"/>
    <xf numFmtId="0" fontId="6" fillId="7" borderId="3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2" fontId="20" fillId="6" borderId="6" xfId="0" applyNumberFormat="1" applyFont="1" applyFill="1" applyBorder="1" applyAlignment="1">
      <alignment horizontal="center" vertical="center"/>
    </xf>
    <xf numFmtId="2" fontId="20" fillId="6" borderId="0" xfId="0" applyNumberFormat="1" applyFont="1" applyFill="1" applyAlignment="1">
      <alignment horizontal="center" vertical="center"/>
    </xf>
    <xf numFmtId="2" fontId="20" fillId="6" borderId="7" xfId="0" applyNumberFormat="1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3" fillId="7" borderId="30" xfId="0" applyFont="1" applyFill="1" applyBorder="1" applyAlignment="1">
      <alignment horizontal="center" vertical="center"/>
    </xf>
    <xf numFmtId="0" fontId="23" fillId="7" borderId="0" xfId="0" applyFont="1" applyFill="1" applyBorder="1" applyAlignment="1">
      <alignment horizontal="center" vertical="center"/>
    </xf>
    <xf numFmtId="0" fontId="23" fillId="7" borderId="3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10" fontId="25" fillId="4" borderId="14" xfId="0" applyNumberFormat="1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4" borderId="0" xfId="0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13">
    <dxf>
      <font>
        <color rgb="FFC00000"/>
      </font>
      <fill>
        <patternFill patternType="none">
          <bgColor auto="1"/>
        </patternFill>
      </fill>
    </dxf>
    <dxf>
      <font>
        <color rgb="FF00B050"/>
      </font>
    </dxf>
    <dxf>
      <numFmt numFmtId="166" formatCode="mmm/yyyy"/>
      <alignment horizontal="left" vertical="bottom" textRotation="0" wrapText="0" indent="0" justifyLastLine="0" shrinkToFit="0" readingOrder="0"/>
    </dxf>
    <dxf>
      <numFmt numFmtId="19" formatCode="d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[$-409]d/mmm/yy;@"/>
    </dxf>
    <dxf>
      <numFmt numFmtId="2" formatCode="0.00"/>
    </dxf>
  </dxfs>
  <tableStyles count="1" defaultTableStyle="TableStyleMedium9" defaultPivotStyle="PivotStyleLight16">
    <tableStyle name="PivotTable Style 1" table="0" count="0" xr9:uid="{152F6CB2-4C34-4646-946E-6FBA53293F56}"/>
  </tableStyles>
  <colors>
    <mruColors>
      <color rgb="FF424242"/>
      <color rgb="FF1B2A4A"/>
      <color rgb="FFC62828"/>
      <color rgb="FFE65100"/>
      <color rgb="FF2E7D32"/>
      <color rgb="FF00695C"/>
      <color rgb="FF1565C0"/>
      <color rgb="FFE8F5E9"/>
      <color rgb="FFFFEBEE"/>
      <color rgb="FFFFF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[nifty_stocks_data cleaned.xlsx]Analysis!PivotTable4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1B2A4A"/>
                </a:solidFill>
              </a:rPr>
              <a:t>Average Closing Price by Company (₹)</a:t>
            </a:r>
            <a:endParaRPr lang="en-US" sz="1400" b="1">
              <a:solidFill>
                <a:srgbClr val="1B2A4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7D32"/>
          </a:solidFill>
          <a:ln>
            <a:noFill/>
          </a:ln>
          <a:effectLst/>
        </c:spPr>
      </c:pivotFmt>
      <c:pivotFmt>
        <c:idx val="4"/>
        <c:spPr>
          <a:solidFill>
            <a:srgbClr val="C6282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255402449693787"/>
          <c:y val="0.28643299795858851"/>
          <c:w val="0.40240660542432194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Analysis!$H$7:$H$22</c:f>
              <c:strCache>
                <c:ptCount val="15"/>
                <c:pt idx="0">
                  <c:v>HDFC Bank</c:v>
                </c:pt>
                <c:pt idx="1">
                  <c:v>Wipro</c:v>
                </c:pt>
                <c:pt idx="2">
                  <c:v>ICICI Bank</c:v>
                </c:pt>
                <c:pt idx="3">
                  <c:v>Reliance</c:v>
                </c:pt>
                <c:pt idx="4">
                  <c:v>Tata Motors</c:v>
                </c:pt>
                <c:pt idx="5">
                  <c:v>Infosys</c:v>
                </c:pt>
                <c:pt idx="6">
                  <c:v>Bajaj Finance</c:v>
                </c:pt>
                <c:pt idx="7">
                  <c:v>Axis Bank</c:v>
                </c:pt>
                <c:pt idx="8">
                  <c:v>TCS</c:v>
                </c:pt>
                <c:pt idx="9">
                  <c:v>HCL Tech</c:v>
                </c:pt>
                <c:pt idx="10">
                  <c:v>Sun Pharma</c:v>
                </c:pt>
                <c:pt idx="11">
                  <c:v>Larsen &amp; Toubro</c:v>
                </c:pt>
                <c:pt idx="12">
                  <c:v>Hindustan Unilever</c:v>
                </c:pt>
                <c:pt idx="13">
                  <c:v>Asian Paints</c:v>
                </c:pt>
                <c:pt idx="14">
                  <c:v>Maruti</c:v>
                </c:pt>
              </c:strCache>
            </c:strRef>
          </c:cat>
          <c:val>
            <c:numRef>
              <c:f>Analysis!$I$7:$I$22</c:f>
              <c:numCache>
                <c:formatCode>#,##0</c:formatCode>
                <c:ptCount val="15"/>
                <c:pt idx="0">
                  <c:v>31462622.853658538</c:v>
                </c:pt>
                <c:pt idx="1">
                  <c:v>16233807.772357723</c:v>
                </c:pt>
                <c:pt idx="2">
                  <c:v>14015882.910569105</c:v>
                </c:pt>
                <c:pt idx="3">
                  <c:v>13761161.25203252</c:v>
                </c:pt>
                <c:pt idx="4">
                  <c:v>11699942.987804879</c:v>
                </c:pt>
                <c:pt idx="5">
                  <c:v>11431269</c:v>
                </c:pt>
                <c:pt idx="6">
                  <c:v>8280383.5853658533</c:v>
                </c:pt>
                <c:pt idx="7">
                  <c:v>6704586.3632653058</c:v>
                </c:pt>
                <c:pt idx="8">
                  <c:v>3789738.6666666665</c:v>
                </c:pt>
                <c:pt idx="9">
                  <c:v>3292512.987804878</c:v>
                </c:pt>
                <c:pt idx="10">
                  <c:v>2610641.5975609757</c:v>
                </c:pt>
                <c:pt idx="11">
                  <c:v>2251334.5650406503</c:v>
                </c:pt>
                <c:pt idx="12">
                  <c:v>1727407.1469387754</c:v>
                </c:pt>
                <c:pt idx="13">
                  <c:v>1199798.8780487804</c:v>
                </c:pt>
                <c:pt idx="14">
                  <c:v>437327.47154471546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8-4346-B780-CDB20308E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396543"/>
        <c:axId val="1303184591"/>
      </c:barChart>
      <c:catAx>
        <c:axId val="130739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184591"/>
        <c:crosses val="autoZero"/>
        <c:auto val="1"/>
        <c:lblAlgn val="ctr"/>
        <c:lblOffset val="100"/>
        <c:noMultiLvlLbl val="0"/>
      </c:catAx>
      <c:valAx>
        <c:axId val="130318459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965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1B2A4A"/>
                </a:solidFill>
              </a:rPr>
              <a:t>Monthly Price Trend — Top &amp; Bottom Performers</a:t>
            </a:r>
            <a:endParaRPr lang="en-IN" b="1">
              <a:solidFill>
                <a:srgbClr val="1B2A4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Sun Pharma</c:v>
                </c:pt>
              </c:strCache>
            </c:strRef>
          </c:tx>
          <c:spPr>
            <a:ln w="28575" cap="rnd">
              <a:solidFill>
                <a:srgbClr val="2E7D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ChartData!$A$2:$A$14</c:f>
              <c:numCache>
                <c:formatCode>mmm/yyyy</c:formatCode>
                <c:ptCount val="13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</c:numCache>
            </c:numRef>
          </c:cat>
          <c:val>
            <c:numRef>
              <c:f>ChartData!$B$2:$B$14</c:f>
              <c:numCache>
                <c:formatCode>General</c:formatCode>
                <c:ptCount val="13"/>
                <c:pt idx="0">
                  <c:v>1139.0382080078125</c:v>
                </c:pt>
                <c:pt idx="1">
                  <c:v>1207.9065406436011</c:v>
                </c:pt>
                <c:pt idx="2">
                  <c:v>1250.5302862870067</c:v>
                </c:pt>
                <c:pt idx="3">
                  <c:v>1253.7421597567472</c:v>
                </c:pt>
                <c:pt idx="4">
                  <c:v>1294.6415588378907</c:v>
                </c:pt>
                <c:pt idx="5">
                  <c:v>1357.4730834960938</c:v>
                </c:pt>
                <c:pt idx="6">
                  <c:v>1248.4003649259869</c:v>
                </c:pt>
                <c:pt idx="7">
                  <c:v>1315.5803955078125</c:v>
                </c:pt>
                <c:pt idx="8">
                  <c:v>1269.7260292454769</c:v>
                </c:pt>
                <c:pt idx="9">
                  <c:v>1324.9591296968006</c:v>
                </c:pt>
                <c:pt idx="10">
                  <c:v>1287.4211213485055</c:v>
                </c:pt>
                <c:pt idx="11">
                  <c:v>1246.5285877046131</c:v>
                </c:pt>
                <c:pt idx="12">
                  <c:v>1253.4125061035156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8B-483F-AC71-2BC4C9499387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Axis Bank</c:v>
                </c:pt>
              </c:strCache>
            </c:strRef>
          </c:tx>
          <c:spPr>
            <a:ln w="28575" cap="rnd">
              <a:solidFill>
                <a:srgbClr val="1565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ChartData!$A$2:$A$14</c:f>
              <c:numCache>
                <c:formatCode>mmm/yyyy</c:formatCode>
                <c:ptCount val="13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</c:numCache>
            </c:numRef>
          </c:cat>
          <c:val>
            <c:numRef>
              <c:f>ChartData!$C$2:$C$14</c:f>
              <c:numCache>
                <c:formatCode>General</c:formatCode>
                <c:ptCount val="13"/>
                <c:pt idx="0">
                  <c:v>3631.0425821940103</c:v>
                </c:pt>
                <c:pt idx="1">
                  <c:v>3803.5352143787204</c:v>
                </c:pt>
                <c:pt idx="2">
                  <c:v>3952.7655993009867</c:v>
                </c:pt>
                <c:pt idx="3">
                  <c:v>4002.109940962358</c:v>
                </c:pt>
                <c:pt idx="4">
                  <c:v>3905.127197265625</c:v>
                </c:pt>
                <c:pt idx="5">
                  <c:v>4159.3887695312496</c:v>
                </c:pt>
                <c:pt idx="6">
                  <c:v>3633.9428325452304</c:v>
                </c:pt>
                <c:pt idx="7">
                  <c:v>3921.5666625976564</c:v>
                </c:pt>
                <c:pt idx="8">
                  <c:v>3946.6900442023025</c:v>
                </c:pt>
                <c:pt idx="9">
                  <c:v>4072.1809430803573</c:v>
                </c:pt>
                <c:pt idx="10">
                  <c:v>3896.2347783627715</c:v>
                </c:pt>
                <c:pt idx="11">
                  <c:v>4056.4761904761904</c:v>
                </c:pt>
                <c:pt idx="12">
                  <c:v>3961.5111490885415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8B-483F-AC71-2BC4C9499387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Larsen &amp; Toubro</c:v>
                </c:pt>
              </c:strCache>
            </c:strRef>
          </c:tx>
          <c:spPr>
            <a:ln w="28575" cap="rnd">
              <a:solidFill>
                <a:srgbClr val="2E7D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ChartData!$A$2:$A$14</c:f>
              <c:numCache>
                <c:formatCode>mmm/yyyy</c:formatCode>
                <c:ptCount val="13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</c:numCache>
            </c:numRef>
          </c:cat>
          <c:val>
            <c:numRef>
              <c:f>ChartData!$D$2:$D$14</c:f>
              <c:numCache>
                <c:formatCode>General</c:formatCode>
                <c:ptCount val="13"/>
                <c:pt idx="0">
                  <c:v>1605.1144612630208</c:v>
                </c:pt>
                <c:pt idx="1">
                  <c:v>1656.8101283482142</c:v>
                </c:pt>
                <c:pt idx="2">
                  <c:v>1735.8558735094573</c:v>
                </c:pt>
                <c:pt idx="3">
                  <c:v>1756.547246759588</c:v>
                </c:pt>
                <c:pt idx="4">
                  <c:v>1667.17265625</c:v>
                </c:pt>
                <c:pt idx="5">
                  <c:v>1708.8368896484376</c:v>
                </c:pt>
                <c:pt idx="6">
                  <c:v>1779.2946970086348</c:v>
                </c:pt>
                <c:pt idx="7">
                  <c:v>1696.0848815917968</c:v>
                </c:pt>
                <c:pt idx="8">
                  <c:v>1847.2954422800165</c:v>
                </c:pt>
                <c:pt idx="9">
                  <c:v>1813.7655261811756</c:v>
                </c:pt>
                <c:pt idx="10">
                  <c:v>1938.580513332201</c:v>
                </c:pt>
                <c:pt idx="11">
                  <c:v>1927.0952439081102</c:v>
                </c:pt>
                <c:pt idx="12">
                  <c:v>1891.3888888888889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8B-483F-AC71-2BC4C9499387}"/>
            </c:ext>
          </c:extLst>
        </c:ser>
        <c:ser>
          <c:idx val="3"/>
          <c:order val="3"/>
          <c:tx>
            <c:strRef>
              <c:f>ChartData!$E$1</c:f>
              <c:strCache>
                <c:ptCount val="1"/>
                <c:pt idx="0">
                  <c:v>Wipro</c:v>
                </c:pt>
              </c:strCache>
            </c:strRef>
          </c:tx>
          <c:spPr>
            <a:ln w="28575" cap="rnd">
              <a:solidFill>
                <a:srgbClr val="E65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ChartData!$A$2:$A$14</c:f>
              <c:numCache>
                <c:formatCode>mmm/yyyy</c:formatCode>
                <c:ptCount val="13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</c:numCache>
            </c:numRef>
          </c:cat>
          <c:val>
            <c:numRef>
              <c:f>ChartData!$E$2:$E$14</c:f>
              <c:numCache>
                <c:formatCode>General</c:formatCode>
                <c:ptCount val="13"/>
                <c:pt idx="0">
                  <c:v>688.81937662760413</c:v>
                </c:pt>
                <c:pt idx="1">
                  <c:v>509.73823184058779</c:v>
                </c:pt>
                <c:pt idx="2">
                  <c:v>378.85204756887333</c:v>
                </c:pt>
                <c:pt idx="3">
                  <c:v>351.10791015625</c:v>
                </c:pt>
                <c:pt idx="4">
                  <c:v>349.93220520019531</c:v>
                </c:pt>
                <c:pt idx="5">
                  <c:v>375.35630950927737</c:v>
                </c:pt>
                <c:pt idx="6">
                  <c:v>323.34147563733552</c:v>
                </c:pt>
                <c:pt idx="7">
                  <c:v>338.59376831054686</c:v>
                </c:pt>
                <c:pt idx="8">
                  <c:v>356.25789280941609</c:v>
                </c:pt>
                <c:pt idx="9">
                  <c:v>373.39243861607144</c:v>
                </c:pt>
                <c:pt idx="10">
                  <c:v>335.06738944675612</c:v>
                </c:pt>
                <c:pt idx="11">
                  <c:v>331.44047473725817</c:v>
                </c:pt>
                <c:pt idx="12">
                  <c:v>307.14444647894965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8B-483F-AC71-2BC4C9499387}"/>
            </c:ext>
          </c:extLst>
        </c:ser>
        <c:ser>
          <c:idx val="4"/>
          <c:order val="4"/>
          <c:tx>
            <c:strRef>
              <c:f>ChartData!$F$1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rgbClr val="C628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ChartData!$A$2:$A$14</c:f>
              <c:numCache>
                <c:formatCode>mmm/yyyy</c:formatCode>
                <c:ptCount val="13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</c:numCache>
            </c:numRef>
          </c:cat>
          <c:val>
            <c:numRef>
              <c:f>ChartData!$F$2:$F$14</c:f>
              <c:numCache>
                <c:formatCode>General</c:formatCode>
                <c:ptCount val="13"/>
                <c:pt idx="0">
                  <c:v>238.83252461751303</c:v>
                </c:pt>
                <c:pt idx="1">
                  <c:v>235.29207865397134</c:v>
                </c:pt>
                <c:pt idx="2">
                  <c:v>235.14125141344573</c:v>
                </c:pt>
                <c:pt idx="3">
                  <c:v>251.84737673672763</c:v>
                </c:pt>
                <c:pt idx="4">
                  <c:v>245.43538284301758</c:v>
                </c:pt>
                <c:pt idx="5">
                  <c:v>216.47419967651368</c:v>
                </c:pt>
                <c:pt idx="6">
                  <c:v>192.11172645970396</c:v>
                </c:pt>
                <c:pt idx="7">
                  <c:v>200.12145919799804</c:v>
                </c:pt>
                <c:pt idx="8">
                  <c:v>195.19077019942435</c:v>
                </c:pt>
                <c:pt idx="9">
                  <c:v>182.91525268554688</c:v>
                </c:pt>
                <c:pt idx="10">
                  <c:v>175.12300176205844</c:v>
                </c:pt>
                <c:pt idx="11">
                  <c:v>182.79238092331659</c:v>
                </c:pt>
                <c:pt idx="12">
                  <c:v>172.87888760036893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8B-483F-AC71-2BC4C9499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818127"/>
        <c:axId val="1303088591"/>
      </c:lineChart>
      <c:dateAx>
        <c:axId val="1357818127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088591"/>
        <c:crosses val="autoZero"/>
        <c:auto val="1"/>
        <c:lblOffset val="100"/>
        <c:baseTimeUnit val="months"/>
      </c:dateAx>
      <c:valAx>
        <c:axId val="130308859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1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179070</xdr:rowOff>
    </xdr:from>
    <xdr:to>
      <xdr:col>8</xdr:col>
      <xdr:colOff>7620</xdr:colOff>
      <xdr:row>37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0503F-9F50-B049-669D-7136940A0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603646</xdr:colOff>
      <xdr:row>15</xdr:row>
      <xdr:rowOff>172642</xdr:rowOff>
    </xdr:from>
    <xdr:to>
      <xdr:col>17</xdr:col>
      <xdr:colOff>17858</xdr:colOff>
      <xdr:row>36</xdr:row>
      <xdr:rowOff>178594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5B355BE-BB2A-E746-5531-AA0A906F1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ayan" refreshedDate="46282.801372222224" createdVersion="8" refreshedVersion="8" minRefreshableVersion="3" recordCount="3688" xr:uid="{61DE2887-52E7-4980-9FA7-1E3D689AEB41}">
  <cacheSource type="worksheet">
    <worksheetSource name="StockData"/>
  </cacheSource>
  <cacheFields count="15">
    <cacheField name="Date" numFmtId="165">
      <sharedItems containsSemiMixedTypes="0" containsNonDate="0" containsDate="1" containsString="0" minDate="2025-09-15T00:00:00" maxDate="2026-09-12T00:00:00"/>
    </cacheField>
    <cacheField name="Company" numFmtId="0">
      <sharedItems count="15">
        <s v="Reliance"/>
        <s v="TCS"/>
        <s v="Infosys"/>
        <s v="HDFC Bank"/>
        <s v="ICICI Bank"/>
        <s v="Wipro"/>
        <s v="HCL Tech"/>
        <s v="Bajaj Finance"/>
        <s v="Maruti"/>
        <s v="Tata Motors"/>
        <s v="Sun Pharma"/>
        <s v="Asian Paints"/>
        <s v="Hindustan Unilever"/>
        <s v="Larsen &amp; Toubro"/>
        <s v="Axis Bank"/>
      </sharedItems>
    </cacheField>
    <cacheField name="Ticker" numFmtId="0">
      <sharedItems/>
    </cacheField>
    <cacheField name="Open" numFmtId="2">
      <sharedItems containsSemiMixedTypes="0" containsString="0" containsNumber="1" minValue="165.19999694824219" maxValue="17058.679159276649"/>
    </cacheField>
    <cacheField name="High" numFmtId="2">
      <sharedItems containsSemiMixedTypes="0" containsString="0" containsNumber="1" minValue="167.75" maxValue="17197.286032907679"/>
    </cacheField>
    <cacheField name="Low" numFmtId="2">
      <sharedItems containsSemiMixedTypes="0" containsString="0" containsNumber="1" minValue="165.1600036621094" maxValue="16971.553977272732"/>
    </cacheField>
    <cacheField name="Close" numFmtId="2">
      <sharedItems containsSemiMixedTypes="0" containsString="0" containsNumber="1" minValue="166.30000305175781" maxValue="17120.0625"/>
    </cacheField>
    <cacheField name="Volume" numFmtId="3">
      <sharedItems containsSemiMixedTypes="0" containsString="0" containsNumber="1" containsInteger="1" minValue="28990" maxValue="171637393"/>
    </cacheField>
    <cacheField name="Intraday Return (%)" numFmtId="9">
      <sharedItems containsSemiMixedTypes="0" containsString="0" containsNumber="1" minValue="-10.24" maxValue="0"/>
    </cacheField>
    <cacheField name="Price Range" numFmtId="2">
      <sharedItems containsSemiMixedTypes="0" containsString="0" containsNumber="1" minValue="0" maxValue="590"/>
    </cacheField>
    <cacheField name="Month" numFmtId="166">
      <sharedItems containsSemiMixedTypes="0" containsNonDate="0" containsDate="1" containsString="0" minDate="2025-09-01T00:00:00" maxDate="2026-09-02T00:00:00" count="13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</sharedItems>
      <fieldGroup par="14"/>
    </cacheField>
    <cacheField name="Quarter" numFmtId="0">
      <sharedItems/>
    </cacheField>
    <cacheField name="Months (Month)" numFmtId="0" databaseField="0">
      <fieldGroup base="10">
        <rangePr groupBy="months" startDate="2025-09-01T00:00:00" endDate="2026-09-02T00:00:00"/>
        <groupItems count="14">
          <s v="&lt;01-09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6"/>
        </groupItems>
      </fieldGroup>
    </cacheField>
    <cacheField name="Quarters (Month)" numFmtId="0" databaseField="0">
      <fieldGroup base="10">
        <rangePr groupBy="quarters" startDate="2025-09-01T00:00:00" endDate="2026-09-02T00:00:00"/>
        <groupItems count="6">
          <s v="&lt;01-09-2025"/>
          <s v="Qtr1"/>
          <s v="Qtr2"/>
          <s v="Qtr3"/>
          <s v="Qtr4"/>
          <s v="&gt;02-09-2026"/>
        </groupItems>
      </fieldGroup>
    </cacheField>
    <cacheField name="Years (Month)" numFmtId="0" databaseField="0">
      <fieldGroup base="10">
        <rangePr groupBy="years" startDate="2025-09-01T00:00:00" endDate="2026-09-02T00:00:00"/>
        <groupItems count="4">
          <s v="&lt;01-09-2025"/>
          <s v="2025"/>
          <s v="2026"/>
          <s v="&gt;02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8">
  <r>
    <d v="2025-09-15T00:00:00"/>
    <x v="0"/>
    <s v="RELIANCE.NS"/>
    <n v="1386.5889315301861"/>
    <n v="1394.353081832033"/>
    <n v="1382.2091575524389"/>
    <n v="1392.859985351562"/>
    <n v="5396697"/>
    <n v="-0.32"/>
    <n v="1.49"/>
    <x v="0"/>
    <s v="Q3-2025"/>
  </r>
  <r>
    <d v="2025-09-15T00:00:00"/>
    <x v="1"/>
    <s v="TCS.NS"/>
    <n v="3009.0844623500611"/>
    <n v="3009.0844623500611"/>
    <n v="2972.599073208612"/>
    <n v="2987.865234375"/>
    <n v="1732539"/>
    <n v="-1.21"/>
    <n v="21.22"/>
    <x v="0"/>
    <s v="Q3-2025"/>
  </r>
  <r>
    <d v="2025-09-15T00:00:00"/>
    <x v="2"/>
    <s v="INFY.NS"/>
    <n v="1470.7703889313759"/>
    <n v="1472.6021270614031"/>
    <n v="1447.2472937742571"/>
    <n v="1454.188598632812"/>
    <n v="6167414"/>
    <n v="-1.6"/>
    <n v="18.41"/>
    <x v="0"/>
    <s v="Q3-2025"/>
  </r>
  <r>
    <d v="2025-09-15T00:00:00"/>
    <x v="3"/>
    <s v="HDFCBANK.NS"/>
    <n v="953.82423343293306"/>
    <n v="956.52948993869506"/>
    <n v="949.29910111285892"/>
    <n v="951.31573486328125"/>
    <n v="14486377"/>
    <n v="-0.47"/>
    <n v="5.21"/>
    <x v="0"/>
    <s v="Q3-2025"/>
  </r>
  <r>
    <d v="2025-09-15T00:00:00"/>
    <x v="4"/>
    <s v="ICICIBANK.NS"/>
    <n v="1410.112053217633"/>
    <n v="1414.8719735471491"/>
    <n v="1404.459753744909"/>
    <n v="1407.533813476562"/>
    <n v="5845637"/>
    <n v="-0.4"/>
    <n v="7.34"/>
    <x v="0"/>
    <s v="Q3-2025"/>
  </r>
  <r>
    <d v="2025-09-15T00:00:00"/>
    <x v="5"/>
    <s v="WIPRO.NS"/>
    <n v="242.40189244691149"/>
    <n v="242.68139511631699"/>
    <n v="240.57063154772499"/>
    <n v="242.1898498535156"/>
    <n v="3700703"/>
    <n v="-0.76"/>
    <n v="0.49"/>
    <x v="0"/>
    <s v="Q3-2025"/>
  </r>
  <r>
    <d v="2025-09-15T00:00:00"/>
    <x v="6"/>
    <s v="HCLTECH.NS"/>
    <n v="1403.6331265794311"/>
    <n v="1404.685562214773"/>
    <n v="1389.0917172983079"/>
    <n v="1402.963500976562"/>
    <n v="1725617"/>
    <n v="-1.04"/>
    <n v="1.72"/>
    <x v="0"/>
    <s v="Q3-2025"/>
  </r>
  <r>
    <d v="2025-09-15T00:00:00"/>
    <x v="7"/>
    <s v="BAJFINANCE.NS"/>
    <n v="992.89642904588118"/>
    <n v="1019.433252043132"/>
    <n v="992.00190349355205"/>
    <n v="1003.680114746094"/>
    <n v="9989753"/>
    <n v="-0.09"/>
    <n v="15.75"/>
    <x v="0"/>
    <s v="Q3-2025"/>
  </r>
  <r>
    <d v="2025-09-15T00:00:00"/>
    <x v="8"/>
    <s v="MARUTI.NS"/>
    <n v="15197.37162345439"/>
    <n v="15225.093213386421"/>
    <n v="15097.375888342411"/>
    <n v="15113.216796875"/>
    <n v="170587"/>
    <n v="-0.66"/>
    <n v="111.88"/>
    <x v="0"/>
    <s v="Q3-2025"/>
  </r>
  <r>
    <d v="2025-09-15T00:00:00"/>
    <x v="9"/>
    <s v="TMPV.NS"/>
    <n v="709.41519194806904"/>
    <n v="716.01050639888786"/>
    <n v="705.69604331783682"/>
    <n v="707.03497314453125"/>
    <n v="6007524"/>
    <n v="-0.52"/>
    <n v="8.98"/>
    <x v="0"/>
    <s v="Q3-2025"/>
  </r>
  <r>
    <d v="2025-09-15T00:00:00"/>
    <x v="10"/>
    <s v="SUNPHARMA.NS"/>
    <n v="1601.9680748566821"/>
    <n v="1602.4635493398721"/>
    <n v="1580.960005155607"/>
    <n v="1587.500244140625"/>
    <n v="2005917"/>
    <n v="-1.31"/>
    <n v="14.96"/>
    <x v="0"/>
    <s v="Q3-2025"/>
  </r>
  <r>
    <d v="2025-09-15T00:00:00"/>
    <x v="11"/>
    <s v="ASIANPAINT.NS"/>
    <n v="2509.378253601792"/>
    <n v="2517.692928155775"/>
    <n v="2472.654584050767"/>
    <n v="2477.2080078125"/>
    <n v="583051"/>
    <n v="-1.46"/>
    <n v="40.479999999999997"/>
    <x v="0"/>
    <s v="Q3-2025"/>
  </r>
  <r>
    <d v="2025-09-15T00:00:00"/>
    <x v="12"/>
    <s v="HINDUNILVR.NS"/>
    <n v="2534.592147099977"/>
    <n v="2547.2625563922938"/>
    <n v="2522.707313734863"/>
    <n v="2535.083251953125"/>
    <n v="752745"/>
    <n v="-0.47"/>
    <n v="12.18"/>
    <x v="0"/>
    <s v="Q3-2025"/>
  </r>
  <r>
    <d v="2025-09-15T00:00:00"/>
    <x v="13"/>
    <s v="LT.NS"/>
    <n v="3546.3613337803781"/>
    <n v="3572.1098382981909"/>
    <n v="3540.9145347477629"/>
    <n v="3551.510986328125"/>
    <n v="1177076"/>
    <n v="-0.15"/>
    <n v="20.6"/>
    <x v="0"/>
    <s v="Q3-2025"/>
  </r>
  <r>
    <d v="2025-09-15T00:00:00"/>
    <x v="14"/>
    <s v="AXISBANK.NS"/>
    <n v="1104.148463427264"/>
    <n v="1109.1446103205999"/>
    <n v="1099.1523165339279"/>
    <n v="1103.548950195312"/>
    <n v="3881807"/>
    <n v="-0.45"/>
    <n v="5.6"/>
    <x v="0"/>
    <s v="Q3-2025"/>
  </r>
  <r>
    <d v="2025-09-16T00:00:00"/>
    <x v="0"/>
    <s v="RELIANCE.NS"/>
    <n v="1398.235061650764"/>
    <n v="1401.519922572696"/>
    <n v="1391.764976780933"/>
    <n v="1398.832397460938"/>
    <n v="8686961"/>
    <n v="-0.46"/>
    <n v="2.69"/>
    <x v="0"/>
    <s v="Q3-2025"/>
  </r>
  <r>
    <d v="2025-09-16T00:00:00"/>
    <x v="1"/>
    <s v="TCS.NS"/>
    <n v="3003.323408916267"/>
    <n v="3024.446527521176"/>
    <n v="2985.176823514983"/>
    <n v="3020.31787109375"/>
    <n v="2573429"/>
    <n v="-0.6"/>
    <n v="4.13"/>
    <x v="0"/>
    <s v="Q3-2025"/>
  </r>
  <r>
    <d v="2025-09-16T00:00:00"/>
    <x v="2"/>
    <s v="INFY.NS"/>
    <n v="1454.1886984360899"/>
    <n v="1459.5874130189479"/>
    <n v="1449.4647790449069"/>
    <n v="1456.984497070312"/>
    <n v="8923112"/>
    <n v="-0.32"/>
    <n v="2.6"/>
    <x v="0"/>
    <s v="Q3-2025"/>
  </r>
  <r>
    <d v="2025-09-16T00:00:00"/>
    <x v="3"/>
    <s v="HDFCBANK.NS"/>
    <n v="945.56098187939199"/>
    <n v="953.57834275847176"/>
    <n v="945.56098187939199"/>
    <n v="951.1190185546875"/>
    <n v="18661794"/>
    <n v="0"/>
    <n v="2.46"/>
    <x v="0"/>
    <s v="Q3-2025"/>
  </r>
  <r>
    <d v="2025-09-16T00:00:00"/>
    <x v="4"/>
    <s v="ICICIBANK.NS"/>
    <n v="1402.178892603454"/>
    <n v="1412.987792293879"/>
    <n v="1401.8813521978341"/>
    <n v="1409.71533203125"/>
    <n v="8213151"/>
    <n v="-0.02"/>
    <n v="3.27"/>
    <x v="0"/>
    <s v="Q3-2025"/>
  </r>
  <r>
    <d v="2025-09-16T00:00:00"/>
    <x v="5"/>
    <s v="WIPRO.NS"/>
    <n v="242.88379333468251"/>
    <n v="245.29335477649491"/>
    <n v="241.1489061552185"/>
    <n v="244.8210754394531"/>
    <n v="7316998"/>
    <n v="-0.71"/>
    <n v="0.47"/>
    <x v="0"/>
    <s v="Q3-2025"/>
  </r>
  <r>
    <d v="2025-09-16T00:00:00"/>
    <x v="6"/>
    <s v="HCLTECH.NS"/>
    <n v="1400.476130571765"/>
    <n v="1420.853231814853"/>
    <n v="1397.797394672574"/>
    <n v="1418.84423828125"/>
    <n v="1724524"/>
    <n v="-0.19"/>
    <n v="2.0099999999999998"/>
    <x v="0"/>
    <s v="Q3-2025"/>
  </r>
  <r>
    <d v="2025-09-16T00:00:00"/>
    <x v="7"/>
    <s v="BAJFINANCE.NS"/>
    <n v="999.70457401700128"/>
    <n v="1009.096849860506"/>
    <n v="993.89033979410669"/>
    <n v="997.1204833984375"/>
    <n v="7602155"/>
    <n v="-0.57999999999999996"/>
    <n v="11.98"/>
    <x v="0"/>
    <s v="Q3-2025"/>
  </r>
  <r>
    <d v="2025-09-16T00:00:00"/>
    <x v="8"/>
    <s v="MARUTI.NS"/>
    <n v="15147.868794849261"/>
    <n v="15438.945489338519"/>
    <n v="15132.02788630563"/>
    <n v="15418.154296875"/>
    <n v="381944"/>
    <n v="-0.1"/>
    <n v="20.79"/>
    <x v="0"/>
    <s v="Q3-2025"/>
  </r>
  <r>
    <d v="2025-09-16T00:00:00"/>
    <x v="9"/>
    <s v="TMPV.NS"/>
    <n v="709.1176827982606"/>
    <n v="713.77902792465716"/>
    <n v="699.19995296891432"/>
    <n v="707.382080078125"/>
    <n v="9765743"/>
    <n v="-1.4"/>
    <n v="6.4"/>
    <x v="0"/>
    <s v="Q3-2025"/>
  </r>
  <r>
    <d v="2025-09-16T00:00:00"/>
    <x v="10"/>
    <s v="SUNPHARMA.NS"/>
    <n v="1587.995747966228"/>
    <n v="1600.382610274856"/>
    <n v="1585.518375504502"/>
    <n v="1595.92333984375"/>
    <n v="1480567"/>
    <n v="-0.16"/>
    <n v="4.46"/>
    <x v="0"/>
    <s v="Q3-2025"/>
  </r>
  <r>
    <d v="2025-09-16T00:00:00"/>
    <x v="11"/>
    <s v="ASIANPAINT.NS"/>
    <n v="2469.6853071601922"/>
    <n v="2484.434032569603"/>
    <n v="2449.393303634427"/>
    <n v="2455.728271484375"/>
    <n v="760790"/>
    <n v="-0.82"/>
    <n v="28.71"/>
    <x v="0"/>
    <s v="Q3-2025"/>
  </r>
  <r>
    <d v="2025-09-16T00:00:00"/>
    <x v="12"/>
    <s v="HINDUNILVR.NS"/>
    <n v="2542.155286724817"/>
    <n v="2543.923312275821"/>
    <n v="2526.8329581431622"/>
    <n v="2534.985107421875"/>
    <n v="1040928"/>
    <n v="-0.6"/>
    <n v="8.94"/>
    <x v="0"/>
    <s v="Q3-2025"/>
  </r>
  <r>
    <d v="2025-09-16T00:00:00"/>
    <x v="13"/>
    <s v="LT.NS"/>
    <n v="3569.0397307325102"/>
    <n v="3638.4617569937491"/>
    <n v="3558.3443915004818"/>
    <n v="3632.32177734375"/>
    <n v="2928060"/>
    <n v="-0.3"/>
    <n v="6.14"/>
    <x v="0"/>
    <s v="Q3-2025"/>
  </r>
  <r>
    <d v="2025-09-16T00:00:00"/>
    <x v="14"/>
    <s v="AXISBANK.NS"/>
    <n v="1104.847882034871"/>
    <n v="1126.231415265846"/>
    <n v="1103.1492408711281"/>
    <n v="1120.3359375"/>
    <n v="7965606"/>
    <n v="-0.15"/>
    <n v="5.9"/>
    <x v="0"/>
    <s v="Q3-2025"/>
  </r>
  <r>
    <d v="2025-09-17T00:00:00"/>
    <x v="0"/>
    <s v="RELIANCE.NS"/>
    <n v="1400.5245819104889"/>
    <n v="1409.682192264851"/>
    <n v="1400.425066440911"/>
    <n v="1407.293334960938"/>
    <n v="7519417"/>
    <n v="-0.01"/>
    <n v="2.39"/>
    <x v="0"/>
    <s v="Q3-2025"/>
  </r>
  <r>
    <d v="2025-09-17T00:00:00"/>
    <x v="1"/>
    <s v="TCS.NS"/>
    <n v="3026.366894691811"/>
    <n v="3055.555111079816"/>
    <n v="3017.1494398273808"/>
    <n v="3046.337890625"/>
    <n v="2418271"/>
    <n v="-0.3"/>
    <n v="9.2200000000000006"/>
    <x v="0"/>
    <s v="Q3-2025"/>
  </r>
  <r>
    <d v="2025-09-17T00:00:00"/>
    <x v="2"/>
    <s v="INFY.NS"/>
    <n v="1462.3832147820151"/>
    <n v="1471.8309359014429"/>
    <n v="1459.5874161418101"/>
    <n v="1467.685546875"/>
    <n v="4795698"/>
    <n v="-0.19"/>
    <n v="4.1500000000000004"/>
    <x v="0"/>
    <s v="Q3-2025"/>
  </r>
  <r>
    <d v="2025-09-17T00:00:00"/>
    <x v="3"/>
    <s v="HDFCBANK.NS"/>
    <n v="949.44670821014029"/>
    <n v="958.54620759240004"/>
    <n v="948.65967644610771"/>
    <n v="950.77471923828125"/>
    <n v="17361476"/>
    <n v="-0.08"/>
    <n v="7.77"/>
    <x v="0"/>
    <s v="Q3-2025"/>
  </r>
  <r>
    <d v="2025-09-17T00:00:00"/>
    <x v="4"/>
    <s v="ICICIBANK.NS"/>
    <n v="1408.227949434824"/>
    <n v="1414.177789475573"/>
    <n v="1404.558929829617"/>
    <n v="1407.33544921875"/>
    <n v="7484283"/>
    <n v="-0.26"/>
    <n v="6.84"/>
    <x v="0"/>
    <s v="Q3-2025"/>
  </r>
  <r>
    <d v="2025-09-17T00:00:00"/>
    <x v="5"/>
    <s v="WIPRO.NS"/>
    <n v="244.13676684961209"/>
    <n v="246.25717796509531"/>
    <n v="243.70304873388989"/>
    <n v="244.95600891113281"/>
    <n v="7339871"/>
    <n v="-0.18"/>
    <n v="1.3"/>
    <x v="0"/>
    <s v="Q3-2025"/>
  </r>
  <r>
    <d v="2025-09-17T00:00:00"/>
    <x v="6"/>
    <s v="HCLTECH.NS"/>
    <n v="1426.2108430840301"/>
    <n v="1434.055529756318"/>
    <n v="1411.382383636917"/>
    <n v="1417.313720703125"/>
    <n v="2656774"/>
    <n v="-1.04"/>
    <n v="16.739999999999998"/>
    <x v="0"/>
    <s v="Q3-2025"/>
  </r>
  <r>
    <d v="2025-09-17T00:00:00"/>
    <x v="7"/>
    <s v="BAJFINANCE.NS"/>
    <n v="1003.829269371317"/>
    <n v="1005.618259897151"/>
    <n v="994.23820307727328"/>
    <n v="1001.344543457031"/>
    <n v="6995023"/>
    <n v="-0.96"/>
    <n v="4.2699999999999996"/>
    <x v="0"/>
    <s v="Q3-2025"/>
  </r>
  <r>
    <d v="2025-09-17T00:00:00"/>
    <x v="8"/>
    <s v="MARUTI.NS"/>
    <n v="15436.96582148677"/>
    <n v="15660.71866112608"/>
    <n v="15415.18457161038"/>
    <n v="15643.8876953125"/>
    <n v="624986"/>
    <n v="-0.14000000000000001"/>
    <n v="16.829999999999998"/>
    <x v="0"/>
    <s v="Q3-2025"/>
  </r>
  <r>
    <d v="2025-09-17T00:00:00"/>
    <x v="9"/>
    <s v="TMPV.NS"/>
    <n v="709.11763867154787"/>
    <n v="717.00224550184146"/>
    <n v="708.42338552009153"/>
    <n v="713.2335205078125"/>
    <n v="11872451"/>
    <n v="-0.1"/>
    <n v="3.77"/>
    <x v="0"/>
    <s v="Q3-2025"/>
  </r>
  <r>
    <d v="2025-09-17T00:00:00"/>
    <x v="10"/>
    <s v="SUNPHARMA.NS"/>
    <n v="1598.0044557468259"/>
    <n v="1607.4184719687221"/>
    <n v="1592.851568937868"/>
    <n v="1605.53564453125"/>
    <n v="2128406"/>
    <n v="-0.32"/>
    <n v="1.88"/>
    <x v="0"/>
    <s v="Q3-2025"/>
  </r>
  <r>
    <d v="2025-09-17T00:00:00"/>
    <x v="11"/>
    <s v="ASIANPAINT.NS"/>
    <n v="2456.8169166653779"/>
    <n v="2471.5656403296748"/>
    <n v="2455.6291405419952"/>
    <n v="2468.29931640625"/>
    <n v="359627"/>
    <n v="-0.05"/>
    <n v="3.27"/>
    <x v="0"/>
    <s v="Q3-2025"/>
  </r>
  <r>
    <d v="2025-09-17T00:00:00"/>
    <x v="12"/>
    <s v="HINDUNILVR.NS"/>
    <n v="2540.9764060412949"/>
    <n v="2545.003561590966"/>
    <n v="2520.8411078875092"/>
    <n v="2523.984130859375"/>
    <n v="970247"/>
    <n v="-0.79"/>
    <n v="21.02"/>
    <x v="0"/>
    <s v="Q3-2025"/>
  </r>
  <r>
    <d v="2025-09-17T00:00:00"/>
    <x v="13"/>
    <s v="LT.NS"/>
    <n v="3636.481169871794"/>
    <n v="3668.1716375830961"/>
    <n v="3627.2710793373822"/>
    <n v="3649.8505859375"/>
    <n v="1610471"/>
    <n v="-0.25"/>
    <n v="18.32"/>
    <x v="0"/>
    <s v="Q3-2025"/>
  </r>
  <r>
    <d v="2025-09-17T00:00:00"/>
    <x v="14"/>
    <s v="AXISBANK.NS"/>
    <n v="1120.4359947465241"/>
    <n v="1127.6303977627531"/>
    <n v="1115.23992858925"/>
    <n v="1125.13232421875"/>
    <n v="5590739"/>
    <n v="-0.46"/>
    <n v="2.5"/>
    <x v="0"/>
    <s v="Q3-2025"/>
  </r>
  <r>
    <d v="2025-09-18T00:00:00"/>
    <x v="0"/>
    <s v="RELIANCE.NS"/>
    <n v="1413.8628424954391"/>
    <n v="1415.455454429384"/>
    <n v="1404.207412411741"/>
    <n v="1408.487670898438"/>
    <n v="9332642"/>
    <n v="-0.68"/>
    <n v="6.97"/>
    <x v="0"/>
    <s v="Q3-2025"/>
  </r>
  <r>
    <d v="2025-09-18T00:00:00"/>
    <x v="1"/>
    <s v="TCS.NS"/>
    <n v="3058.051743641503"/>
    <n v="3075.3342966667929"/>
    <n v="3035.3923025778281"/>
    <n v="3050.08251953125"/>
    <n v="2633138"/>
    <n v="-0.74"/>
    <n v="25.25"/>
    <x v="0"/>
    <s v="Q3-2025"/>
  </r>
  <r>
    <d v="2025-09-18T00:00:00"/>
    <x v="2"/>
    <s v="INFY.NS"/>
    <n v="1494.293513895343"/>
    <n v="1499.11381555307"/>
    <n v="1483.2068200825711"/>
    <n v="1485.231323242188"/>
    <n v="9331945"/>
    <n v="-0.74"/>
    <n v="13.88"/>
    <x v="0"/>
    <s v="Q3-2025"/>
  </r>
  <r>
    <d v="2025-09-18T00:00:00"/>
    <x v="3"/>
    <s v="HDFCBANK.NS"/>
    <n v="957.46409130462337"/>
    <n v="963.71081083551883"/>
    <n v="953.47999808503687"/>
    <n v="961.00555419921875"/>
    <n v="17791598"/>
    <n v="-0.42"/>
    <n v="2.71"/>
    <x v="0"/>
    <s v="Q3-2025"/>
  </r>
  <r>
    <d v="2025-09-18T00:00:00"/>
    <x v="4"/>
    <s v="ICICIBANK.NS"/>
    <n v="1419.135892763336"/>
    <n v="1420.821753289835"/>
    <n v="1403.468054354028"/>
    <n v="1409.814453125"/>
    <n v="8130537"/>
    <n v="-1.1000000000000001"/>
    <n v="11.01"/>
    <x v="0"/>
    <s v="Q3-2025"/>
  </r>
  <r>
    <d v="2025-09-18T00:00:00"/>
    <x v="5"/>
    <s v="WIPRO.NS"/>
    <n v="247.702927053092"/>
    <n v="250.4016242205289"/>
    <n v="246.73910243420841"/>
    <n v="247.63545227050781"/>
    <n v="10498239"/>
    <n v="-0.39"/>
    <n v="2.77"/>
    <x v="0"/>
    <s v="Q3-2025"/>
  </r>
  <r>
    <d v="2025-09-18T00:00:00"/>
    <x v="6"/>
    <s v="HCLTECH.NS"/>
    <n v="1427.932608787776"/>
    <n v="1437.786404737366"/>
    <n v="1421.714223346977"/>
    <n v="1429.080688476562"/>
    <n v="2792406"/>
    <n v="-0.44"/>
    <n v="8.7100000000000009"/>
    <x v="0"/>
    <s v="Q3-2025"/>
  </r>
  <r>
    <d v="2025-09-18T00:00:00"/>
    <x v="7"/>
    <s v="BAJFINANCE.NS"/>
    <n v="1000.847591937994"/>
    <n v="1003.630472811925"/>
    <n v="983.95145582781925"/>
    <n v="990.4117431640625"/>
    <n v="9738376"/>
    <n v="-1.69"/>
    <n v="13.22"/>
    <x v="0"/>
    <s v="Q3-2025"/>
  </r>
  <r>
    <d v="2025-09-18T00:00:00"/>
    <x v="8"/>
    <s v="MARUTI.NS"/>
    <n v="15757.744139513659"/>
    <n v="15780.51544607365"/>
    <n v="15546.862039632"/>
    <n v="15659.728515625"/>
    <n v="642175"/>
    <n v="-1.34"/>
    <n v="120.79"/>
    <x v="0"/>
    <s v="Q3-2025"/>
  </r>
  <r>
    <d v="2025-09-18T00:00:00"/>
    <x v="9"/>
    <s v="TMPV.NS"/>
    <n v="716.06007380001597"/>
    <n v="719.28333590507145"/>
    <n v="701.77851902902478"/>
    <n v="705.34893798828125"/>
    <n v="12199357"/>
    <n v="-1.99"/>
    <n v="13.93"/>
    <x v="0"/>
    <s v="Q3-2025"/>
  </r>
  <r>
    <d v="2025-09-18T00:00:00"/>
    <x v="10"/>
    <s v="SUNPHARMA.NS"/>
    <n v="1620.3007766166029"/>
    <n v="1636.3542238965811"/>
    <n v="1612.9677294120791"/>
    <n v="1633.678588867188"/>
    <n v="1832386"/>
    <n v="-0.45"/>
    <n v="2.68"/>
    <x v="0"/>
    <s v="Q3-2025"/>
  </r>
  <r>
    <d v="2025-09-18T00:00:00"/>
    <x v="11"/>
    <s v="ASIANPAINT.NS"/>
    <n v="2472.5556815149962"/>
    <n v="2480.771516291873"/>
    <n v="2444.2460081633121"/>
    <n v="2453.550537109375"/>
    <n v="400796"/>
    <n v="-1.1399999999999999"/>
    <n v="27.22"/>
    <x v="0"/>
    <s v="Q3-2025"/>
  </r>
  <r>
    <d v="2025-09-18T00:00:00"/>
    <x v="12"/>
    <s v="HINDUNILVR.NS"/>
    <n v="2525.1627516225931"/>
    <n v="2563.4689288578488"/>
    <n v="2525.1627516225931"/>
    <n v="2540.780029296875"/>
    <n v="1550153"/>
    <n v="0"/>
    <n v="22.69"/>
    <x v="0"/>
    <s v="Q3-2025"/>
  </r>
  <r>
    <d v="2025-09-18T00:00:00"/>
    <x v="13"/>
    <s v="LT.NS"/>
    <n v="3655.2973386419899"/>
    <n v="3664.2102825725719"/>
    <n v="3636.9762872291271"/>
    <n v="3650.345703125"/>
    <n v="1270148"/>
    <n v="-0.5"/>
    <n v="13.86"/>
    <x v="0"/>
    <s v="Q3-2025"/>
  </r>
  <r>
    <d v="2025-09-18T00:00:00"/>
    <x v="14"/>
    <s v="AXISBANK.NS"/>
    <n v="1128.1299137341059"/>
    <n v="1133.525776512138"/>
    <n v="1120.3358761684781"/>
    <n v="1132.126831054688"/>
    <n v="5713032"/>
    <n v="-0.69"/>
    <n v="1.4"/>
    <x v="0"/>
    <s v="Q3-2025"/>
  </r>
  <r>
    <d v="2025-09-19T00:00:00"/>
    <x v="0"/>
    <s v="RELIANCE.NS"/>
    <n v="1408.388212147388"/>
    <n v="1410.478522989142"/>
    <n v="1397.1401696768171"/>
    <n v="1400.922729492188"/>
    <n v="13461373"/>
    <n v="-0.8"/>
    <n v="9.56"/>
    <x v="0"/>
    <s v="Q3-2025"/>
  </r>
  <r>
    <d v="2025-09-19T00:00:00"/>
    <x v="1"/>
    <s v="TCS.NS"/>
    <n v="3043.6495079786728"/>
    <n v="3053.7309968852269"/>
    <n v="3018.685821162444"/>
    <n v="3042.88134765625"/>
    <n v="4901694"/>
    <n v="-0.82"/>
    <n v="10.85"/>
    <x v="0"/>
    <s v="Q3-2025"/>
  </r>
  <r>
    <d v="2025-09-19T00:00:00"/>
    <x v="2"/>
    <s v="INFY.NS"/>
    <n v="1489.087592199139"/>
    <n v="1495.546867150236"/>
    <n v="1465.4681136380059"/>
    <n v="1484.845703125"/>
    <n v="12988129"/>
    <n v="-1.59"/>
    <n v="10.7"/>
    <x v="0"/>
    <s v="Q3-2025"/>
  </r>
  <r>
    <d v="2025-09-19T00:00:00"/>
    <x v="3"/>
    <s v="HDFCBANK.NS"/>
    <n v="959.0380500102757"/>
    <n v="960.80875135377869"/>
    <n v="946.44626258516064"/>
    <n v="951.168212890625"/>
    <n v="31243267"/>
    <n v="-1.31"/>
    <n v="9.64"/>
    <x v="0"/>
    <s v="Q3-2025"/>
  </r>
  <r>
    <d v="2025-09-19T00:00:00"/>
    <x v="4"/>
    <s v="ICICIBANK.NS"/>
    <n v="1404.2613590690701"/>
    <n v="1406.145499251229"/>
    <n v="1388.4942590917649"/>
    <n v="1390.4775390625"/>
    <n v="13457344"/>
    <n v="-1.1200000000000001"/>
    <n v="15.67"/>
    <x v="0"/>
    <s v="Q3-2025"/>
  </r>
  <r>
    <d v="2025-09-19T00:00:00"/>
    <x v="5"/>
    <s v="WIPRO.NS"/>
    <n v="247.7029224504322"/>
    <n v="248.3390502167064"/>
    <n v="245.48612292683171"/>
    <n v="246.6234436035156"/>
    <n v="10741757"/>
    <n v="-0.89"/>
    <n v="1.72"/>
    <x v="0"/>
    <s v="Q3-2025"/>
  </r>
  <r>
    <d v="2025-09-19T00:00:00"/>
    <x v="6"/>
    <s v="HCLTECH.NS"/>
    <n v="1429.080698052655"/>
    <n v="1429.080698052655"/>
    <n v="1400.571745589634"/>
    <n v="1403.824462890625"/>
    <n v="3197957"/>
    <n v="-1.99"/>
    <n v="25.26"/>
    <x v="0"/>
    <s v="Q3-2025"/>
  </r>
  <r>
    <d v="2025-09-19T00:00:00"/>
    <x v="7"/>
    <s v="BAJFINANCE.NS"/>
    <n v="984.94532149189615"/>
    <n v="989.9147731644083"/>
    <n v="982.55996042418963"/>
    <n v="986.386474609375"/>
    <n v="6736440"/>
    <n v="-0.24"/>
    <n v="3.53"/>
    <x v="0"/>
    <s v="Q3-2025"/>
  </r>
  <r>
    <d v="2025-09-19T00:00:00"/>
    <x v="8"/>
    <s v="MARUTI.NS"/>
    <n v="15840.90944906707"/>
    <n v="15900.312859501069"/>
    <n v="15653.788706199961"/>
    <n v="15706.26171875"/>
    <n v="652443"/>
    <n v="-1.18"/>
    <n v="194.05"/>
    <x v="0"/>
    <s v="Q3-2025"/>
  </r>
  <r>
    <d v="2025-09-19T00:00:00"/>
    <x v="9"/>
    <s v="TMPV.NS"/>
    <n v="707.62997477064039"/>
    <n v="707.62997477064039"/>
    <n v="699.15032845497433"/>
    <n v="701.6297607421875"/>
    <n v="12127319"/>
    <n v="-1.2"/>
    <n v="6"/>
    <x v="0"/>
    <s v="Q3-2025"/>
  </r>
  <r>
    <d v="2025-09-19T00:00:00"/>
    <x v="10"/>
    <s v="SUNPHARMA.NS"/>
    <n v="1633.678549651192"/>
    <n v="1653.0020557715141"/>
    <n v="1628.2283299762289"/>
    <n v="1641.011596679688"/>
    <n v="3191406"/>
    <n v="-0.33"/>
    <n v="11.99"/>
    <x v="0"/>
    <s v="Q3-2025"/>
  </r>
  <r>
    <d v="2025-09-19T00:00:00"/>
    <x v="11"/>
    <s v="ASIANPAINT.NS"/>
    <n v="2449.8882911759451"/>
    <n v="2484.0382491741552"/>
    <n v="2443.4542411183111"/>
    <n v="2456.520263671875"/>
    <n v="3731525"/>
    <n v="-0.26"/>
    <n v="27.52"/>
    <x v="0"/>
    <s v="Q3-2025"/>
  </r>
  <r>
    <d v="2025-09-19T00:00:00"/>
    <x v="12"/>
    <s v="HINDUNILVR.NS"/>
    <n v="2553.7451395548428"/>
    <n v="2558.3614770399658"/>
    <n v="2509.3493104728082"/>
    <n v="2514.06396484375"/>
    <n v="2214708"/>
    <n v="-1.74"/>
    <n v="44.3"/>
    <x v="0"/>
    <s v="Q3-2025"/>
  </r>
  <r>
    <d v="2025-09-19T00:00:00"/>
    <x v="13"/>
    <s v="LT.NS"/>
    <n v="3643.4134188204171"/>
    <n v="3669.161923547063"/>
    <n v="3635.4908019814488"/>
    <n v="3639.84814453125"/>
    <n v="2227521"/>
    <n v="-0.22"/>
    <n v="29.31"/>
    <x v="0"/>
    <s v="Q3-2025"/>
  </r>
  <r>
    <d v="2025-09-19T00:00:00"/>
    <x v="14"/>
    <s v="AXISBANK.NS"/>
    <n v="1132.126868654216"/>
    <n v="1143.2182901919441"/>
    <n v="1125.7317763336489"/>
    <n v="1135.024658203125"/>
    <n v="8910732"/>
    <n v="-0.56000000000000005"/>
    <n v="8.19"/>
    <x v="0"/>
    <s v="Q3-2025"/>
  </r>
  <r>
    <d v="2025-09-22T00:00:00"/>
    <x v="0"/>
    <s v="RELIANCE.NS"/>
    <n v="1397.4387885526371"/>
    <n v="1404.2074196840811"/>
    <n v="1381.6119415772489"/>
    <n v="1384.199951171875"/>
    <n v="7757970"/>
    <n v="-1.1299999999999999"/>
    <n v="20.010000000000002"/>
    <x v="0"/>
    <s v="Q3-2025"/>
  </r>
  <r>
    <d v="2025-09-22T00:00:00"/>
    <x v="1"/>
    <s v="TCS.NS"/>
    <n v="2971.6388949892721"/>
    <n v="2983.0644887376602"/>
    <n v="2942.8346407567419"/>
    <n v="2951.283935546875"/>
    <n v="3634901"/>
    <n v="-0.97"/>
    <n v="31.78"/>
    <x v="0"/>
    <s v="Q3-2025"/>
  </r>
  <r>
    <d v="2025-09-22T00:00:00"/>
    <x v="2"/>
    <s v="INFY.NS"/>
    <n v="1429.412138564144"/>
    <n v="1460.2620677071909"/>
    <n v="1428.737343437396"/>
    <n v="1445.6083984375"/>
    <n v="15655204"/>
    <n v="-0.05"/>
    <n v="14.65"/>
    <x v="0"/>
    <s v="Q3-2025"/>
  </r>
  <r>
    <d v="2025-09-22T00:00:00"/>
    <x v="3"/>
    <s v="HDFCBANK.NS"/>
    <n v="948.31538805654304"/>
    <n v="955.39825358571591"/>
    <n v="946.29875427085801"/>
    <n v="948.51214599609375"/>
    <n v="10854415"/>
    <n v="-0.21"/>
    <n v="6.89"/>
    <x v="0"/>
    <s v="Q3-2025"/>
  </r>
  <r>
    <d v="2025-09-22T00:00:00"/>
    <x v="4"/>
    <s v="ICICIBANK.NS"/>
    <n v="1392.163407453779"/>
    <n v="1398.1132473992609"/>
    <n v="1385.519346884774"/>
    <n v="1389.783447265625"/>
    <n v="8847948"/>
    <n v="-0.48"/>
    <n v="8.33"/>
    <x v="0"/>
    <s v="Q3-2025"/>
  </r>
  <r>
    <d v="2025-09-22T00:00:00"/>
    <x v="5"/>
    <s v="WIPRO.NS"/>
    <n v="239.55860907387711"/>
    <n v="242.67175843739849"/>
    <n v="238.26708762979041"/>
    <n v="241.27421569824219"/>
    <n v="15784007"/>
    <n v="-0.54"/>
    <n v="1.4"/>
    <x v="0"/>
    <s v="Q3-2025"/>
  </r>
  <r>
    <d v="2025-09-22T00:00:00"/>
    <x v="6"/>
    <s v="HCLTECH.NS"/>
    <n v="1361.3480439968559"/>
    <n v="1386.4128734280901"/>
    <n v="1353.69464670102"/>
    <n v="1377.515869140625"/>
    <n v="4457129"/>
    <n v="-0.56000000000000005"/>
    <n v="8.9"/>
    <x v="0"/>
    <s v="Q3-2025"/>
  </r>
  <r>
    <d v="2025-09-22T00:00:00"/>
    <x v="7"/>
    <s v="BAJFINANCE.NS"/>
    <n v="983.90177365314719"/>
    <n v="1004.723788819952"/>
    <n v="982.95756567904323"/>
    <n v="1000.350646972656"/>
    <n v="4250045"/>
    <n v="-0.1"/>
    <n v="4.37"/>
    <x v="0"/>
    <s v="Q3-2025"/>
  </r>
  <r>
    <d v="2025-09-22T00:00:00"/>
    <x v="8"/>
    <s v="MARUTI.NS"/>
    <n v="15721.11185938093"/>
    <n v="15840.90873166414"/>
    <n v="15622.10617980803"/>
    <n v="15658.73828125"/>
    <n v="302234"/>
    <n v="-0.63"/>
    <n v="182.17"/>
    <x v="0"/>
    <s v="Q3-2025"/>
  </r>
  <r>
    <d v="2025-09-22T00:00:00"/>
    <x v="9"/>
    <s v="TMPV.NS"/>
    <n v="703.1670166453938"/>
    <n v="706.14233547464096"/>
    <n v="689.1334052875718"/>
    <n v="690.52191162109375"/>
    <n v="9688597"/>
    <n v="-2"/>
    <n v="15.62"/>
    <x v="0"/>
    <s v="Q3-2025"/>
  </r>
  <r>
    <d v="2025-09-22T00:00:00"/>
    <x v="10"/>
    <s v="SUNPHARMA.NS"/>
    <n v="1635.0659335616731"/>
    <n v="1642.894455254848"/>
    <n v="1620.499030903399"/>
    <n v="1629.120239257812"/>
    <n v="1785320"/>
    <n v="-0.89"/>
    <n v="13.77"/>
    <x v="0"/>
    <s v="Q3-2025"/>
  </r>
  <r>
    <d v="2025-09-22T00:00:00"/>
    <x v="11"/>
    <s v="ASIANPAINT.NS"/>
    <n v="2468.7942429544828"/>
    <n v="2477.603844337264"/>
    <n v="2448.997168688903"/>
    <n v="2457.509765625"/>
    <n v="872806"/>
    <n v="-0.8"/>
    <n v="20.09"/>
    <x v="0"/>
    <s v="Q3-2025"/>
  </r>
  <r>
    <d v="2025-09-22T00:00:00"/>
    <x v="12"/>
    <s v="HINDUNILVR.NS"/>
    <n v="2523.2969180781101"/>
    <n v="2541.1730880668852"/>
    <n v="2514.6534240777419"/>
    <n v="2526.43994140625"/>
    <n v="1174161"/>
    <n v="-0.34"/>
    <n v="14.73"/>
    <x v="0"/>
    <s v="Q3-2025"/>
  </r>
  <r>
    <d v="2025-09-22T00:00:00"/>
    <x v="13"/>
    <s v="LT.NS"/>
    <n v="3657.8722270192852"/>
    <n v="3657.8722270192852"/>
    <n v="3598.7495064736072"/>
    <n v="3609.2470703125"/>
    <n v="839430"/>
    <n v="-1.62"/>
    <n v="48.63"/>
    <x v="0"/>
    <s v="Q3-2025"/>
  </r>
  <r>
    <d v="2025-09-22T00:00:00"/>
    <x v="14"/>
    <s v="AXISBANK.NS"/>
    <n v="1135.124515662792"/>
    <n v="1146.7155514626929"/>
    <n v="1130.3281661018909"/>
    <n v="1143.51806640625"/>
    <n v="7689900"/>
    <n v="-0.42"/>
    <n v="3.2"/>
    <x v="0"/>
    <s v="Q3-2025"/>
  </r>
  <r>
    <d v="2025-09-23T00:00:00"/>
    <x v="0"/>
    <s v="RELIANCE.NS"/>
    <n v="1384.5982372618871"/>
    <n v="1388.579828167025"/>
    <n v="1370.46363815205"/>
    <n v="1383.40380859375"/>
    <n v="14014702"/>
    <n v="-1.02"/>
    <n v="5.18"/>
    <x v="0"/>
    <s v="Q3-2025"/>
  </r>
  <r>
    <d v="2025-09-23T00:00:00"/>
    <x v="1"/>
    <s v="TCS.NS"/>
    <n v="2947.6355509068781"/>
    <n v="2957.9090220688281"/>
    <n v="2930.3529971882049"/>
    <n v="2940.33837890625"/>
    <n v="3177741"/>
    <n v="-0.59"/>
    <n v="17.57"/>
    <x v="0"/>
    <s v="Q3-2025"/>
  </r>
  <r>
    <d v="2025-09-23T00:00:00"/>
    <x v="2"/>
    <s v="INFY.NS"/>
    <n v="1439.342026505765"/>
    <n v="1458.623232487088"/>
    <n v="1439.342026505765"/>
    <n v="1443.680297851562"/>
    <n v="9832164"/>
    <n v="0"/>
    <n v="14.94"/>
    <x v="0"/>
    <s v="Q3-2025"/>
  </r>
  <r>
    <d v="2025-09-23T00:00:00"/>
    <x v="3"/>
    <s v="HDFCBANK.NS"/>
    <n v="951.26657620642789"/>
    <n v="952.44706380062496"/>
    <n v="939.95368517605152"/>
    <n v="941.62603759765625"/>
    <n v="21022298"/>
    <n v="-1.19"/>
    <n v="10.82"/>
    <x v="0"/>
    <s v="Q3-2025"/>
  </r>
  <r>
    <d v="2025-09-23T00:00:00"/>
    <x v="4"/>
    <s v="ICICIBANK.NS"/>
    <n v="1379.371216393894"/>
    <n v="1391.5684366050771"/>
    <n v="1379.371216393894"/>
    <n v="1382.643676757812"/>
    <n v="12827524"/>
    <n v="0"/>
    <n v="8.92"/>
    <x v="0"/>
    <s v="Q3-2025"/>
  </r>
  <r>
    <d v="2025-09-23T00:00:00"/>
    <x v="5"/>
    <s v="WIPRO.NS"/>
    <n v="241.16820134485931"/>
    <n v="242.88380801860569"/>
    <n v="239.75137795487359"/>
    <n v="240.59954833984381"/>
    <n v="8674114"/>
    <n v="-0.59"/>
    <n v="2.2799999999999998"/>
    <x v="0"/>
    <s v="Q3-2025"/>
  </r>
  <r>
    <d v="2025-09-23T00:00:00"/>
    <x v="6"/>
    <s v="HCLTECH.NS"/>
    <n v="1381.6296610067529"/>
    <n v="1381.6296610067529"/>
    <n v="1358.860871469197"/>
    <n v="1367.853637695312"/>
    <n v="3106480"/>
    <n v="-1.65"/>
    <n v="13.78"/>
    <x v="0"/>
    <s v="Q3-2025"/>
  </r>
  <r>
    <d v="2025-09-23T00:00:00"/>
    <x v="7"/>
    <s v="BAJFINANCE.NS"/>
    <n v="992.89646372244113"/>
    <n v="1022.514444803724"/>
    <n v="992.89646372244113"/>
    <n v="1019.234558105469"/>
    <n v="10230040"/>
    <n v="0"/>
    <n v="3.28"/>
    <x v="0"/>
    <s v="Q3-2025"/>
  </r>
  <r>
    <d v="2025-09-23T00:00:00"/>
    <x v="8"/>
    <s v="MARUTI.NS"/>
    <n v="15959.715642375129"/>
    <n v="16162.67728671055"/>
    <n v="15871.60058702951"/>
    <n v="15936.9443359375"/>
    <n v="873114"/>
    <n v="-0.55000000000000004"/>
    <n v="225.73"/>
    <x v="0"/>
    <s v="Q3-2025"/>
  </r>
  <r>
    <d v="2025-09-23T00:00:00"/>
    <x v="9"/>
    <s v="TMPV.NS"/>
    <n v="696.02626600276915"/>
    <n v="701.97690388914168"/>
    <n v="691.26576780027494"/>
    <n v="695.5799560546875"/>
    <n v="11904667"/>
    <n v="-0.68"/>
    <n v="6.4"/>
    <x v="0"/>
    <s v="Q3-2025"/>
  </r>
  <r>
    <d v="2025-09-23T00:00:00"/>
    <x v="10"/>
    <s v="SUNPHARMA.NS"/>
    <n v="1628.3274237060959"/>
    <n v="1629.1202313289371"/>
    <n v="1610.3912701698371"/>
    <n v="1616.43603515625"/>
    <n v="1967731"/>
    <n v="-1.1000000000000001"/>
    <n v="12.68"/>
    <x v="0"/>
    <s v="Q3-2025"/>
  </r>
  <r>
    <d v="2025-09-23T00:00:00"/>
    <x v="11"/>
    <s v="ASIANPAINT.NS"/>
    <n v="2447.0177520572511"/>
    <n v="2458.5989935461871"/>
    <n v="2403.36510144872"/>
    <n v="2422.0732421875"/>
    <n v="1332111"/>
    <n v="-1.78"/>
    <n v="36.53"/>
    <x v="0"/>
    <s v="Q3-2025"/>
  </r>
  <r>
    <d v="2025-09-23T00:00:00"/>
    <x v="12"/>
    <s v="HINDUNILVR.NS"/>
    <n v="2523.1984923690088"/>
    <n v="2529.484778551504"/>
    <n v="2473.4005067630528"/>
    <n v="2477.329345703125"/>
    <n v="1430474"/>
    <n v="-1.97"/>
    <n v="52.16"/>
    <x v="0"/>
    <s v="Q3-2025"/>
  </r>
  <r>
    <d v="2025-09-23T00:00:00"/>
    <x v="13"/>
    <s v="LT.NS"/>
    <n v="3611.6237657042921"/>
    <n v="3637.966562994568"/>
    <n v="3578.2497911465589"/>
    <n v="3622.220458984375"/>
    <n v="1262120"/>
    <n v="-0.92"/>
    <n v="15.75"/>
    <x v="0"/>
    <s v="Q3-2025"/>
  </r>
  <r>
    <d v="2025-09-23T00:00:00"/>
    <x v="14"/>
    <s v="AXISBANK.NS"/>
    <n v="1145.1168893049189"/>
    <n v="1171.896285943036"/>
    <n v="1141.0200731712409"/>
    <n v="1169.897827148438"/>
    <n v="16079093"/>
    <n v="-0.36"/>
    <n v="2"/>
    <x v="0"/>
    <s v="Q3-2025"/>
  </r>
  <r>
    <d v="2025-09-24T00:00:00"/>
    <x v="0"/>
    <s v="RELIANCE.NS"/>
    <n v="1378.9244730635039"/>
    <n v="1389.575179777883"/>
    <n v="1374.047000064875"/>
    <n v="1376.635009765625"/>
    <n v="5922759"/>
    <n v="-0.35"/>
    <n v="12.94"/>
    <x v="0"/>
    <s v="Q3-2025"/>
  </r>
  <r>
    <d v="2025-09-24T00:00:00"/>
    <x v="1"/>
    <s v="TCS.NS"/>
    <n v="2928.432470591566"/>
    <n v="2935.1534631470222"/>
    <n v="2912.1100600997438"/>
    <n v="2914.414306640625"/>
    <n v="1625714"/>
    <n v="-0.56000000000000005"/>
    <n v="20.74"/>
    <x v="0"/>
    <s v="Q3-2025"/>
  </r>
  <r>
    <d v="2025-09-24T00:00:00"/>
    <x v="2"/>
    <s v="INFY.NS"/>
    <n v="1433.750451625549"/>
    <n v="1442.9090246067481"/>
    <n v="1429.412180213403"/>
    <n v="1440.884521484375"/>
    <n v="4937004"/>
    <n v="-0.3"/>
    <n v="2.02"/>
    <x v="0"/>
    <s v="Q3-2025"/>
  </r>
  <r>
    <d v="2025-09-24T00:00:00"/>
    <x v="3"/>
    <s v="HDFCBANK.NS"/>
    <n v="936.70742400160123"/>
    <n v="940.88827518934647"/>
    <n v="927.65709883382772"/>
    <n v="935.57611083984375"/>
    <n v="15117220"/>
    <n v="-0.97"/>
    <n v="5.31"/>
    <x v="0"/>
    <s v="Q3-2025"/>
  </r>
  <r>
    <d v="2025-09-24T00:00:00"/>
    <x v="4"/>
    <s v="ICICIBANK.NS"/>
    <n v="1374.8096433544561"/>
    <n v="1379.2720231049971"/>
    <n v="1364.992383693306"/>
    <n v="1371.140502929688"/>
    <n v="9735678"/>
    <n v="-0.71"/>
    <n v="8.1300000000000008"/>
    <x v="0"/>
    <s v="Q3-2025"/>
  </r>
  <r>
    <d v="2025-09-24T00:00:00"/>
    <x v="5"/>
    <s v="WIPRO.NS"/>
    <n v="239.34657654249051"/>
    <n v="240.10799154322839"/>
    <n v="235.41417021482329"/>
    <n v="235.74186706542969"/>
    <n v="7888797"/>
    <n v="-1.64"/>
    <n v="4.37"/>
    <x v="0"/>
    <s v="Q3-2025"/>
  </r>
  <r>
    <d v="2025-09-24T00:00:00"/>
    <x v="6"/>
    <s v="HCLTECH.NS"/>
    <n v="1363.357136270818"/>
    <n v="1382.10793764869"/>
    <n v="1358.478118497321"/>
    <n v="1379.81201171875"/>
    <n v="2894044"/>
    <n v="-0.36"/>
    <n v="2.2999999999999998"/>
    <x v="0"/>
    <s v="Q3-2025"/>
  </r>
  <r>
    <d v="2025-09-24T00:00:00"/>
    <x v="7"/>
    <s v="BAJFINANCE.NS"/>
    <n v="1015.258961988034"/>
    <n v="1029.6703716295669"/>
    <n v="1014.165706900818"/>
    <n v="1023.458557128906"/>
    <n v="6433184"/>
    <n v="-0.11"/>
    <n v="6.21"/>
    <x v="0"/>
    <s v="Q3-2025"/>
  </r>
  <r>
    <d v="2025-09-24T00:00:00"/>
    <x v="8"/>
    <s v="MARUTI.NS"/>
    <n v="16027.040126507791"/>
    <n v="16212.180755594571"/>
    <n v="15903.28302150325"/>
    <n v="16087.43359375"/>
    <n v="663647"/>
    <n v="-0.77"/>
    <n v="124.75"/>
    <x v="0"/>
    <s v="Q3-2025"/>
  </r>
  <r>
    <d v="2025-09-24T00:00:00"/>
    <x v="9"/>
    <s v="TMPV.NS"/>
    <n v="694.73696332608927"/>
    <n v="697.51391552685629"/>
    <n v="675.69491025465925"/>
    <n v="677.33135986328125"/>
    <n v="13252215"/>
    <n v="-2.74"/>
    <n v="20.18"/>
    <x v="0"/>
    <s v="Q3-2025"/>
  </r>
  <r>
    <d v="2025-09-24T00:00:00"/>
    <x v="10"/>
    <s v="SUNPHARMA.NS"/>
    <n v="1615.246945372503"/>
    <n v="1621.093568938416"/>
    <n v="1610.292200141299"/>
    <n v="1612.373168945312"/>
    <n v="1131058"/>
    <n v="-0.31"/>
    <n v="8.7200000000000006"/>
    <x v="0"/>
    <s v="Q3-2025"/>
  </r>
  <r>
    <d v="2025-09-24T00:00:00"/>
    <x v="11"/>
    <s v="ASIANPAINT.NS"/>
    <n v="2421.1824841915168"/>
    <n v="2449.88824545135"/>
    <n v="2418.4108451164811"/>
    <n v="2432.268798828125"/>
    <n v="637749"/>
    <n v="-0.11"/>
    <n v="17.62"/>
    <x v="0"/>
    <s v="Q3-2025"/>
  </r>
  <r>
    <d v="2025-09-24T00:00:00"/>
    <x v="12"/>
    <s v="HINDUNILVR.NS"/>
    <n v="2477.3294242524621"/>
    <n v="2530.172357631398"/>
    <n v="2465.346513064756"/>
    <n v="2504.143798828125"/>
    <n v="1882881"/>
    <n v="-0.48"/>
    <n v="26.03"/>
    <x v="0"/>
    <s v="Q3-2025"/>
  </r>
  <r>
    <d v="2025-09-24T00:00:00"/>
    <x v="13"/>
    <s v="LT.NS"/>
    <n v="3622.2206646120412"/>
    <n v="3673.3214002597192"/>
    <n v="3601.918958126379"/>
    <n v="3638.263916015625"/>
    <n v="1745130"/>
    <n v="-0.56000000000000005"/>
    <n v="35.06"/>
    <x v="0"/>
    <s v="Q3-2025"/>
  </r>
  <r>
    <d v="2025-09-24T00:00:00"/>
    <x v="14"/>
    <s v="AXISBANK.NS"/>
    <n v="1167.09992101085"/>
    <n v="1171.8962708465981"/>
    <n v="1153.1107096288711"/>
    <n v="1158.006958007812"/>
    <n v="12812055"/>
    <n v="-1.2"/>
    <n v="13.89"/>
    <x v="0"/>
    <s v="Q3-2025"/>
  </r>
  <r>
    <d v="2025-09-25T00:00:00"/>
    <x v="0"/>
    <s v="RELIANCE.NS"/>
    <n v="1374.942926360271"/>
    <n v="1378.1281504773631"/>
    <n v="1362.699485737458"/>
    <n v="1366.083862304688"/>
    <n v="11411143"/>
    <n v="-0.89"/>
    <n v="12.04"/>
    <x v="0"/>
    <s v="Q3-2025"/>
  </r>
  <r>
    <d v="2025-09-25T00:00:00"/>
    <x v="1"/>
    <s v="TCS.NS"/>
    <n v="2901.548445826189"/>
    <n v="2908.8456170845011"/>
    <n v="2833.3783797594592"/>
    <n v="2839.523193359375"/>
    <n v="4974361"/>
    <n v="-2.35"/>
    <n v="69.319999999999993"/>
    <x v="0"/>
    <s v="Q3-2025"/>
  </r>
  <r>
    <d v="2025-09-25T00:00:00"/>
    <x v="2"/>
    <s v="INFY.NS"/>
    <n v="1435.4857737282789"/>
    <n v="1448.693352645673"/>
    <n v="1423.4350200871761"/>
    <n v="1431.436767578125"/>
    <n v="9491867"/>
    <n v="-0.84"/>
    <n v="17.260000000000002"/>
    <x v="0"/>
    <s v="Q3-2025"/>
  </r>
  <r>
    <d v="2025-09-25T00:00:00"/>
    <x v="3"/>
    <s v="HDFCBANK.NS"/>
    <n v="937.00247639461975"/>
    <n v="942.41298938167529"/>
    <n v="931.98547927800507"/>
    <n v="934.39556884765625"/>
    <n v="31413279"/>
    <n v="-0.54"/>
    <n v="8.02"/>
    <x v="0"/>
    <s v="Q3-2025"/>
  </r>
  <r>
    <d v="2025-09-25T00:00:00"/>
    <x v="4"/>
    <s v="ICICIBANK.NS"/>
    <n v="1365.488259405882"/>
    <n v="1379.867039189023"/>
    <n v="1360.3317799035731"/>
    <n v="1364.29833984375"/>
    <n v="21613389"/>
    <n v="-0.38"/>
    <n v="15.57"/>
    <x v="0"/>
    <s v="Q3-2025"/>
  </r>
  <r>
    <d v="2025-09-25T00:00:00"/>
    <x v="5"/>
    <s v="WIPRO.NS"/>
    <n v="236.57075171358019"/>
    <n v="236.753880745765"/>
    <n v="232.55160478452291"/>
    <n v="233.24555969238281"/>
    <n v="7957740"/>
    <n v="-1.7"/>
    <n v="3.51"/>
    <x v="0"/>
    <s v="Q3-2025"/>
  </r>
  <r>
    <d v="2025-09-25T00:00:00"/>
    <x v="6"/>
    <s v="HCLTECH.NS"/>
    <n v="1377.8028975155189"/>
    <n v="1380.0032961040899"/>
    <n v="1354.6514157943791"/>
    <n v="1362.113525390625"/>
    <n v="2713246"/>
    <n v="-1.68"/>
    <n v="17.89"/>
    <x v="0"/>
    <s v="Q3-2025"/>
  </r>
  <r>
    <d v="2025-09-25T00:00:00"/>
    <x v="7"/>
    <s v="BAJFINANCE.NS"/>
    <n v="1013.768143909297"/>
    <n v="1024.8003023869389"/>
    <n v="1001.841459863305"/>
    <n v="1006.562438964844"/>
    <n v="16731453"/>
    <n v="-1.18"/>
    <n v="18.239999999999998"/>
    <x v="0"/>
    <s v="Q3-2025"/>
  </r>
  <r>
    <d v="2025-09-25T00:00:00"/>
    <x v="8"/>
    <s v="MARUTI.NS"/>
    <n v="16087.43323863636"/>
    <n v="16207.23011363636"/>
    <n v="15907.24289772727"/>
    <n v="16107.234375"/>
    <n v="490262"/>
    <n v="-1.1200000000000001"/>
    <n v="100"/>
    <x v="0"/>
    <s v="Q3-2025"/>
  </r>
  <r>
    <d v="2025-09-25T00:00:00"/>
    <x v="9"/>
    <s v="TMPV.NS"/>
    <n v="664.38874283414918"/>
    <n v="669.44676081375678"/>
    <n v="649.90882102118121"/>
    <n v="658.83477783203125"/>
    <n v="24687611"/>
    <n v="-2.1800000000000002"/>
    <n v="10.61"/>
    <x v="0"/>
    <s v="Q3-2025"/>
  </r>
  <r>
    <d v="2025-09-25T00:00:00"/>
    <x v="10"/>
    <s v="SUNPHARMA.NS"/>
    <n v="1613.166006758956"/>
    <n v="1627.931172017366"/>
    <n v="1608.012999042789"/>
    <n v="1612.670532226562"/>
    <n v="2762750"/>
    <n v="-0.32"/>
    <n v="15.26"/>
    <x v="0"/>
    <s v="Q3-2025"/>
  </r>
  <r>
    <d v="2025-09-25T00:00:00"/>
    <x v="11"/>
    <s v="ASIANPAINT.NS"/>
    <n v="2433.5554274370188"/>
    <n v="2437.71276482538"/>
    <n v="2363.7707385477329"/>
    <n v="2379.6083984375"/>
    <n v="1518215"/>
    <n v="-2.87"/>
    <n v="58.1"/>
    <x v="0"/>
    <s v="Q3-2025"/>
  </r>
  <r>
    <d v="2025-09-25T00:00:00"/>
    <x v="12"/>
    <s v="HINDUNILVR.NS"/>
    <n v="2500.706033552191"/>
    <n v="2521.8235432620781"/>
    <n v="2486.758703005587"/>
    <n v="2493.14306640625"/>
    <n v="1624258"/>
    <n v="-0.56000000000000005"/>
    <n v="28.68"/>
    <x v="0"/>
    <s v="Q3-2025"/>
  </r>
  <r>
    <d v="2025-09-25T00:00:00"/>
    <x v="13"/>
    <s v="LT.NS"/>
    <n v="3648.3649986849741"/>
    <n v="3668.1715404802239"/>
    <n v="3600.5321518936321"/>
    <n v="3609.14794921875"/>
    <n v="1999071"/>
    <n v="-1.31"/>
    <n v="59.02"/>
    <x v="0"/>
    <s v="Q3-2025"/>
  </r>
  <r>
    <d v="2025-09-25T00:00:00"/>
    <x v="14"/>
    <s v="AXISBANK.NS"/>
    <n v="1153.810074151452"/>
    <n v="1170.896993506329"/>
    <n v="1152.5111491906421"/>
    <n v="1165.700927734375"/>
    <n v="11188302"/>
    <n v="-0.11"/>
    <n v="5.2"/>
    <x v="0"/>
    <s v="Q3-2025"/>
  </r>
  <r>
    <d v="2025-09-26T00:00:00"/>
    <x v="0"/>
    <s v="RELIANCE.NS"/>
    <n v="1365.6856847124741"/>
    <n v="1376.3363918134601"/>
    <n v="1359.713298336181"/>
    <n v="1371.259887695312"/>
    <n v="9879109"/>
    <n v="-0.44"/>
    <n v="5.08"/>
    <x v="0"/>
    <s v="Q3-2025"/>
  </r>
  <r>
    <d v="2025-09-26T00:00:00"/>
    <x v="1"/>
    <s v="TCS.NS"/>
    <n v="2823.7772134975212"/>
    <n v="2837.0272180626389"/>
    <n v="2776.0582098827372"/>
    <n v="2783.54736328125"/>
    <n v="3934636"/>
    <n v="-1.69"/>
    <n v="53.48"/>
    <x v="0"/>
    <s v="Q3-2025"/>
  </r>
  <r>
    <d v="2025-09-26T00:00:00"/>
    <x v="2"/>
    <s v="INFY.NS"/>
    <n v="1421.988977275915"/>
    <n v="1425.5559533998919"/>
    <n v="1389.403691265758"/>
    <n v="1396.827026367188"/>
    <n v="8597058"/>
    <n v="-2.29"/>
    <n v="28.73"/>
    <x v="0"/>
    <s v="Q3-2025"/>
  </r>
  <r>
    <d v="2025-09-26T00:00:00"/>
    <x v="3"/>
    <s v="HDFCBANK.NS"/>
    <n v="929.72288052942122"/>
    <n v="935.96959991502945"/>
    <n v="925.98471981825912"/>
    <n v="929.6737060546875"/>
    <n v="14874656"/>
    <n v="-0.4"/>
    <n v="6.3"/>
    <x v="0"/>
    <s v="Q3-2025"/>
  </r>
  <r>
    <d v="2025-09-26T00:00:00"/>
    <x v="4"/>
    <s v="ICICIBANK.NS"/>
    <n v="1356.5634423110471"/>
    <n v="1361.224101624214"/>
    <n v="1345.6554029357389"/>
    <n v="1348.233642578125"/>
    <n v="18342280"/>
    <n v="-0.8"/>
    <n v="12.99"/>
    <x v="0"/>
    <s v="Q3-2025"/>
  </r>
  <r>
    <d v="2025-09-26T00:00:00"/>
    <x v="5"/>
    <s v="WIPRO.NS"/>
    <n v="232.71544644179079"/>
    <n v="232.81183478439061"/>
    <n v="226.50841367235441"/>
    <n v="227.2216491699219"/>
    <n v="16999628"/>
    <n v="-2.67"/>
    <n v="5.59"/>
    <x v="0"/>
    <s v="Q3-2025"/>
  </r>
  <r>
    <d v="2025-09-26T00:00:00"/>
    <x v="6"/>
    <s v="HCLTECH.NS"/>
    <n v="1358.4780851732819"/>
    <n v="1364.696470774428"/>
    <n v="1331.6911933529641"/>
    <n v="1334.848266601562"/>
    <n v="2568054"/>
    <n v="-1.97"/>
    <n v="29.85"/>
    <x v="0"/>
    <s v="Q3-2025"/>
  </r>
  <r>
    <d v="2025-09-26T00:00:00"/>
    <x v="7"/>
    <s v="BAJFINANCE.NS"/>
    <n v="1001.891155536227"/>
    <n v="1004.326199027031"/>
    <n v="975.0561160768209"/>
    <n v="979.08135986328125"/>
    <n v="9109737"/>
    <n v="-2.68"/>
    <n v="25.24"/>
    <x v="0"/>
    <s v="Q3-2025"/>
  </r>
  <r>
    <d v="2025-09-26T00:00:00"/>
    <x v="8"/>
    <s v="MARUTI.NS"/>
    <n v="16073.572531682221"/>
    <n v="16271.58389640882"/>
    <n v="16040.90065650233"/>
    <n v="16124.0654296875"/>
    <n v="490957"/>
    <n v="-0.2"/>
    <n v="147.52000000000001"/>
    <x v="0"/>
    <s v="Q3-2025"/>
  </r>
  <r>
    <d v="2025-09-26T00:00:00"/>
    <x v="9"/>
    <s v="TMPV.NS"/>
    <n v="660.52075639689951"/>
    <n v="674.75267340635969"/>
    <n v="656.90076107130835"/>
    <n v="667.364013671875"/>
    <n v="15780434"/>
    <n v="-0.55000000000000004"/>
    <n v="7.39"/>
    <x v="0"/>
    <s v="Q3-2025"/>
  </r>
  <r>
    <d v="2025-09-26T00:00:00"/>
    <x v="10"/>
    <s v="SUNPHARMA.NS"/>
    <n v="1570.654180187081"/>
    <n v="1588.3921916516849"/>
    <n v="1533.9890668325561"/>
    <n v="1572.338745117188"/>
    <n v="7256759"/>
    <n v="-2.33"/>
    <n v="16.05"/>
    <x v="0"/>
    <s v="Q3-2025"/>
  </r>
  <r>
    <d v="2025-09-26T00:00:00"/>
    <x v="11"/>
    <s v="ASIANPAINT.NS"/>
    <n v="2373.1744957774031"/>
    <n v="2375.64913028812"/>
    <n v="2315.2680482266301"/>
    <n v="2319.029541015625"/>
    <n v="1089446"/>
    <n v="-2.44"/>
    <n v="56.62"/>
    <x v="0"/>
    <s v="Q3-2025"/>
  </r>
  <r>
    <d v="2025-09-26T00:00:00"/>
    <x v="12"/>
    <s v="HINDUNILVR.NS"/>
    <n v="2489.9014738344881"/>
    <n v="2500.1163583210509"/>
    <n v="2454.9347142199131"/>
    <n v="2467.1142578125"/>
    <n v="885612"/>
    <n v="-1.4"/>
    <n v="33"/>
    <x v="0"/>
    <s v="Q3-2025"/>
  </r>
  <r>
    <d v="2025-09-26T00:00:00"/>
    <x v="13"/>
    <s v="LT.NS"/>
    <n v="3628.5586215058988"/>
    <n v="3758.1923467252482"/>
    <n v="3625.5876401018281"/>
    <n v="3693.425048828125"/>
    <n v="5870301"/>
    <n v="-0.08"/>
    <n v="64.77"/>
    <x v="0"/>
    <s v="Q3-2025"/>
  </r>
  <r>
    <d v="2025-09-26T00:00:00"/>
    <x v="14"/>
    <s v="AXISBANK.NS"/>
    <n v="1160.704836753473"/>
    <n v="1168.798570429251"/>
    <n v="1147.1153414245291"/>
    <n v="1153.110717773438"/>
    <n v="5618932"/>
    <n v="-1.17"/>
    <n v="15.69"/>
    <x v="0"/>
    <s v="Q3-2025"/>
  </r>
  <r>
    <d v="2025-09-29T00:00:00"/>
    <x v="0"/>
    <s v="RELIANCE.NS"/>
    <n v="1375.241359951408"/>
    <n v="1382.607326814973"/>
    <n v="1361.7039763015721"/>
    <n v="1366.48193359375"/>
    <n v="14231999"/>
    <n v="-0.98"/>
    <n v="16.13"/>
    <x v="0"/>
    <s v="Q3-2025"/>
  </r>
  <r>
    <d v="2025-09-29T00:00:00"/>
    <x v="1"/>
    <s v="TCS.NS"/>
    <n v="2799.7734760157832"/>
    <n v="2812.5434087793969"/>
    <n v="2778.6503565122339"/>
    <n v="2780.666748046875"/>
    <n v="3110035"/>
    <n v="-0.75"/>
    <n v="31.88"/>
    <x v="0"/>
    <s v="Q3-2025"/>
  </r>
  <r>
    <d v="2025-09-29T00:00:00"/>
    <x v="2"/>
    <s v="INFY.NS"/>
    <n v="1407.5280279964161"/>
    <n v="1412.3483294621581"/>
    <n v="1384.8726111074329"/>
    <n v="1389.982177734375"/>
    <n v="10513117"/>
    <n v="-1.61"/>
    <n v="22.37"/>
    <x v="0"/>
    <s v="Q3-2025"/>
  </r>
  <r>
    <d v="2025-09-29T00:00:00"/>
    <x v="3"/>
    <s v="HDFCBANK.NS"/>
    <n v="930.65740590192866"/>
    <n v="941.23249944089196"/>
    <n v="923.82047295436666"/>
    <n v="934.8382568359375"/>
    <n v="32398179"/>
    <n v="-0.73"/>
    <n v="6.39"/>
    <x v="0"/>
    <s v="Q3-2025"/>
  </r>
  <r>
    <d v="2025-09-29T00:00:00"/>
    <x v="4"/>
    <s v="ICICIBANK.NS"/>
    <n v="1348.233693764239"/>
    <n v="1355.076033842118"/>
    <n v="1334.9456938107851"/>
    <n v="1336.829833984375"/>
    <n v="20563163"/>
    <n v="-0.99"/>
    <n v="18.25"/>
    <x v="0"/>
    <s v="Q3-2025"/>
  </r>
  <r>
    <d v="2025-09-29T00:00:00"/>
    <x v="5"/>
    <s v="WIPRO.NS"/>
    <n v="228.3107813425008"/>
    <n v="232.07932444027639"/>
    <n v="227.7421136379146"/>
    <n v="230.97093200683591"/>
    <n v="8894412"/>
    <n v="-0.25"/>
    <n v="1.1100000000000001"/>
    <x v="0"/>
    <s v="Q3-2025"/>
  </r>
  <r>
    <d v="2025-09-29T00:00:00"/>
    <x v="6"/>
    <s v="HCLTECH.NS"/>
    <n v="1336.570225397355"/>
    <n v="1341.831936347284"/>
    <n v="1323.0811352274909"/>
    <n v="1327.29052734375"/>
    <n v="2990852"/>
    <n v="-1.01"/>
    <n v="14.54"/>
    <x v="0"/>
    <s v="Q3-2025"/>
  </r>
  <r>
    <d v="2025-09-29T00:00:00"/>
    <x v="7"/>
    <s v="BAJFINANCE.NS"/>
    <n v="983.95142194142852"/>
    <n v="991.70375434548657"/>
    <n v="975.1057737823071"/>
    <n v="984.8956298828125"/>
    <n v="5804877"/>
    <n v="-0.9"/>
    <n v="6.81"/>
    <x v="0"/>
    <s v="Q3-2025"/>
  </r>
  <r>
    <d v="2025-09-29T00:00:00"/>
    <x v="8"/>
    <s v="MARUTI.NS"/>
    <n v="16137.926317430711"/>
    <n v="16177.52859060232"/>
    <n v="15791.40642717913"/>
    <n v="15825.068359375"/>
    <n v="627326"/>
    <n v="-2.15"/>
    <n v="352.46"/>
    <x v="0"/>
    <s v="Q3-2025"/>
  </r>
  <r>
    <d v="2025-09-29T00:00:00"/>
    <x v="9"/>
    <s v="TMPV.NS"/>
    <n v="678.3726736756505"/>
    <n v="679.36444659038102"/>
    <n v="664.48785286942382"/>
    <n v="666.96728515625"/>
    <n v="13014474"/>
    <n v="-2.0499999999999998"/>
    <n v="12.4"/>
    <x v="0"/>
    <s v="Q3-2025"/>
  </r>
  <r>
    <d v="2025-09-29T00:00:00"/>
    <x v="10"/>
    <s v="SUNPHARMA.NS"/>
    <n v="1566.6903581737799"/>
    <n v="1604.247349207342"/>
    <n v="1565.6994091806271"/>
    <n v="1574.915283203125"/>
    <n v="4180922"/>
    <n v="-0.06"/>
    <n v="29.33"/>
    <x v="0"/>
    <s v="Q3-2025"/>
  </r>
  <r>
    <d v="2025-09-29T00:00:00"/>
    <x v="11"/>
    <s v="ASIANPAINT.NS"/>
    <n v="2319.1283057695368"/>
    <n v="2339.7173125599838"/>
    <n v="2305.5673574257471"/>
    <n v="2318.83154296875"/>
    <n v="950369"/>
    <n v="-0.57999999999999996"/>
    <n v="20.89"/>
    <x v="0"/>
    <s v="Q3-2025"/>
  </r>
  <r>
    <d v="2025-09-29T00:00:00"/>
    <x v="12"/>
    <s v="HINDUNILVR.NS"/>
    <n v="2450.613113672247"/>
    <n v="2472.6145142448208"/>
    <n v="2399.5382111027252"/>
    <n v="2453.46142578125"/>
    <n v="2403556"/>
    <n v="-2.08"/>
    <n v="19.149999999999999"/>
    <x v="0"/>
    <s v="Q3-2025"/>
  </r>
  <r>
    <d v="2025-09-29T00:00:00"/>
    <x v="13"/>
    <s v="LT.NS"/>
    <n v="3701.842733427211"/>
    <n v="3703.8233876452032"/>
    <n v="3644.0077269734729"/>
    <n v="3652.722412109375"/>
    <n v="2599630"/>
    <n v="-1.56"/>
    <n v="51.1"/>
    <x v="0"/>
    <s v="Q3-2025"/>
  </r>
  <r>
    <d v="2025-09-29T00:00:00"/>
    <x v="14"/>
    <s v="AXISBANK.NS"/>
    <n v="1154.509586095744"/>
    <n v="1157.407375532476"/>
    <n v="1125.831631292551"/>
    <n v="1131.327392578125"/>
    <n v="9693881"/>
    <n v="-2.48"/>
    <n v="26.08"/>
    <x v="0"/>
    <s v="Q3-2025"/>
  </r>
  <r>
    <d v="2025-09-30T00:00:00"/>
    <x v="0"/>
    <s v="RELIANCE.NS"/>
    <n v="1370.7620971908359"/>
    <n v="1370.7620971908359"/>
    <n v="1356.5279835173719"/>
    <n v="1357.722412109375"/>
    <n v="14604684"/>
    <n v="-1.04"/>
    <n v="13.04"/>
    <x v="0"/>
    <s v="Q3-2025"/>
  </r>
  <r>
    <d v="2025-09-30T00:00:00"/>
    <x v="1"/>
    <s v="TCS.NS"/>
    <n v="2794.9727356006979"/>
    <n v="2799.1013921573322"/>
    <n v="2770.105157137798"/>
    <n v="2773.2734375"/>
    <n v="2253458"/>
    <n v="-0.89"/>
    <n v="25.83"/>
    <x v="0"/>
    <s v="Q3-2025"/>
  </r>
  <r>
    <d v="2025-09-30T00:00:00"/>
    <x v="2"/>
    <s v="INFY.NS"/>
    <n v="1391.139003012896"/>
    <n v="1400.0083106366039"/>
    <n v="1386.415084039842"/>
    <n v="1389.982177734375"/>
    <n v="7556305"/>
    <n v="-0.34"/>
    <n v="10.029999999999999"/>
    <x v="0"/>
    <s v="Q3-2025"/>
  </r>
  <r>
    <d v="2025-09-30T00:00:00"/>
    <x v="3"/>
    <s v="HDFCBANK.NS"/>
    <n v="942.46219867146283"/>
    <n v="944.38048353706631"/>
    <n v="930.90337504483728"/>
    <n v="935.52691650390625"/>
    <n v="28296687"/>
    <n v="-1.23"/>
    <n v="8.85"/>
    <x v="0"/>
    <s v="Q3-2025"/>
  </r>
  <r>
    <d v="2025-09-30T00:00:00"/>
    <x v="4"/>
    <s v="ICICIBANK.NS"/>
    <n v="1342.383012440642"/>
    <n v="1345.2587926353081"/>
    <n v="1331.3758327091441"/>
    <n v="1336.730712890625"/>
    <n v="20166871"/>
    <n v="-0.82"/>
    <n v="8.5299999999999994"/>
    <x v="0"/>
    <s v="Q3-2025"/>
  </r>
  <r>
    <d v="2025-09-30T00:00:00"/>
    <x v="5"/>
    <s v="WIPRO.NS"/>
    <n v="231.25043279062439"/>
    <n v="232.7636444952596"/>
    <n v="230.3540829580416"/>
    <n v="230.710693359375"/>
    <n v="5590909"/>
    <n v="-0.39"/>
    <n v="2.0499999999999998"/>
    <x v="0"/>
    <s v="Q3-2025"/>
  </r>
  <r>
    <d v="2025-09-30T00:00:00"/>
    <x v="6"/>
    <s v="HCLTECH.NS"/>
    <n v="1331.786810711164"/>
    <n v="1344.1279375510439"/>
    <n v="1322.028775599581"/>
    <n v="1325.090087890625"/>
    <n v="2782077"/>
    <n v="-0.73"/>
    <n v="19.04"/>
    <x v="0"/>
    <s v="Q3-2025"/>
  </r>
  <r>
    <d v="2025-09-30T00:00:00"/>
    <x v="7"/>
    <s v="BAJFINANCE.NS"/>
    <n v="983.95147054456504"/>
    <n v="996.17631001584971"/>
    <n v="983.40484297115779"/>
    <n v="992.797119140625"/>
    <n v="7182200"/>
    <n v="-0.06"/>
    <n v="3.38"/>
    <x v="0"/>
    <s v="Q3-2025"/>
  </r>
  <r>
    <d v="2025-09-30T00:00:00"/>
    <x v="8"/>
    <s v="MARUTI.NS"/>
    <n v="15826.0585927752"/>
    <n v="15894.37251475841"/>
    <n v="15762.69495499368"/>
    <n v="15869.62109375"/>
    <n v="390006"/>
    <n v="-0.4"/>
    <n v="24.75"/>
    <x v="0"/>
    <s v="Q3-2025"/>
  </r>
  <r>
    <d v="2025-09-30T00:00:00"/>
    <x v="9"/>
    <s v="TMPV.NS"/>
    <n v="666.47139293404575"/>
    <n v="677.876781354792"/>
    <n v="661.165432099339"/>
    <n v="674.60394287109375"/>
    <n v="15001606"/>
    <n v="-0.8"/>
    <n v="3.27"/>
    <x v="0"/>
    <s v="Q3-2025"/>
  </r>
  <r>
    <d v="2025-09-30T00:00:00"/>
    <x v="10"/>
    <s v="SUNPHARMA.NS"/>
    <n v="1574.717109553487"/>
    <n v="1589.779607677378"/>
    <n v="1571.6451916947169"/>
    <n v="1579.8701171875"/>
    <n v="2257443"/>
    <n v="-0.2"/>
    <n v="9.91"/>
    <x v="0"/>
    <s v="Q3-2025"/>
  </r>
  <r>
    <d v="2025-09-30T00:00:00"/>
    <x v="11"/>
    <s v="ASIANPAINT.NS"/>
    <n v="2328.1362017952129"/>
    <n v="2364.5628709723342"/>
    <n v="2316.2579558676862"/>
    <n v="2326.156494140625"/>
    <n v="778874"/>
    <n v="-0.51"/>
    <n v="38.409999999999997"/>
    <x v="0"/>
    <s v="Q3-2025"/>
  </r>
  <r>
    <d v="2025-09-30T00:00:00"/>
    <x v="12"/>
    <s v="HINDUNILVR.NS"/>
    <n v="2453.4615087328839"/>
    <n v="2481.3564080346569"/>
    <n v="2447.2737794732711"/>
    <n v="2469.66796875"/>
    <n v="1678088"/>
    <n v="-0.25"/>
    <n v="11.69"/>
    <x v="0"/>
    <s v="Q3-2025"/>
  </r>
  <r>
    <d v="2025-09-30T00:00:00"/>
    <x v="13"/>
    <s v="LT.NS"/>
    <n v="3659.2587099286429"/>
    <n v="3660.843330032938"/>
    <n v="3612.713335269199"/>
    <n v="3623.60693359375"/>
    <n v="1676302"/>
    <n v="-1.27"/>
    <n v="37.24"/>
    <x v="0"/>
    <s v="Q3-2025"/>
  </r>
  <r>
    <d v="2025-09-30T00:00:00"/>
    <x v="14"/>
    <s v="AXISBANK.NS"/>
    <n v="1129.129162712632"/>
    <n v="1136.1237681453649"/>
    <n v="1124.532732109227"/>
    <n v="1130.727905273438"/>
    <n v="8165203"/>
    <n v="-0.41"/>
    <n v="5.4"/>
    <x v="0"/>
    <s v="Q3-2025"/>
  </r>
  <r>
    <d v="2025-10-01T00:00:00"/>
    <x v="0"/>
    <s v="RELIANCE.NS"/>
    <n v="1360.708629382317"/>
    <n v="1372.2552181755941"/>
    <n v="1356.428370752328"/>
    <n v="1362.400756835938"/>
    <n v="12045916"/>
    <n v="-0.31"/>
    <n v="9.85"/>
    <x v="1"/>
    <s v="Q4-2025"/>
  </r>
  <r>
    <d v="2025-10-01T00:00:00"/>
    <x v="1"/>
    <s v="TCS.NS"/>
    <n v="2775.769923302043"/>
    <n v="2808.2227627843149"/>
    <n v="2752.342557318892"/>
    <n v="2798.045166015625"/>
    <n v="1952902"/>
    <n v="-0.84"/>
    <n v="10.18"/>
    <x v="1"/>
    <s v="Q4-2025"/>
  </r>
  <r>
    <d v="2025-10-01T00:00:00"/>
    <x v="2"/>
    <s v="INFY.NS"/>
    <n v="1394.0311438860911"/>
    <n v="1397.405354815276"/>
    <n v="1376.0996464847649"/>
    <n v="1393.83837890625"/>
    <n v="6250692"/>
    <n v="-1.29"/>
    <n v="3.57"/>
    <x v="1"/>
    <s v="Q4-2025"/>
  </r>
  <r>
    <d v="2025-10-01T00:00:00"/>
    <x v="3"/>
    <s v="HDFCBANK.NS"/>
    <n v="937.19924885555577"/>
    <n v="953.82424390274332"/>
    <n v="930.60824819711536"/>
    <n v="949.5450439453125"/>
    <n v="25350832"/>
    <n v="-0.7"/>
    <n v="4.28"/>
    <x v="1"/>
    <s v="Q4-2025"/>
  </r>
  <r>
    <d v="2025-10-01T00:00:00"/>
    <x v="4"/>
    <s v="ICICIBANK.NS"/>
    <n v="1336.7306701838099"/>
    <n v="1367.868189233363"/>
    <n v="1335.83817000711"/>
    <n v="1360.530029296875"/>
    <n v="20952632"/>
    <n v="-7.0000000000000007E-2"/>
    <n v="7.34"/>
    <x v="1"/>
    <s v="Q4-2025"/>
  </r>
  <r>
    <d v="2025-10-01T00:00:00"/>
    <x v="5"/>
    <s v="WIPRO.NS"/>
    <n v="231.31789803303599"/>
    <n v="234.75875882553939"/>
    <n v="229.23603342110769"/>
    <n v="232.34919738769531"/>
    <n v="9479378"/>
    <n v="-0.9"/>
    <n v="2.41"/>
    <x v="1"/>
    <s v="Q4-2025"/>
  </r>
  <r>
    <d v="2025-10-01T00:00:00"/>
    <x v="6"/>
    <s v="HCLTECH.NS"/>
    <n v="1326.0468430517601"/>
    <n v="1336.2833329104569"/>
    <n v="1322.124499946586"/>
    <n v="1329.299560546875"/>
    <n v="2253527"/>
    <n v="-0.3"/>
    <n v="6.98"/>
    <x v="1"/>
    <s v="Q4-2025"/>
  </r>
  <r>
    <d v="2025-10-01T00:00:00"/>
    <x v="7"/>
    <s v="BAJFINANCE.NS"/>
    <n v="985.44229860484279"/>
    <n v="993.8903667219796"/>
    <n v="971.77630606241553"/>
    <n v="981.66552734375"/>
    <n v="6932272"/>
    <n v="-1.39"/>
    <n v="12.22"/>
    <x v="1"/>
    <s v="Q4-2025"/>
  </r>
  <r>
    <d v="2025-10-01T00:00:00"/>
    <x v="8"/>
    <s v="MARUTI.NS"/>
    <n v="15866.65030082896"/>
    <n v="15948.82501535341"/>
    <n v="15692.400303765069"/>
    <n v="15806.2568359375"/>
    <n v="426075"/>
    <n v="-1.1000000000000001"/>
    <n v="142.57"/>
    <x v="1"/>
    <s v="Q4-2025"/>
  </r>
  <r>
    <d v="2025-10-01T00:00:00"/>
    <x v="9"/>
    <s v="TMPV.NS"/>
    <n v="675.397368576227"/>
    <n v="714.07651303213424"/>
    <n v="673.6121894002498"/>
    <n v="712.4400634765625"/>
    <n v="30163206"/>
    <n v="-0.26"/>
    <n v="1.64"/>
    <x v="1"/>
    <s v="Q4-2025"/>
  </r>
  <r>
    <d v="2025-10-01T00:00:00"/>
    <x v="10"/>
    <s v="SUNPHARMA.NS"/>
    <n v="1597.3107583309261"/>
    <n v="1636.552315546023"/>
    <n v="1597.3107583309261"/>
    <n v="1621.390747070312"/>
    <n v="3109095"/>
    <n v="0"/>
    <n v="15.16"/>
    <x v="1"/>
    <s v="Q4-2025"/>
  </r>
  <r>
    <d v="2025-10-01T00:00:00"/>
    <x v="11"/>
    <s v="ASIANPAINT.NS"/>
    <n v="2329.5218680572202"/>
    <n v="2333.08543845128"/>
    <n v="2297.6486235947918"/>
    <n v="2312.1005859375"/>
    <n v="648279"/>
    <n v="-1.37"/>
    <n v="20.98"/>
    <x v="1"/>
    <s v="Q4-2025"/>
  </r>
  <r>
    <d v="2025-10-01T00:00:00"/>
    <x v="12"/>
    <s v="HINDUNILVR.NS"/>
    <n v="2470.6503114875059"/>
    <n v="2504.6348647874652"/>
    <n v="2453.4616408468082"/>
    <n v="2491.080322265625"/>
    <n v="1483899"/>
    <n v="-0.7"/>
    <n v="13.55"/>
    <x v="1"/>
    <s v="Q4-2025"/>
  </r>
  <r>
    <d v="2025-10-01T00:00:00"/>
    <x v="13"/>
    <s v="LT.NS"/>
    <n v="3623.507733402203"/>
    <n v="3652.3263487550412"/>
    <n v="3580.0324703767551"/>
    <n v="3634.797607421875"/>
    <n v="2005028"/>
    <n v="-1.2"/>
    <n v="17.53"/>
    <x v="1"/>
    <s v="Q4-2025"/>
  </r>
  <r>
    <d v="2025-10-01T00:00:00"/>
    <x v="14"/>
    <s v="AXISBANK.NS"/>
    <n v="1131.627252536789"/>
    <n v="1163.9024097219319"/>
    <n v="1130.128408493694"/>
    <n v="1158.6064453125"/>
    <n v="9655009"/>
    <n v="-0.13"/>
    <n v="5.3"/>
    <x v="1"/>
    <s v="Q4-2025"/>
  </r>
  <r>
    <d v="2025-10-03T00:00:00"/>
    <x v="0"/>
    <s v="RELIANCE.NS"/>
    <n v="1356.9260916961571"/>
    <n v="1365.287456651113"/>
    <n v="1350.6551591113209"/>
    <n v="1357.125244140625"/>
    <n v="12842347"/>
    <n v="-0.46"/>
    <n v="8.16"/>
    <x v="1"/>
    <s v="Q4-2025"/>
  </r>
  <r>
    <d v="2025-10-03T00:00:00"/>
    <x v="1"/>
    <s v="TCS.NS"/>
    <n v="2807.454578770542"/>
    <n v="2807.454578770542"/>
    <n v="2775.8660078142962"/>
    <n v="2786.2353515625"/>
    <n v="2899519"/>
    <n v="-1.1299999999999999"/>
    <n v="21.22"/>
    <x v="1"/>
    <s v="Q4-2025"/>
  </r>
  <r>
    <d v="2025-10-03T00:00:00"/>
    <x v="2"/>
    <s v="INFY.NS"/>
    <n v="1387.2827843305461"/>
    <n v="1396.248592275432"/>
    <n v="1381.6911874663799"/>
    <n v="1394.609619140625"/>
    <n v="6877533"/>
    <n v="-0.4"/>
    <n v="1.64"/>
    <x v="1"/>
    <s v="Q4-2025"/>
  </r>
  <r>
    <d v="2025-10-03T00:00:00"/>
    <x v="3"/>
    <s v="HDFCBANK.NS"/>
    <n v="936.51064711366291"/>
    <n v="951.02065976589665"/>
    <n v="936.51064711366291"/>
    <n v="949.44671630859375"/>
    <n v="26658296"/>
    <n v="0"/>
    <n v="1.57"/>
    <x v="1"/>
    <s v="Q4-2025"/>
  </r>
  <r>
    <d v="2025-10-03T00:00:00"/>
    <x v="4"/>
    <s v="ICICIBANK.NS"/>
    <n v="1360.430925793853"/>
    <n v="1360.430925793853"/>
    <n v="1349.9195661152"/>
    <n v="1353.786865234375"/>
    <n v="12163695"/>
    <n v="-0.77"/>
    <n v="6.64"/>
    <x v="1"/>
    <s v="Q4-2025"/>
  </r>
  <r>
    <d v="2025-10-03T00:00:00"/>
    <x v="5"/>
    <s v="WIPRO.NS"/>
    <n v="232.262451171875"/>
    <n v="232.66725574460489"/>
    <n v="229.4480850661364"/>
    <n v="232.262451171875"/>
    <n v="10968346"/>
    <n v="-1.21"/>
    <n v="0.4"/>
    <x v="1"/>
    <s v="Q4-2025"/>
  </r>
  <r>
    <d v="2025-10-03T00:00:00"/>
    <x v="6"/>
    <s v="HCLTECH.NS"/>
    <n v="1335.996122526532"/>
    <n v="1339.153195522252"/>
    <n v="1320.593684319884"/>
    <n v="1333.126098632812"/>
    <n v="2793839"/>
    <n v="-1.1499999999999999"/>
    <n v="6.03"/>
    <x v="1"/>
    <s v="Q4-2025"/>
  </r>
  <r>
    <d v="2025-10-03T00:00:00"/>
    <x v="7"/>
    <s v="BAJFINANCE.NS"/>
    <n v="969.0430597091871"/>
    <n v="986.13798530522502"/>
    <n v="966.06138875623583"/>
    <n v="983.70294189453125"/>
    <n v="7692197"/>
    <n v="-0.31"/>
    <n v="2.44"/>
    <x v="1"/>
    <s v="Q4-2025"/>
  </r>
  <r>
    <d v="2025-10-03T00:00:00"/>
    <x v="8"/>
    <s v="MARUTI.NS"/>
    <n v="15790.41601401861"/>
    <n v="15865.66033134668"/>
    <n v="15579.533914138619"/>
    <n v="15648.837890625"/>
    <n v="470216"/>
    <n v="-1.34"/>
    <n v="216.82"/>
    <x v="1"/>
    <s v="Q4-2025"/>
  </r>
  <r>
    <d v="2025-10-03T00:00:00"/>
    <x v="9"/>
    <s v="TMPV.NS"/>
    <n v="712.58883632775803"/>
    <n v="733.61443414090024"/>
    <n v="709.11763114035773"/>
    <n v="710.20855712890625"/>
    <n v="27786917"/>
    <n v="-0.49"/>
    <n v="23.41"/>
    <x v="1"/>
    <s v="Q4-2025"/>
  </r>
  <r>
    <d v="2025-10-03T00:00:00"/>
    <x v="10"/>
    <s v="SUNPHARMA.NS"/>
    <n v="1585.518473312834"/>
    <n v="1630.6066548976671"/>
    <n v="1585.518473312834"/>
    <n v="1616.43603515625"/>
    <n v="4041865"/>
    <n v="0"/>
    <n v="14.17"/>
    <x v="1"/>
    <s v="Q4-2025"/>
  </r>
  <r>
    <d v="2025-10-03T00:00:00"/>
    <x v="11"/>
    <s v="ASIANPAINT.NS"/>
    <n v="2318.435624776484"/>
    <n v="2338.7276285757921"/>
    <n v="2312.397661327007"/>
    <n v="2333.87744140625"/>
    <n v="659872"/>
    <n v="-0.26"/>
    <n v="4.8499999999999996"/>
    <x v="1"/>
    <s v="Q4-2025"/>
  </r>
  <r>
    <d v="2025-10-03T00:00:00"/>
    <x v="12"/>
    <s v="HINDUNILVR.NS"/>
    <n v="2491.0803114450241"/>
    <n v="2503.2598561816239"/>
    <n v="2463.6767554329508"/>
    <n v="2499.62548828125"/>
    <n v="1242611"/>
    <n v="-1.1000000000000001"/>
    <n v="3.63"/>
    <x v="1"/>
    <s v="Q4-2025"/>
  </r>
  <r>
    <d v="2025-10-03T00:00:00"/>
    <x v="13"/>
    <s v="LT.NS"/>
    <n v="3654.3070391840101"/>
    <n v="3709.7653573938492"/>
    <n v="3630.8363350117329"/>
    <n v="3696.990234375"/>
    <n v="1959124"/>
    <n v="-0.64"/>
    <n v="12.78"/>
    <x v="1"/>
    <s v="Q4-2025"/>
  </r>
  <r>
    <d v="2025-10-03T00:00:00"/>
    <x v="14"/>
    <s v="AXISBANK.NS"/>
    <n v="1170.0975504074941"/>
    <n v="1187.084449089755"/>
    <n v="1168.598706406118"/>
    <n v="1180.08984375"/>
    <n v="11095015"/>
    <n v="-0.13"/>
    <n v="6.99"/>
    <x v="1"/>
    <s v="Q4-2025"/>
  </r>
  <r>
    <d v="2025-10-06T00:00:00"/>
    <x v="0"/>
    <s v="RELIANCE.NS"/>
    <n v="1353.7409090909091"/>
    <n v="1371.060853847157"/>
    <n v="1352.7455113636361"/>
    <n v="1368.671875"/>
    <n v="12396580"/>
    <n v="-7.0000000000000007E-2"/>
    <n v="2.39"/>
    <x v="1"/>
    <s v="Q4-2025"/>
  </r>
  <r>
    <d v="2025-10-06T00:00:00"/>
    <x v="1"/>
    <s v="TCS.NS"/>
    <n v="2786.3314417417741"/>
    <n v="2874.2805224331"/>
    <n v="2780.18662812204"/>
    <n v="2869.28759765625"/>
    <n v="2112774"/>
    <n v="-0.22"/>
    <n v="4.99"/>
    <x v="1"/>
    <s v="Q4-2025"/>
  </r>
  <r>
    <d v="2025-10-06T00:00:00"/>
    <x v="2"/>
    <s v="INFY.NS"/>
    <n v="1394.609606570476"/>
    <n v="1425.6524188431899"/>
    <n v="1390.464217889983"/>
    <n v="1422.953002929688"/>
    <n v="4630590"/>
    <n v="-0.3"/>
    <n v="2.7"/>
    <x v="1"/>
    <s v="Q4-2025"/>
  </r>
  <r>
    <d v="2025-10-06T00:00:00"/>
    <x v="3"/>
    <s v="HDFCBANK.NS"/>
    <n v="956.08686436204971"/>
    <n v="961.4973774003239"/>
    <n v="946.34791687631923"/>
    <n v="957.61163330078125"/>
    <n v="18542683"/>
    <n v="-1.02"/>
    <n v="3.89"/>
    <x v="1"/>
    <s v="Q4-2025"/>
  </r>
  <r>
    <d v="2025-10-06T00:00:00"/>
    <x v="4"/>
    <s v="ICICIBANK.NS"/>
    <n v="1359.538392652574"/>
    <n v="1361.1249923873579"/>
    <n v="1347.7378528535801"/>
    <n v="1352.001953125"/>
    <n v="14314283"/>
    <n v="-0.87"/>
    <n v="9.1199999999999992"/>
    <x v="1"/>
    <s v="Q4-2025"/>
  </r>
  <r>
    <d v="2025-10-06T00:00:00"/>
    <x v="5"/>
    <s v="WIPRO.NS"/>
    <n v="231.31791367809589"/>
    <n v="234.17084108444979"/>
    <n v="230.66251998193721"/>
    <n v="233.37086486816409"/>
    <n v="6064946"/>
    <n v="-0.28000000000000003"/>
    <n v="0.8"/>
    <x v="1"/>
    <s v="Q4-2025"/>
  </r>
  <r>
    <d v="2025-10-06T00:00:00"/>
    <x v="6"/>
    <s v="HCLTECH.NS"/>
    <n v="1333.1263483315281"/>
    <n v="1359.4349056183"/>
    <n v="1330.5433730560089"/>
    <n v="1356.27783203125"/>
    <n v="1970901"/>
    <n v="-0.19"/>
    <n v="3.16"/>
    <x v="1"/>
    <s v="Q4-2025"/>
  </r>
  <r>
    <d v="2025-10-06T00:00:00"/>
    <x v="7"/>
    <s v="BAJFINANCE.NS"/>
    <n v="986.93314173211104"/>
    <n v="1016.749852962688"/>
    <n v="986.03861613029198"/>
    <n v="1002.736022949219"/>
    <n v="9299635"/>
    <n v="-0.09"/>
    <n v="14.01"/>
    <x v="1"/>
    <s v="Q4-2025"/>
  </r>
  <r>
    <d v="2025-10-06T00:00:00"/>
    <x v="8"/>
    <s v="MARUTI.NS"/>
    <n v="15682.49973629516"/>
    <n v="15897.34206222799"/>
    <n v="15551.812238492699"/>
    <n v="15838.9287109375"/>
    <n v="268497"/>
    <n v="-0.83"/>
    <n v="58.41"/>
    <x v="1"/>
    <s v="Q4-2025"/>
  </r>
  <r>
    <d v="2025-10-06T00:00:00"/>
    <x v="9"/>
    <s v="TMPV.NS"/>
    <n v="712.09294815082285"/>
    <n v="712.58883460496691"/>
    <n v="698.15855089597858"/>
    <n v="706.7869873046875"/>
    <n v="10333314"/>
    <n v="-1.96"/>
    <n v="5.8"/>
    <x v="1"/>
    <s v="Q4-2025"/>
  </r>
  <r>
    <d v="2025-10-06T00:00:00"/>
    <x v="10"/>
    <s v="SUNPHARMA.NS"/>
    <n v="1615.246874617769"/>
    <n v="1644.678011615727"/>
    <n v="1605.33738458944"/>
    <n v="1639.723266601562"/>
    <n v="1756916"/>
    <n v="-0.61"/>
    <n v="4.95"/>
    <x v="1"/>
    <s v="Q4-2025"/>
  </r>
  <r>
    <d v="2025-10-06T00:00:00"/>
    <x v="11"/>
    <s v="ASIANPAINT.NS"/>
    <n v="2331.1058814271591"/>
    <n v="2335.2632193797981"/>
    <n v="2310.4180320535838"/>
    <n v="2330.907958984375"/>
    <n v="362107"/>
    <n v="-0.89"/>
    <n v="4.3600000000000003"/>
    <x v="1"/>
    <s v="Q4-2025"/>
  </r>
  <r>
    <d v="2025-10-06T00:00:00"/>
    <x v="12"/>
    <s v="HINDUNILVR.NS"/>
    <n v="2490.0981302259238"/>
    <n v="2504.242094617824"/>
    <n v="2475.3649838576771"/>
    <n v="2496.580810546875"/>
    <n v="818923"/>
    <n v="-0.59"/>
    <n v="7.66"/>
    <x v="1"/>
    <s v="Q4-2025"/>
  </r>
  <r>
    <d v="2025-10-06T00:00:00"/>
    <x v="13"/>
    <s v="LT.NS"/>
    <n v="3684.0169776057"/>
    <n v="3730.5623533980302"/>
    <n v="3667.1814161489001"/>
    <n v="3700.8525390625"/>
    <n v="1581506"/>
    <n v="-0.46"/>
    <n v="29.71"/>
    <x v="1"/>
    <s v="Q4-2025"/>
  </r>
  <r>
    <d v="2025-10-06T00:00:00"/>
    <x v="14"/>
    <s v="AXISBANK.NS"/>
    <n v="1184.086852097852"/>
    <n v="1214.2635315211551"/>
    <n v="1181.189062410549"/>
    <n v="1211.865478515625"/>
    <n v="20128505"/>
    <n v="-0.24"/>
    <n v="2.4"/>
    <x v="1"/>
    <s v="Q4-2025"/>
  </r>
  <r>
    <d v="2025-10-07T00:00:00"/>
    <x v="0"/>
    <s v="RELIANCE.NS"/>
    <n v="1369.667209612737"/>
    <n v="1389.4756477743899"/>
    <n v="1369.567694146298"/>
    <n v="1378.4267578125"/>
    <n v="11244040"/>
    <n v="-0.01"/>
    <n v="11.05"/>
    <x v="1"/>
    <s v="Q4-2025"/>
  </r>
  <r>
    <d v="2025-10-07T00:00:00"/>
    <x v="1"/>
    <s v="TCS.NS"/>
    <n v="2875.6246509212642"/>
    <n v="2884.7459978941361"/>
    <n v="2837.6990503498482"/>
    <n v="2855.173583984375"/>
    <n v="3062943"/>
    <n v="-1.32"/>
    <n v="29.57"/>
    <x v="1"/>
    <s v="Q4-2025"/>
  </r>
  <r>
    <d v="2025-10-07T00:00:00"/>
    <x v="2"/>
    <s v="INFY.NS"/>
    <n v="1424.591819361317"/>
    <n v="1429.6050033943991"/>
    <n v="1401.7436379480739"/>
    <n v="1406.081909179688"/>
    <n v="5570320"/>
    <n v="-1.6"/>
    <n v="23.52"/>
    <x v="1"/>
    <s v="Q4-2025"/>
  </r>
  <r>
    <d v="2025-10-07T00:00:00"/>
    <x v="3"/>
    <s v="HDFCBANK.NS"/>
    <n v="958.15270207140588"/>
    <n v="973.74479338088418"/>
    <n v="955.20151305065201"/>
    <n v="966.514404296875"/>
    <n v="25535736"/>
    <n v="-0.31"/>
    <n v="7.23"/>
    <x v="1"/>
    <s v="Q4-2025"/>
  </r>
  <r>
    <d v="2025-10-07T00:00:00"/>
    <x v="4"/>
    <s v="ICICIBANK.NS"/>
    <n v="1352.2002408686601"/>
    <n v="1371.5372203120689"/>
    <n v="1352.2002408686601"/>
    <n v="1364.3974609375"/>
    <n v="16126464"/>
    <n v="0"/>
    <n v="7.14"/>
    <x v="1"/>
    <s v="Q4-2025"/>
  </r>
  <r>
    <d v="2025-10-07T00:00:00"/>
    <x v="5"/>
    <s v="WIPRO.NS"/>
    <n v="234.11300061064691"/>
    <n v="236.13703824979251"/>
    <n v="233.3804991741965"/>
    <n v="234.72021484375"/>
    <n v="6587728"/>
    <n v="-0.31"/>
    <n v="1.42"/>
    <x v="1"/>
    <s v="Q4-2025"/>
  </r>
  <r>
    <d v="2025-10-07T00:00:00"/>
    <x v="6"/>
    <s v="HCLTECH.NS"/>
    <n v="1360.3914919361121"/>
    <n v="1379.4293427815489"/>
    <n v="1355.7994064321331"/>
    <n v="1371.297607421875"/>
    <n v="1592836"/>
    <n v="-0.34"/>
    <n v="8.1300000000000008"/>
    <x v="1"/>
    <s v="Q4-2025"/>
  </r>
  <r>
    <d v="2025-10-07T00:00:00"/>
    <x v="7"/>
    <s v="BAJFINANCE.NS"/>
    <n v="1002.7360085412409"/>
    <n v="1023.210125693817"/>
    <n v="1002.7360085412409"/>
    <n v="1010.339233398438"/>
    <n v="7991437"/>
    <n v="0"/>
    <n v="12.87"/>
    <x v="1"/>
    <s v="Q4-2025"/>
  </r>
  <r>
    <d v="2025-10-07T00:00:00"/>
    <x v="8"/>
    <s v="MARUTI.NS"/>
    <n v="15854.76962158264"/>
    <n v="15998.32785782152"/>
    <n v="15818.13751992168"/>
    <n v="15947.8349609375"/>
    <n v="330326"/>
    <n v="-0.23"/>
    <n v="50.49"/>
    <x v="1"/>
    <s v="Q4-2025"/>
  </r>
  <r>
    <d v="2025-10-07T00:00:00"/>
    <x v="9"/>
    <s v="TMPV.NS"/>
    <n v="706.78698868008576"/>
    <n v="707.03493190764027"/>
    <n v="691.41450857170628"/>
    <n v="692.30706787109375"/>
    <n v="13099357"/>
    <n v="-2.17"/>
    <n v="14.73"/>
    <x v="1"/>
    <s v="Q4-2025"/>
  </r>
  <r>
    <d v="2025-10-07T00:00:00"/>
    <x v="10"/>
    <s v="SUNPHARMA.NS"/>
    <n v="1634.47135435781"/>
    <n v="1647.948236973401"/>
    <n v="1632.093052492598"/>
    <n v="1638.137817382812"/>
    <n v="2174852"/>
    <n v="-0.15"/>
    <n v="9.81"/>
    <x v="1"/>
    <s v="Q4-2025"/>
  </r>
  <r>
    <d v="2025-10-07T00:00:00"/>
    <x v="11"/>
    <s v="ASIANPAINT.NS"/>
    <n v="2331.1056084583388"/>
    <n v="2347.3391134824092"/>
    <n v="2322.1969246043591"/>
    <n v="2328.927978515625"/>
    <n v="498524"/>
    <n v="-0.38"/>
    <n v="18.41"/>
    <x v="1"/>
    <s v="Q4-2025"/>
  </r>
  <r>
    <d v="2025-10-07T00:00:00"/>
    <x v="12"/>
    <s v="HINDUNILVR.NS"/>
    <n v="2494.812642046405"/>
    <n v="2513.8674143383951"/>
    <n v="2463.6766424653629"/>
    <n v="2472.418212890625"/>
    <n v="1291750"/>
    <n v="-1.25"/>
    <n v="41.45"/>
    <x v="1"/>
    <s v="Q4-2025"/>
  </r>
  <r>
    <d v="2025-10-07T00:00:00"/>
    <x v="13"/>
    <s v="LT.NS"/>
    <n v="3711.7460817023089"/>
    <n v="3729.5719700349241"/>
    <n v="3688.9685577217451"/>
    <n v="3693.623046875"/>
    <n v="1673945"/>
    <n v="-0.61"/>
    <n v="35.950000000000003"/>
    <x v="1"/>
    <s v="Q4-2025"/>
  </r>
  <r>
    <d v="2025-10-07T00:00:00"/>
    <x v="14"/>
    <s v="AXISBANK.NS"/>
    <n v="1211.066030079819"/>
    <n v="1211.066030079819"/>
    <n v="1183.0876069426611"/>
    <n v="1185.885498046875"/>
    <n v="8620156"/>
    <n v="-2.31"/>
    <n v="25.18"/>
    <x v="1"/>
    <s v="Q4-2025"/>
  </r>
  <r>
    <d v="2025-10-08T00:00:00"/>
    <x v="0"/>
    <s v="RELIANCE.NS"/>
    <n v="1378.4267554519181"/>
    <n v="1382.6073771032561"/>
    <n v="1358.2201339506059"/>
    <n v="1361.106811523438"/>
    <n v="8525081"/>
    <n v="-1.47"/>
    <n v="21.5"/>
    <x v="1"/>
    <s v="Q4-2025"/>
  </r>
  <r>
    <d v="2025-10-08T00:00:00"/>
    <x v="1"/>
    <s v="TCS.NS"/>
    <n v="2856.4219038307551"/>
    <n v="2921.7115473468862"/>
    <n v="2849.7009111158591"/>
    <n v="2906.541259765625"/>
    <n v="4121889"/>
    <n v="-0.24"/>
    <n v="15.17"/>
    <x v="1"/>
    <s v="Q4-2025"/>
  </r>
  <r>
    <d v="2025-10-08T00:00:00"/>
    <x v="2"/>
    <s v="INFY.NS"/>
    <n v="1404.635850376907"/>
    <n v="1444.1623224877189"/>
    <n v="1402.707729786136"/>
    <n v="1441.270141601562"/>
    <n v="4657192"/>
    <n v="-0.14000000000000001"/>
    <n v="2.89"/>
    <x v="1"/>
    <s v="Q4-2025"/>
  </r>
  <r>
    <d v="2025-10-08T00:00:00"/>
    <x v="3"/>
    <s v="HDFCBANK.NS"/>
    <n v="960.12016298575475"/>
    <n v="969.85911078697677"/>
    <n v="958.69374294830993"/>
    <n v="962.7762451171875"/>
    <n v="15939710"/>
    <n v="-0.15"/>
    <n v="7.08"/>
    <x v="1"/>
    <s v="Q4-2025"/>
  </r>
  <r>
    <d v="2025-10-08T00:00:00"/>
    <x v="4"/>
    <s v="ICICIBANK.NS"/>
    <n v="1360.827640380654"/>
    <n v="1370.0498198860421"/>
    <n v="1352.8945202642899"/>
    <n v="1358.844360351562"/>
    <n v="8100832"/>
    <n v="-0.57999999999999996"/>
    <n v="11.21"/>
    <x v="1"/>
    <s v="Q4-2025"/>
  </r>
  <r>
    <d v="2025-10-08T00:00:00"/>
    <x v="5"/>
    <s v="WIPRO.NS"/>
    <n v="234.4503359438458"/>
    <n v="237.43819811197409"/>
    <n v="233.79494226953429"/>
    <n v="235.4334411621094"/>
    <n v="7360563"/>
    <n v="-0.28000000000000003"/>
    <n v="2"/>
    <x v="1"/>
    <s v="Q4-2025"/>
  </r>
  <r>
    <d v="2025-10-08T00:00:00"/>
    <x v="6"/>
    <s v="HCLTECH.NS"/>
    <n v="1371.1061300689089"/>
    <n v="1395.501334860933"/>
    <n v="1365.3660818825499"/>
    <n v="1390.239624023438"/>
    <n v="1735807"/>
    <n v="-0.42"/>
    <n v="5.26"/>
    <x v="1"/>
    <s v="Q4-2025"/>
  </r>
  <r>
    <d v="2025-10-08T00:00:00"/>
    <x v="7"/>
    <s v="BAJFINANCE.NS"/>
    <n v="1005.866706608322"/>
    <n v="1021.719269666038"/>
    <n v="1005.866706608322"/>
    <n v="1016.89892578125"/>
    <n v="4448915"/>
    <n v="0"/>
    <n v="4.82"/>
    <x v="1"/>
    <s v="Q4-2025"/>
  </r>
  <r>
    <d v="2025-10-08T00:00:00"/>
    <x v="8"/>
    <s v="MARUTI.NS"/>
    <n v="15947.83549520477"/>
    <n v="16074.562770061129"/>
    <n v="15820.1181635136"/>
    <n v="15852.7900390625"/>
    <n v="306518"/>
    <n v="-0.8"/>
    <n v="221.77"/>
    <x v="1"/>
    <s v="Q4-2025"/>
  </r>
  <r>
    <d v="2025-10-08T00:00:00"/>
    <x v="9"/>
    <s v="TMPV.NS"/>
    <n v="689.18307686660955"/>
    <n v="696.22464090183905"/>
    <n v="673.41386206887285"/>
    <n v="675.94287109375"/>
    <n v="16568975"/>
    <n v="-2.29"/>
    <n v="20.28"/>
    <x v="1"/>
    <s v="Q4-2025"/>
  </r>
  <r>
    <d v="2025-10-08T00:00:00"/>
    <x v="10"/>
    <s v="SUNPHARMA.NS"/>
    <n v="1630.11126159999"/>
    <n v="1640.0207525519661"/>
    <n v="1614.256076076829"/>
    <n v="1616.83251953125"/>
    <n v="1846507"/>
    <n v="-0.97"/>
    <n v="23.19"/>
    <x v="1"/>
    <s v="Q4-2025"/>
  </r>
  <r>
    <d v="2025-10-08T00:00:00"/>
    <x v="11"/>
    <s v="ASIANPAINT.NS"/>
    <n v="2336.0549055856782"/>
    <n v="2345.3594343916711"/>
    <n v="2296.4607546435468"/>
    <n v="2304.87451171875"/>
    <n v="701799"/>
    <n v="-1.69"/>
    <n v="40.479999999999997"/>
    <x v="1"/>
    <s v="Q4-2025"/>
  </r>
  <r>
    <d v="2025-10-08T00:00:00"/>
    <x v="12"/>
    <s v="HINDUNILVR.NS"/>
    <n v="2466.3285483686691"/>
    <n v="2480.0794841222182"/>
    <n v="2441.8716228402009"/>
    <n v="2455.62255859375"/>
    <n v="1225128"/>
    <n v="-0.99"/>
    <n v="24.46"/>
    <x v="1"/>
    <s v="Q4-2025"/>
  </r>
  <r>
    <d v="2025-10-08T00:00:00"/>
    <x v="13"/>
    <s v="LT.NS"/>
    <n v="3693.9201850384038"/>
    <n v="3723.629998859089"/>
    <n v="3679.0652781280619"/>
    <n v="3693.72216796875"/>
    <n v="1424633"/>
    <n v="-0.4"/>
    <n v="29.91"/>
    <x v="1"/>
    <s v="Q4-2025"/>
  </r>
  <r>
    <d v="2025-10-08T00:00:00"/>
    <x v="14"/>
    <s v="AXISBANK.NS"/>
    <n v="1179.1905708552169"/>
    <n v="1193.879315975699"/>
    <n v="1173.1951945553251"/>
    <n v="1179.690185546875"/>
    <n v="5160430"/>
    <n v="-0.51"/>
    <n v="14.19"/>
    <x v="1"/>
    <s v="Q4-2025"/>
  </r>
  <r>
    <d v="2025-10-09T00:00:00"/>
    <x v="0"/>
    <s v="RELIANCE.NS"/>
    <n v="1367.6764245537629"/>
    <n v="1373.648810687185"/>
    <n v="1362.798951576433"/>
    <n v="1371.458984375"/>
    <n v="8826633"/>
    <n v="-0.36"/>
    <n v="2.19"/>
    <x v="1"/>
    <s v="Q4-2025"/>
  </r>
  <r>
    <d v="2025-10-09T00:00:00"/>
    <x v="1"/>
    <s v="TCS.NS"/>
    <n v="2913.0701354299908"/>
    <n v="2943.7946721253629"/>
    <n v="2899.6281506257651"/>
    <n v="2939.666015625"/>
    <n v="3211304"/>
    <n v="-0.46"/>
    <n v="4.13"/>
    <x v="1"/>
    <s v="Q4-2025"/>
  </r>
  <r>
    <d v="2025-10-09T00:00:00"/>
    <x v="2"/>
    <s v="INFY.NS"/>
    <n v="1448.0185870707539"/>
    <n v="1459.587310802345"/>
    <n v="1433.5576824062659"/>
    <n v="1455.056274414062"/>
    <n v="7028753"/>
    <n v="-1"/>
    <n v="4.53"/>
    <x v="1"/>
    <s v="Q4-2025"/>
  </r>
  <r>
    <d v="2025-10-09T00:00:00"/>
    <x v="3"/>
    <s v="HDFCBANK.NS"/>
    <n v="958.64453641951809"/>
    <n v="963.07131980985969"/>
    <n v="954.36533649235832"/>
    <n v="961.20220947265625"/>
    <n v="15370950"/>
    <n v="-0.45"/>
    <n v="1.87"/>
    <x v="1"/>
    <s v="Q4-2025"/>
  </r>
  <r>
    <d v="2025-10-09T00:00:00"/>
    <x v="4"/>
    <s v="ICICIBANK.NS"/>
    <n v="1358.3484255020639"/>
    <n v="1367.173924045517"/>
    <n v="1353.687645197864"/>
    <n v="1364.69482421875"/>
    <n v="7909575"/>
    <n v="-0.34"/>
    <n v="2.48"/>
    <x v="1"/>
    <s v="Q4-2025"/>
  </r>
  <r>
    <d v="2025-10-09T00:00:00"/>
    <x v="5"/>
    <s v="WIPRO.NS"/>
    <n v="235.16356780872849"/>
    <n v="237.87191256275671"/>
    <n v="234.36359163149089"/>
    <n v="237.48637390136719"/>
    <n v="4629760"/>
    <n v="-0.34"/>
    <n v="0.39"/>
    <x v="1"/>
    <s v="Q4-2025"/>
  </r>
  <r>
    <d v="2025-10-09T00:00:00"/>
    <x v="6"/>
    <s v="HCLTECH.NS"/>
    <n v="1390.2397293382289"/>
    <n v="1426.4977264850279"/>
    <n v="1389.570103711726"/>
    <n v="1422.097045898438"/>
    <n v="2681316"/>
    <n v="-0.05"/>
    <n v="4.4000000000000004"/>
    <x v="1"/>
    <s v="Q4-2025"/>
  </r>
  <r>
    <d v="2025-10-09T00:00:00"/>
    <x v="7"/>
    <s v="BAJFINANCE.NS"/>
    <n v="1016.749823498077"/>
    <n v="1022.713165571379"/>
    <n v="1008.749018348846"/>
    <n v="1017.843078613281"/>
    <n v="4444154"/>
    <n v="-0.79"/>
    <n v="4.87"/>
    <x v="1"/>
    <s v="Q4-2025"/>
  </r>
  <r>
    <d v="2025-10-09T00:00:00"/>
    <x v="8"/>
    <s v="MARUTI.NS"/>
    <n v="15910.213425183771"/>
    <n v="15915.16370938575"/>
    <n v="15695.37109081756"/>
    <n v="15826.05859375"/>
    <n v="300499"/>
    <n v="-1.35"/>
    <n v="89.11"/>
    <x v="1"/>
    <s v="Q4-2025"/>
  </r>
  <r>
    <d v="2025-10-09T00:00:00"/>
    <x v="9"/>
    <s v="TMPV.NS"/>
    <n v="678.96772626438405"/>
    <n v="679.36445965110943"/>
    <n v="663.29772601699085"/>
    <n v="675.49652099609375"/>
    <n v="16202851"/>
    <n v="-2.31"/>
    <n v="3.87"/>
    <x v="1"/>
    <s v="Q4-2025"/>
  </r>
  <r>
    <d v="2025-10-09T00:00:00"/>
    <x v="10"/>
    <s v="SUNPHARMA.NS"/>
    <n v="1630.111201380907"/>
    <n v="1647.2546684807021"/>
    <n v="1617.6252674357629"/>
    <n v="1643.489013671875"/>
    <n v="2197566"/>
    <n v="-0.77"/>
    <n v="3.77"/>
    <x v="1"/>
    <s v="Q4-2025"/>
  </r>
  <r>
    <d v="2025-10-09T00:00:00"/>
    <x v="11"/>
    <s v="ASIANPAINT.NS"/>
    <n v="2304.8745875346158"/>
    <n v="2317.2477601110309"/>
    <n v="2300.22232297859"/>
    <n v="2312.6943359375"/>
    <n v="587567"/>
    <n v="-0.2"/>
    <n v="4.55"/>
    <x v="1"/>
    <s v="Q4-2025"/>
  </r>
  <r>
    <d v="2025-10-09T00:00:00"/>
    <x v="12"/>
    <s v="HINDUNILVR.NS"/>
    <n v="2456.5065020766888"/>
    <n v="2478.115115849454"/>
    <n v="2453.8545838003988"/>
    <n v="2472.811279296875"/>
    <n v="1259173"/>
    <n v="-0.11"/>
    <n v="5.3"/>
    <x v="1"/>
    <s v="Q4-2025"/>
  </r>
  <r>
    <d v="2025-10-09T00:00:00"/>
    <x v="13"/>
    <s v="LT.NS"/>
    <n v="3699.3669909006899"/>
    <n v="3759.6778163536528"/>
    <n v="3694.0193211149699"/>
    <n v="3732.740966796875"/>
    <n v="1827249"/>
    <n v="-0.14000000000000001"/>
    <n v="26.94"/>
    <x v="1"/>
    <s v="Q4-2025"/>
  </r>
  <r>
    <d v="2025-10-09T00:00:00"/>
    <x v="14"/>
    <s v="AXISBANK.NS"/>
    <n v="1177.092172913211"/>
    <n v="1186.3850546477579"/>
    <n v="1162.2036312205039"/>
    <n v="1166.500366210938"/>
    <n v="7194651"/>
    <n v="-1.26"/>
    <n v="19.88"/>
    <x v="1"/>
    <s v="Q4-2025"/>
  </r>
  <r>
    <d v="2025-10-10T00:00:00"/>
    <x v="0"/>
    <s v="RELIANCE.NS"/>
    <n v="1371.45898859096"/>
    <n v="1381.611996445587"/>
    <n v="1368.7713419175541"/>
    <n v="1375.340942382812"/>
    <n v="6373084"/>
    <n v="-0.2"/>
    <n v="6.27"/>
    <x v="1"/>
    <s v="Q4-2025"/>
  </r>
  <r>
    <d v="2025-10-10T00:00:00"/>
    <x v="1"/>
    <s v="TCS.NS"/>
    <n v="2928.432196055488"/>
    <n v="2947.6350301279831"/>
    <n v="2887.0499948654228"/>
    <n v="2907.59716796875"/>
    <n v="8817365"/>
    <n v="-1.41"/>
    <n v="40.04"/>
    <x v="1"/>
    <s v="Q4-2025"/>
  </r>
  <r>
    <d v="2025-10-10T00:00:00"/>
    <x v="2"/>
    <s v="INFY.NS"/>
    <n v="1455.7310370996561"/>
    <n v="1467.0104954131989"/>
    <n v="1444.933608930849"/>
    <n v="1460.454956054688"/>
    <n v="3738353"/>
    <n v="-0.74"/>
    <n v="6.56"/>
    <x v="1"/>
    <s v="Q4-2025"/>
  </r>
  <r>
    <d v="2025-10-10T00:00:00"/>
    <x v="3"/>
    <s v="HDFCBANK.NS"/>
    <n v="963.07131935118673"/>
    <n v="970.15418478077845"/>
    <n v="962.18593865670312"/>
    <n v="964.9404296875"/>
    <n v="13757080"/>
    <n v="-0.09"/>
    <n v="5.21"/>
    <x v="1"/>
    <s v="Q4-2025"/>
  </r>
  <r>
    <d v="2025-10-10T00:00:00"/>
    <x v="4"/>
    <s v="ICICIBANK.NS"/>
    <n v="1358.844342174694"/>
    <n v="1373.4214017735969"/>
    <n v="1358.844342174694"/>
    <n v="1368.7607421875"/>
    <n v="7673816"/>
    <n v="0"/>
    <n v="4.66"/>
    <x v="1"/>
    <s v="Q4-2025"/>
  </r>
  <r>
    <d v="2025-10-10T00:00:00"/>
    <x v="5"/>
    <s v="WIPRO.NS"/>
    <n v="239.02851172567699"/>
    <n v="242.16094181885629"/>
    <n v="237.34181859858049"/>
    <n v="239.70318603515619"/>
    <n v="7070200"/>
    <n v="-0.71"/>
    <n v="2.46"/>
    <x v="1"/>
    <s v="Q4-2025"/>
  </r>
  <r>
    <d v="2025-10-10T00:00:00"/>
    <x v="6"/>
    <s v="HCLTECH.NS"/>
    <n v="1426.402116750643"/>
    <n v="1433.577177700093"/>
    <n v="1410.043001142215"/>
    <n v="1430.707153320312"/>
    <n v="2129445"/>
    <n v="-1.1499999999999999"/>
    <n v="2.87"/>
    <x v="1"/>
    <s v="Q4-2025"/>
  </r>
  <r>
    <d v="2025-10-10T00:00:00"/>
    <x v="7"/>
    <s v="BAJFINANCE.NS"/>
    <n v="1011.8797350138919"/>
    <n v="1021.2223285128759"/>
    <n v="1010.786479900336"/>
    <n v="1017.594604492188"/>
    <n v="3714548"/>
    <n v="-0.11"/>
    <n v="3.63"/>
    <x v="1"/>
    <s v="Q4-2025"/>
  </r>
  <r>
    <d v="2025-10-10T00:00:00"/>
    <x v="8"/>
    <s v="MARUTI.NS"/>
    <n v="15821.108216213879"/>
    <n v="16152.77725579033"/>
    <n v="15752.794294629481"/>
    <n v="16103.2744140625"/>
    <n v="423031"/>
    <n v="-0.43"/>
    <n v="49.5"/>
    <x v="1"/>
    <s v="Q4-2025"/>
  </r>
  <r>
    <d v="2025-10-10T00:00:00"/>
    <x v="9"/>
    <s v="TMPV.NS"/>
    <n v="679.16610536802352"/>
    <n v="682.93483047871507"/>
    <n v="661.41340584847069"/>
    <n v="673.3642578125"/>
    <n v="16069904"/>
    <n v="-2.61"/>
    <n v="9.57"/>
    <x v="1"/>
    <s v="Q4-2025"/>
  </r>
  <r>
    <d v="2025-10-10T00:00:00"/>
    <x v="10"/>
    <s v="SUNPHARMA.NS"/>
    <n v="1640.020619866448"/>
    <n v="1661.425094397898"/>
    <n v="1634.074925776298"/>
    <n v="1655.776733398438"/>
    <n v="1454056"/>
    <n v="-0.36"/>
    <n v="5.65"/>
    <x v="1"/>
    <s v="Q4-2025"/>
  </r>
  <r>
    <d v="2025-10-10T00:00:00"/>
    <x v="11"/>
    <s v="ASIANPAINT.NS"/>
    <n v="2315.1689522763259"/>
    <n v="2333.877334063101"/>
    <n v="2312.8924818709588"/>
    <n v="2316.455810546875"/>
    <n v="1117236"/>
    <n v="-0.1"/>
    <n v="17.420000000000002"/>
    <x v="1"/>
    <s v="Q4-2025"/>
  </r>
  <r>
    <d v="2025-10-10T00:00:00"/>
    <x v="12"/>
    <s v="HINDUNILVR.NS"/>
    <n v="2465.3464877788729"/>
    <n v="2489.8034147865228"/>
    <n v="2461.9087536325678"/>
    <n v="2483.91015625"/>
    <n v="1018875"/>
    <n v="-0.14000000000000001"/>
    <n v="5.89"/>
    <x v="1"/>
    <s v="Q4-2025"/>
  </r>
  <r>
    <d v="2025-10-10T00:00:00"/>
    <x v="13"/>
    <s v="LT.NS"/>
    <n v="3728.581490385608"/>
    <n v="3762.2526114143229"/>
    <n v="3723.629854940209"/>
    <n v="3747.397705078125"/>
    <n v="1129678"/>
    <n v="-0.13"/>
    <n v="14.85"/>
    <x v="1"/>
    <s v="Q4-2025"/>
  </r>
  <r>
    <d v="2025-10-10T00:00:00"/>
    <x v="14"/>
    <s v="AXISBANK.NS"/>
    <n v="1167.0998880332729"/>
    <n v="1190.7815749845479"/>
    <n v="1164.301997045437"/>
    <n v="1179.490356445312"/>
    <n v="6933035"/>
    <n v="-0.24"/>
    <n v="11.29"/>
    <x v="1"/>
    <s v="Q4-2025"/>
  </r>
  <r>
    <d v="2025-10-13T00:00:00"/>
    <x v="0"/>
    <s v="RELIANCE.NS"/>
    <n v="1370.56315498352"/>
    <n v="1371.359400260232"/>
    <n v="1361.505059967041"/>
    <n v="1368.671875"/>
    <n v="7600682"/>
    <n v="-0.66"/>
    <n v="2.69"/>
    <x v="1"/>
    <s v="Q4-2025"/>
  </r>
  <r>
    <d v="2025-10-13T00:00:00"/>
    <x v="1"/>
    <s v="TCS.NS"/>
    <n v="2906.3489877118641"/>
    <n v="2914.5101923354359"/>
    <n v="2878.696859281843"/>
    <n v="2887.338134765625"/>
    <n v="2866865"/>
    <n v="-0.95"/>
    <n v="27.17"/>
    <x v="1"/>
    <s v="Q4-2025"/>
  </r>
  <r>
    <d v="2025-10-13T00:00:00"/>
    <x v="2"/>
    <s v="INFY.NS"/>
    <n v="1443.1982662450721"/>
    <n v="1450.6214834671309"/>
    <n v="1430.0870697276371"/>
    <n v="1439.534790039062"/>
    <n v="5859355"/>
    <n v="-0.91"/>
    <n v="11.09"/>
    <x v="1"/>
    <s v="Q4-2025"/>
  </r>
  <r>
    <d v="2025-10-13T00:00:00"/>
    <x v="3"/>
    <s v="HDFCBANK.NS"/>
    <n v="958.44779973442041"/>
    <n v="965.03880049237932"/>
    <n v="956.18523351538511"/>
    <n v="961.1038818359375"/>
    <n v="18634254"/>
    <n v="-0.24"/>
    <n v="3.93"/>
    <x v="1"/>
    <s v="Q4-2025"/>
  </r>
  <r>
    <d v="2025-10-13T00:00:00"/>
    <x v="4"/>
    <s v="ICICIBANK.NS"/>
    <n v="1361.620783990362"/>
    <n v="1374.809643676077"/>
    <n v="1361.620783990362"/>
    <n v="1367.8681640625"/>
    <n v="8923018"/>
    <n v="0"/>
    <n v="6.94"/>
    <x v="1"/>
    <s v="Q4-2025"/>
  </r>
  <r>
    <d v="2025-10-13T00:00:00"/>
    <x v="5"/>
    <s v="WIPRO.NS"/>
    <n v="237.15867892104919"/>
    <n v="238.73935067809791"/>
    <n v="235.66474784844181"/>
    <n v="236.2623291015625"/>
    <n v="6717589"/>
    <n v="-0.63"/>
    <n v="2.48"/>
    <x v="1"/>
    <s v="Q4-2025"/>
  </r>
  <r>
    <d v="2025-10-13T00:00:00"/>
    <x v="6"/>
    <s v="HCLTECH.NS"/>
    <n v="1425.445325940894"/>
    <n v="1437.1167107560991"/>
    <n v="1412.53021728304"/>
    <n v="1429.941650390625"/>
    <n v="1820492"/>
    <n v="-0.91"/>
    <n v="7.18"/>
    <x v="1"/>
    <s v="Q4-2025"/>
  </r>
  <r>
    <d v="2025-10-13T00:00:00"/>
    <x v="7"/>
    <s v="BAJFINANCE.NS"/>
    <n v="1017.594562312652"/>
    <n v="1033.6459149686521"/>
    <n v="1015.2589443658439"/>
    <n v="1030.415771484375"/>
    <n v="7684523"/>
    <n v="-0.23"/>
    <n v="3.23"/>
    <x v="1"/>
    <s v="Q4-2025"/>
  </r>
  <r>
    <d v="2025-10-13T00:00:00"/>
    <x v="8"/>
    <s v="MARUTI.NS"/>
    <n v="16102.283913994061"/>
    <n v="16268.61345762115"/>
    <n v="16056.74130085807"/>
    <n v="16160.697265625"/>
    <n v="337617"/>
    <n v="-0.28000000000000003"/>
    <n v="107.92"/>
    <x v="1"/>
    <s v="Q4-2025"/>
  </r>
  <r>
    <d v="2025-10-13T00:00:00"/>
    <x v="9"/>
    <s v="TMPV.NS"/>
    <n v="673.41382085343355"/>
    <n v="673.81055423945497"/>
    <n v="652.68574236064433"/>
    <n v="655.31396484375"/>
    <n v="33288645"/>
    <n v="-3.08"/>
    <n v="18.5"/>
    <x v="1"/>
    <s v="Q4-2025"/>
  </r>
  <r>
    <d v="2025-10-13T00:00:00"/>
    <x v="10"/>
    <s v="SUNPHARMA.NS"/>
    <n v="1647.4528148203481"/>
    <n v="1659.839678089674"/>
    <n v="1640.8135044941739"/>
    <n v="1653.299438476562"/>
    <n v="1375179"/>
    <n v="-0.4"/>
    <n v="6.54"/>
    <x v="1"/>
    <s v="Q4-2025"/>
  </r>
  <r>
    <d v="2025-10-13T00:00:00"/>
    <x v="11"/>
    <s v="ASIANPAINT.NS"/>
    <n v="2316.4557099050239"/>
    <n v="2342.5879940440082"/>
    <n v="2313.2882262206508"/>
    <n v="2318.732421875"/>
    <n v="667732"/>
    <n v="-0.14000000000000001"/>
    <n v="23.86"/>
    <x v="1"/>
    <s v="Q4-2025"/>
  </r>
  <r>
    <d v="2025-10-13T00:00:00"/>
    <x v="12"/>
    <s v="HINDUNILVR.NS"/>
    <n v="2474.382632786429"/>
    <n v="2486.562176966981"/>
    <n v="2441.1838969065152"/>
    <n v="2448.452392578125"/>
    <n v="1114750"/>
    <n v="-1.34"/>
    <n v="38.11"/>
    <x v="1"/>
    <s v="Q4-2025"/>
  </r>
  <r>
    <d v="2025-10-13T00:00:00"/>
    <x v="13"/>
    <s v="LT.NS"/>
    <n v="3743.43652071727"/>
    <n v="3747.3978292048018"/>
    <n v="3708.77507145137"/>
    <n v="3733.0380859375"/>
    <n v="1191248"/>
    <n v="-0.93"/>
    <n v="14.36"/>
    <x v="1"/>
    <s v="Q4-2025"/>
  </r>
  <r>
    <d v="2025-10-13T00:00:00"/>
    <x v="14"/>
    <s v="AXISBANK.NS"/>
    <n v="1170.097585755781"/>
    <n v="1192.6801449968109"/>
    <n v="1166.6002829802519"/>
    <n v="1188.683227539062"/>
    <n v="4138448"/>
    <n v="-0.3"/>
    <n v="4"/>
    <x v="1"/>
    <s v="Q4-2025"/>
  </r>
  <r>
    <d v="2025-10-14T00:00:00"/>
    <x v="0"/>
    <s v="RELIANCE.NS"/>
    <n v="1373.6488553790209"/>
    <n v="1381.6120371493339"/>
    <n v="1363.7943936365559"/>
    <n v="1369.567749023438"/>
    <n v="9768174"/>
    <n v="-0.72"/>
    <n v="12.04"/>
    <x v="1"/>
    <s v="Q4-2025"/>
  </r>
  <r>
    <d v="2025-10-14T00:00:00"/>
    <x v="1"/>
    <s v="TCS.NS"/>
    <n v="2900.588173459837"/>
    <n v="2906.5410053185492"/>
    <n v="2837.6988899902508"/>
    <n v="2842.3076171875"/>
    <n v="3611416"/>
    <n v="-2.17"/>
    <n v="64.23"/>
    <x v="1"/>
    <s v="Q4-2025"/>
  </r>
  <r>
    <d v="2025-10-14T00:00:00"/>
    <x v="2"/>
    <s v="INFY.NS"/>
    <n v="1445.126441130591"/>
    <n v="1459.972993815594"/>
    <n v="1433.075686951717"/>
    <n v="1436.353515625"/>
    <n v="5600789"/>
    <n v="-0.83"/>
    <n v="23.62"/>
    <x v="1"/>
    <s v="Q4-2025"/>
  </r>
  <r>
    <d v="2025-10-14T00:00:00"/>
    <x v="3"/>
    <s v="HDFCBANK.NS"/>
    <n v="954.21777373187854"/>
    <n v="964.49776072534689"/>
    <n v="951.26658474095518"/>
    <n v="961.25146484375"/>
    <n v="22934382"/>
    <n v="-0.31"/>
    <n v="3.25"/>
    <x v="1"/>
    <s v="Q4-2025"/>
  </r>
  <r>
    <d v="2025-10-14T00:00:00"/>
    <x v="4"/>
    <s v="ICICIBANK.NS"/>
    <n v="1377.387868480856"/>
    <n v="1377.387868480856"/>
    <n v="1363.604049186747"/>
    <n v="1372.52880859375"/>
    <n v="10610855"/>
    <n v="-1"/>
    <n v="4.8600000000000003"/>
    <x v="1"/>
    <s v="Q4-2025"/>
  </r>
  <r>
    <d v="2025-10-14T00:00:00"/>
    <x v="5"/>
    <s v="WIPRO.NS"/>
    <n v="236.90808810336301"/>
    <n v="241.10071626242089"/>
    <n v="236.2430467805369"/>
    <n v="239.43330383300781"/>
    <n v="7888607"/>
    <n v="-0.28000000000000003"/>
    <n v="1.67"/>
    <x v="1"/>
    <s v="Q4-2025"/>
  </r>
  <r>
    <d v="2025-10-14T00:00:00"/>
    <x v="6"/>
    <s v="HCLTECH.NS"/>
    <n v="1449.744945271399"/>
    <n v="1468.495747089647"/>
    <n v="1425.636671406578"/>
    <n v="1430.611450195312"/>
    <n v="5802489"/>
    <n v="-1.66"/>
    <n v="37.880000000000003"/>
    <x v="1"/>
    <s v="Q4-2025"/>
  </r>
  <r>
    <d v="2025-10-14T00:00:00"/>
    <x v="7"/>
    <s v="BAJFINANCE.NS"/>
    <n v="1033.645928668011"/>
    <n v="1035.733074066768"/>
    <n v="1005.170946848939"/>
    <n v="1012.92333984375"/>
    <n v="7668358"/>
    <n v="-2.75"/>
    <n v="22.81"/>
    <x v="1"/>
    <s v="Q4-2025"/>
  </r>
  <r>
    <d v="2025-10-14T00:00:00"/>
    <x v="8"/>
    <s v="MARUTI.NS"/>
    <n v="16187.42853095116"/>
    <n v="16187.42853095116"/>
    <n v="15960.705525838761"/>
    <n v="16099.3134765625"/>
    <n v="307925"/>
    <n v="-1.4"/>
    <n v="88.12"/>
    <x v="1"/>
    <s v="Q4-2025"/>
  </r>
  <r>
    <d v="2025-10-14T00:00:00"/>
    <x v="9"/>
    <s v="TMPV.NS"/>
    <n v="396.70917956682871"/>
    <n v="418.08187450938817"/>
    <n v="373.20414857089071"/>
    <n v="392.19662475585938"/>
    <n v="52267874"/>
    <n v="-5.93"/>
    <n v="25.89"/>
    <x v="1"/>
    <s v="Q4-2025"/>
  </r>
  <r>
    <d v="2025-10-14T00:00:00"/>
    <x v="10"/>
    <s v="SUNPHARMA.NS"/>
    <n v="1652.506503609744"/>
    <n v="1654.785734661999"/>
    <n v="1631.3001711323041"/>
    <n v="1639.426025390625"/>
    <n v="2108287"/>
    <n v="-1.28"/>
    <n v="15.36"/>
    <x v="1"/>
    <s v="Q4-2025"/>
  </r>
  <r>
    <d v="2025-10-14T00:00:00"/>
    <x v="11"/>
    <s v="ASIANPAINT.NS"/>
    <n v="2318.6335776566279"/>
    <n v="2331.1058329185512"/>
    <n v="2284.582701645867"/>
    <n v="2294.580322265625"/>
    <n v="353345"/>
    <n v="-1.47"/>
    <n v="36.53"/>
    <x v="1"/>
    <s v="Q4-2025"/>
  </r>
  <r>
    <d v="2025-10-14T00:00:00"/>
    <x v="12"/>
    <s v="HINDUNILVR.NS"/>
    <n v="2448.6488488471691"/>
    <n v="2464.5605984614458"/>
    <n v="2438.1392527301482"/>
    <n v="2457.783447265625"/>
    <n v="1461017"/>
    <n v="-0.43"/>
    <n v="6.78"/>
    <x v="1"/>
    <s v="Q4-2025"/>
  </r>
  <r>
    <d v="2025-10-14T00:00:00"/>
    <x v="13"/>
    <s v="LT.NS"/>
    <n v="3738.4847805450122"/>
    <n v="3750.1706886122001"/>
    <n v="3694.1180783697491"/>
    <n v="3708.081787109375"/>
    <n v="1364583"/>
    <n v="-1.19"/>
    <n v="42.09"/>
    <x v="1"/>
    <s v="Q4-2025"/>
  </r>
  <r>
    <d v="2025-10-14T00:00:00"/>
    <x v="14"/>
    <s v="AXISBANK.NS"/>
    <n v="1190.881629244145"/>
    <n v="1190.881629244145"/>
    <n v="1165.70097556886"/>
    <n v="1175.893188476562"/>
    <n v="5742538"/>
    <n v="-2.11"/>
    <n v="14.99"/>
    <x v="1"/>
    <s v="Q4-2025"/>
  </r>
  <r>
    <d v="2025-10-15T00:00:00"/>
    <x v="0"/>
    <s v="RELIANCE.NS"/>
    <n v="1376.6350089791799"/>
    <n v="1377.6304066718619"/>
    <n v="1366.3823641411529"/>
    <n v="1367.97509765625"/>
    <n v="10882743"/>
    <n v="-0.74"/>
    <n v="9.66"/>
    <x v="1"/>
    <s v="Q4-2025"/>
  </r>
  <r>
    <d v="2025-10-15T00:00:00"/>
    <x v="1"/>
    <s v="TCS.NS"/>
    <n v="2863.220629364565"/>
    <n v="2871.604971225815"/>
    <n v="2843.946172081733"/>
    <n v="2862.064208984375"/>
    <n v="4282226"/>
    <n v="-0.67"/>
    <n v="9.5399999999999991"/>
    <x v="1"/>
    <s v="Q4-2025"/>
  </r>
  <r>
    <d v="2025-10-15T00:00:00"/>
    <x v="2"/>
    <s v="INFY.NS"/>
    <n v="1430.569218120133"/>
    <n v="1435.1002548224251"/>
    <n v="1414.7586043879569"/>
    <n v="1421.41064453125"/>
    <n v="6986098"/>
    <n v="-1.1100000000000001"/>
    <n v="13.69"/>
    <x v="1"/>
    <s v="Q4-2025"/>
  </r>
  <r>
    <d v="2025-10-15T00:00:00"/>
    <x v="3"/>
    <s v="HDFCBANK.NS"/>
    <n v="959.13643567665065"/>
    <n v="968.87538350189755"/>
    <n v="957.51325769174468"/>
    <n v="962.33355712890625"/>
    <n v="23310447"/>
    <n v="-0.17"/>
    <n v="6.54"/>
    <x v="1"/>
    <s v="Q4-2025"/>
  </r>
  <r>
    <d v="2025-10-15T00:00:00"/>
    <x v="4"/>
    <s v="ICICIBANK.NS"/>
    <n v="1374.9088107982641"/>
    <n v="1388.692630514965"/>
    <n v="1373.917170833751"/>
    <n v="1386.709350585938"/>
    <n v="8988550"/>
    <n v="-7.0000000000000007E-2"/>
    <n v="1.98"/>
    <x v="1"/>
    <s v="Q4-2025"/>
  </r>
  <r>
    <d v="2025-10-15T00:00:00"/>
    <x v="5"/>
    <s v="WIPRO.NS"/>
    <n v="240.9561596908066"/>
    <n v="243.0091108775473"/>
    <n v="239.54896924722169"/>
    <n v="241.1585693359375"/>
    <n v="13278925"/>
    <n v="-0.57999999999999996"/>
    <n v="1.85"/>
    <x v="1"/>
    <s v="Q4-2025"/>
  </r>
  <r>
    <d v="2025-10-15T00:00:00"/>
    <x v="6"/>
    <s v="HCLTECH.NS"/>
    <n v="1433.0030698582759"/>
    <n v="1444.004829010938"/>
    <n v="1421.7142615803029"/>
    <n v="1430.898315429688"/>
    <n v="1710696"/>
    <n v="-0.79"/>
    <n v="13.11"/>
    <x v="1"/>
    <s v="Q4-2025"/>
  </r>
  <r>
    <d v="2025-10-15T00:00:00"/>
    <x v="7"/>
    <s v="BAJFINANCE.NS"/>
    <n v="1019.731530315279"/>
    <n v="1056.5054743909759"/>
    <n v="1012.177987688956"/>
    <n v="1053.424438476562"/>
    <n v="10205158"/>
    <n v="-0.74"/>
    <n v="3.08"/>
    <x v="1"/>
    <s v="Q4-2025"/>
  </r>
  <r>
    <d v="2025-10-15T00:00:00"/>
    <x v="8"/>
    <s v="MARUTI.NS"/>
    <n v="16137.925779322421"/>
    <n v="16217.13032302461"/>
    <n v="16038.920099694669"/>
    <n v="16050.80078125"/>
    <n v="266435"/>
    <n v="-0.61"/>
    <n v="166.33"/>
    <x v="1"/>
    <s v="Q4-2025"/>
  </r>
  <r>
    <d v="2025-10-15T00:00:00"/>
    <x v="9"/>
    <s v="TMPV.NS"/>
    <n v="399.68449564169009"/>
    <n v="399.68449564169009"/>
    <n v="384.80790151110608"/>
    <n v="387.63446044921881"/>
    <n v="26953559"/>
    <n v="-3.72"/>
    <n v="12.05"/>
    <x v="1"/>
    <s v="Q4-2025"/>
  </r>
  <r>
    <d v="2025-10-15T00:00:00"/>
    <x v="10"/>
    <s v="SUNPHARMA.NS"/>
    <n v="1637.54318575715"/>
    <n v="1653.596510810768"/>
    <n v="1635.164884017423"/>
    <n v="1640.11962890625"/>
    <n v="2088737"/>
    <n v="-0.15"/>
    <n v="13.48"/>
    <x v="1"/>
    <s v="Q4-2025"/>
  </r>
  <r>
    <d v="2025-10-15T00:00:00"/>
    <x v="11"/>
    <s v="ASIANPAINT.NS"/>
    <n v="2306.359208750453"/>
    <n v="2359.8113105841549"/>
    <n v="2301.4099400621481"/>
    <n v="2351.001708984375"/>
    <n v="753640"/>
    <n v="-0.21"/>
    <n v="8.81"/>
    <x v="1"/>
    <s v="Q4-2025"/>
  </r>
  <r>
    <d v="2025-10-15T00:00:00"/>
    <x v="12"/>
    <s v="HINDUNILVR.NS"/>
    <n v="2458.0781358428399"/>
    <n v="2486.7586116449802"/>
    <n v="2458.0781358428399"/>
    <n v="2474.186279296875"/>
    <n v="881070"/>
    <n v="0"/>
    <n v="12.57"/>
    <x v="1"/>
    <s v="Q4-2025"/>
  </r>
  <r>
    <d v="2025-10-15T00:00:00"/>
    <x v="13"/>
    <s v="LT.NS"/>
    <n v="3710.755608261642"/>
    <n v="3806.7182066235509"/>
    <n v="3708.0817734729931"/>
    <n v="3791.665283203125"/>
    <n v="2575918"/>
    <n v="-7.0000000000000007E-2"/>
    <n v="15.05"/>
    <x v="1"/>
    <s v="Q4-2025"/>
  </r>
  <r>
    <d v="2025-10-15T00:00:00"/>
    <x v="14"/>
    <s v="AXISBANK.NS"/>
    <n v="1179.090617900606"/>
    <n v="1180.7892589833571"/>
    <n v="1163.102948505343"/>
    <n v="1168.698608398438"/>
    <n v="6328142"/>
    <n v="-1.36"/>
    <n v="12.09"/>
    <x v="1"/>
    <s v="Q4-2025"/>
  </r>
  <r>
    <d v="2025-10-16T00:00:00"/>
    <x v="0"/>
    <s v="RELIANCE.NS"/>
    <n v="1368.7713249510271"/>
    <n v="1394.0544503152109"/>
    <n v="1368.6718094847661"/>
    <n v="1391.864624023438"/>
    <n v="12315932"/>
    <n v="-0.01"/>
    <n v="2.19"/>
    <x v="1"/>
    <s v="Q4-2025"/>
  </r>
  <r>
    <d v="2025-10-16T00:00:00"/>
    <x v="1"/>
    <s v="TCS.NS"/>
    <n v="2862.1603711548541"/>
    <n v="2867.075451757139"/>
    <n v="2836.3327872451341"/>
    <n v="2862.931396484375"/>
    <n v="3251495"/>
    <n v="-0.9"/>
    <n v="4.1399999999999997"/>
    <x v="1"/>
    <s v="Q4-2025"/>
  </r>
  <r>
    <d v="2025-10-16T00:00:00"/>
    <x v="2"/>
    <s v="INFY.NS"/>
    <n v="1420.928514374262"/>
    <n v="1421.5069270236049"/>
    <n v="1408.0100826842829"/>
    <n v="1418.61474609375"/>
    <n v="8005748"/>
    <n v="-0.91"/>
    <n v="2.89"/>
    <x v="1"/>
    <s v="Q4-2025"/>
  </r>
  <r>
    <d v="2025-10-16T00:00:00"/>
    <x v="3"/>
    <s v="HDFCBANK.NS"/>
    <n v="966.66198076035232"/>
    <n v="980.38496157374595"/>
    <n v="965.53066762708977"/>
    <n v="978.17156982421875"/>
    <n v="22936566"/>
    <n v="-0.12"/>
    <n v="2.21"/>
    <x v="1"/>
    <s v="Q4-2025"/>
  </r>
  <r>
    <d v="2025-10-16T00:00:00"/>
    <x v="4"/>
    <s v="ICICIBANK.NS"/>
    <n v="1389.287635646356"/>
    <n v="1407.0380158006919"/>
    <n v="1387.701035861289"/>
    <n v="1405.451416015625"/>
    <n v="12185032"/>
    <n v="-0.11"/>
    <n v="1.59"/>
    <x v="1"/>
    <s v="Q4-2025"/>
  </r>
  <r>
    <d v="2025-10-16T00:00:00"/>
    <x v="5"/>
    <s v="WIPRO.NS"/>
    <n v="241.34168090575861"/>
    <n v="244.8789302315804"/>
    <n v="239.7995703254374"/>
    <n v="244.6283264160156"/>
    <n v="10661302"/>
    <n v="-0.64"/>
    <n v="0.25"/>
    <x v="1"/>
    <s v="Q4-2025"/>
  </r>
  <r>
    <d v="2025-10-16T00:00:00"/>
    <x v="6"/>
    <s v="HCLTECH.NS"/>
    <n v="1434.916417882732"/>
    <n v="1454.049912042695"/>
    <n v="1433.0987125812189"/>
    <n v="1449.362182617188"/>
    <n v="2021043"/>
    <n v="-0.13"/>
    <n v="4.6900000000000004"/>
    <x v="1"/>
    <s v="Q4-2025"/>
  </r>
  <r>
    <d v="2025-10-16T00:00:00"/>
    <x v="7"/>
    <s v="BAJFINANCE.NS"/>
    <n v="1055.5115586239881"/>
    <n v="1074.4948401686149"/>
    <n v="1052.38077973605"/>
    <n v="1059.238647460938"/>
    <n v="9901992"/>
    <n v="-0.3"/>
    <n v="15.26"/>
    <x v="1"/>
    <s v="Q4-2025"/>
  </r>
  <r>
    <d v="2025-10-16T00:00:00"/>
    <x v="8"/>
    <s v="MARUTI.NS"/>
    <n v="16084.46333366728"/>
    <n v="16169.6082214363"/>
    <n v="16038.920719279209"/>
    <n v="16135.9462890625"/>
    <n v="265727"/>
    <n v="-0.28000000000000003"/>
    <n v="33.659999999999997"/>
    <x v="1"/>
    <s v="Q4-2025"/>
  </r>
  <r>
    <d v="2025-10-16T00:00:00"/>
    <x v="9"/>
    <s v="TMPV.NS"/>
    <n v="392.19662268260572"/>
    <n v="397.15548740097722"/>
    <n v="386.34513810172069"/>
    <n v="393.53549194335938"/>
    <n v="21983752"/>
    <n v="-1.49"/>
    <n v="3.62"/>
    <x v="1"/>
    <s v="Q4-2025"/>
  </r>
  <r>
    <d v="2025-10-16T00:00:00"/>
    <x v="10"/>
    <s v="SUNPHARMA.NS"/>
    <n v="1639.029751750631"/>
    <n v="1647.849222612756"/>
    <n v="1628.3274534739339"/>
    <n v="1643.984497070312"/>
    <n v="2895957"/>
    <n v="-0.65"/>
    <n v="3.86"/>
    <x v="1"/>
    <s v="Q4-2025"/>
  </r>
  <r>
    <d v="2025-10-16T00:00:00"/>
    <x v="11"/>
    <s v="ASIANPAINT.NS"/>
    <n v="2352.882319596366"/>
    <n v="2396.2379613654671"/>
    <n v="2342.8847002435741"/>
    <n v="2385.25048828125"/>
    <n v="715890"/>
    <n v="-0.42"/>
    <n v="10.99"/>
    <x v="1"/>
    <s v="Q4-2025"/>
  </r>
  <r>
    <d v="2025-10-16T00:00:00"/>
    <x v="12"/>
    <s v="HINDUNILVR.NS"/>
    <n v="2473.0076593520139"/>
    <n v="2522.8056437611331"/>
    <n v="2462.4980633993669"/>
    <n v="2515.93017578125"/>
    <n v="1446646"/>
    <n v="-0.42"/>
    <n v="6.88"/>
    <x v="1"/>
    <s v="Q4-2025"/>
  </r>
  <r>
    <d v="2025-10-16T00:00:00"/>
    <x v="13"/>
    <s v="LT.NS"/>
    <n v="3793.2500082842089"/>
    <n v="3848.3120509754258"/>
    <n v="3792.9528617930041"/>
    <n v="3824.4453125"/>
    <n v="2330283"/>
    <n v="-0.01"/>
    <n v="23.87"/>
    <x v="1"/>
    <s v="Q4-2025"/>
  </r>
  <r>
    <d v="2025-10-16T00:00:00"/>
    <x v="14"/>
    <s v="AXISBANK.NS"/>
    <n v="1215.4626602690009"/>
    <n v="1215.962274966417"/>
    <n v="1184.3866504849721"/>
    <n v="1195.378173828125"/>
    <n v="17747171"/>
    <n v="-2.56"/>
    <n v="20.58"/>
    <x v="1"/>
    <s v="Q4-2025"/>
  </r>
  <r>
    <d v="2025-10-17T00:00:00"/>
    <x v="0"/>
    <s v="RELIANCE.NS"/>
    <n v="1394.5522084059301"/>
    <n v="1416.749626208087"/>
    <n v="1392.660928432585"/>
    <n v="1410.279541015625"/>
    <n v="19335561"/>
    <n v="-0.14000000000000001"/>
    <n v="6.47"/>
    <x v="1"/>
    <s v="Q4-2025"/>
  </r>
  <r>
    <d v="2025-10-17T00:00:00"/>
    <x v="1"/>
    <s v="TCS.NS"/>
    <n v="2862.256831293319"/>
    <n v="2880.3748677199019"/>
    <n v="2848.1863837329988"/>
    <n v="2854.73974609375"/>
    <n v="4374683"/>
    <n v="-0.49"/>
    <n v="25.64"/>
    <x v="1"/>
    <s v="Q4-2025"/>
  </r>
  <r>
    <d v="2025-10-17T00:00:00"/>
    <x v="2"/>
    <s v="INFY.NS"/>
    <n v="1402.611453201012"/>
    <n v="1405.9856644896411"/>
    <n v="1382.46256796943"/>
    <n v="1389.307373046875"/>
    <n v="16959378"/>
    <n v="-1.44"/>
    <n v="16.68"/>
    <x v="1"/>
    <s v="Q4-2025"/>
  </r>
  <r>
    <d v="2025-10-17T00:00:00"/>
    <x v="3"/>
    <s v="HDFCBANK.NS"/>
    <n v="977.77810811576308"/>
    <n v="992.5832274986775"/>
    <n v="969.95744530594254"/>
    <n v="986.2381591796875"/>
    <n v="25210511"/>
    <n v="-0.8"/>
    <n v="6.35"/>
    <x v="1"/>
    <s v="Q4-2025"/>
  </r>
  <r>
    <d v="2025-10-17T00:00:00"/>
    <x v="4"/>
    <s v="ICICIBANK.NS"/>
    <n v="1400.195646611963"/>
    <n v="1427.564885749375"/>
    <n v="1399.104866847933"/>
    <n v="1424.589965820312"/>
    <n v="17037215"/>
    <n v="-0.08"/>
    <n v="2.97"/>
    <x v="1"/>
    <s v="Q4-2025"/>
  </r>
  <r>
    <d v="2025-10-17T00:00:00"/>
    <x v="5"/>
    <s v="WIPRO.NS"/>
    <n v="240.95615856523551"/>
    <n v="240.95615856523551"/>
    <n v="230.46010888640569"/>
    <n v="232.18534851074219"/>
    <n v="43802251"/>
    <n v="-4.3600000000000003"/>
    <n v="8.77"/>
    <x v="1"/>
    <s v="Q4-2025"/>
  </r>
  <r>
    <d v="2025-10-17T00:00:00"/>
    <x v="6"/>
    <s v="HCLTECH.NS"/>
    <n v="1445.505118131902"/>
    <n v="1447.7230850118269"/>
    <n v="1426.4116745559741"/>
    <n v="1433.161865234375"/>
    <n v="3210161"/>
    <n v="-1.32"/>
    <n v="14.56"/>
    <x v="1"/>
    <s v="Q4-2025"/>
  </r>
  <r>
    <d v="2025-10-17T00:00:00"/>
    <x v="7"/>
    <s v="BAJFINANCE.NS"/>
    <n v="1049.647547179201"/>
    <n v="1069.873191012859"/>
    <n v="1049.647547179201"/>
    <n v="1063.56201171875"/>
    <n v="5761670"/>
    <n v="0"/>
    <n v="6.31"/>
    <x v="1"/>
    <s v="Q4-2025"/>
  </r>
  <r>
    <d v="2025-10-17T00:00:00"/>
    <x v="8"/>
    <s v="MARUTI.NS"/>
    <n v="16135.94602272727"/>
    <n v="16384.450284090912"/>
    <n v="16135.94602272727"/>
    <n v="16237.921875"/>
    <n v="411608"/>
    <n v="0"/>
    <n v="146.53"/>
    <x v="1"/>
    <s v="Q4-2025"/>
  </r>
  <r>
    <d v="2025-10-17T00:00:00"/>
    <x v="9"/>
    <s v="TMPV.NS"/>
    <n v="393.53549463331058"/>
    <n v="399.18861255749852"/>
    <n v="389.02293981535098"/>
    <n v="393.337158203125"/>
    <n v="16564547"/>
    <n v="-1.1499999999999999"/>
    <n v="5.85"/>
    <x v="1"/>
    <s v="Q4-2025"/>
  </r>
  <r>
    <d v="2025-10-17T00:00:00"/>
    <x v="10"/>
    <s v="SUNPHARMA.NS"/>
    <n v="1643.1916072270781"/>
    <n v="1676.6857322986591"/>
    <n v="1641.7051837055369"/>
    <n v="1663.902465820312"/>
    <n v="1594147"/>
    <n v="-0.09"/>
    <n v="12.78"/>
    <x v="1"/>
    <s v="Q4-2025"/>
  </r>
  <r>
    <d v="2025-10-17T00:00:00"/>
    <x v="11"/>
    <s v="ASIANPAINT.NS"/>
    <n v="2396.4358727832469"/>
    <n v="2518.18788118983"/>
    <n v="2396.4358727832469"/>
    <n v="2482.355224609375"/>
    <n v="3719960"/>
    <n v="0"/>
    <n v="35.83"/>
    <x v="1"/>
    <s v="Q4-2025"/>
  </r>
  <r>
    <d v="2025-10-17T00:00:00"/>
    <x v="12"/>
    <s v="HINDUNILVR.NS"/>
    <n v="2519.8590312670099"/>
    <n v="2568.4784123029549"/>
    <n v="2514.4568778185708"/>
    <n v="2557.37939453125"/>
    <n v="2050690"/>
    <n v="-0.21"/>
    <n v="11.1"/>
    <x v="1"/>
    <s v="Q4-2025"/>
  </r>
  <r>
    <d v="2025-10-17T00:00:00"/>
    <x v="13"/>
    <s v="LT.NS"/>
    <n v="3822.662798891683"/>
    <n v="3832.070906816416"/>
    <n v="3793.052113819158"/>
    <n v="3802.261962890625"/>
    <n v="1337364"/>
    <n v="-0.77"/>
    <n v="29.81"/>
    <x v="1"/>
    <s v="Q4-2025"/>
  </r>
  <r>
    <d v="2025-10-17T00:00:00"/>
    <x v="14"/>
    <s v="AXISBANK.NS"/>
    <n v="1195.3781275062211"/>
    <n v="1211.965310422418"/>
    <n v="1190.681676346755"/>
    <n v="1199.275024414062"/>
    <n v="6404414"/>
    <n v="-0.39"/>
    <n v="12.69"/>
    <x v="1"/>
    <s v="Q4-2025"/>
  </r>
  <r>
    <d v="2025-10-20T00:00:00"/>
    <x v="0"/>
    <s v="RELIANCE.NS"/>
    <n v="1433.3726108781721"/>
    <n v="1467.017099931352"/>
    <n v="1426.7034952504041"/>
    <n v="1460.04931640625"/>
    <n v="24721978"/>
    <n v="-0.47"/>
    <n v="6.97"/>
    <x v="1"/>
    <s v="Q4-2025"/>
  </r>
  <r>
    <d v="2025-10-20T00:00:00"/>
    <x v="1"/>
    <s v="TCS.NS"/>
    <n v="2877.194374871005"/>
    <n v="2913.3339793116888"/>
    <n v="2870.4483153754099"/>
    <n v="2905.81689453125"/>
    <n v="3133039"/>
    <n v="-0.23"/>
    <n v="7.52"/>
    <x v="1"/>
    <s v="Q4-2025"/>
  </r>
  <r>
    <d v="2025-10-20T00:00:00"/>
    <x v="2"/>
    <s v="INFY.NS"/>
    <n v="1401.454447005091"/>
    <n v="1414.2764963974259"/>
    <n v="1397.887470876801"/>
    <n v="1408.395751953125"/>
    <n v="6994246"/>
    <n v="-0.25"/>
    <n v="5.88"/>
    <x v="1"/>
    <s v="Q4-2025"/>
  </r>
  <r>
    <d v="2025-10-20T00:00:00"/>
    <x v="3"/>
    <s v="HDFCBANK.NS"/>
    <n v="980.77844947519009"/>
    <n v="1003.404231158168"/>
    <n v="980.77844947519009"/>
    <n v="986.63165283203125"/>
    <n v="22195202"/>
    <n v="0"/>
    <n v="16.77"/>
    <x v="1"/>
    <s v="Q4-2025"/>
  </r>
  <r>
    <d v="2025-10-20T00:00:00"/>
    <x v="4"/>
    <s v="ICICIBANK.NS"/>
    <n v="1429.9448629937931"/>
    <n v="1432.919782958412"/>
    <n v="1377.586223196568"/>
    <n v="1378.677124023438"/>
    <n v="23330227"/>
    <n v="-3.66"/>
    <n v="54.24"/>
    <x v="1"/>
    <s v="Q4-2025"/>
  </r>
  <r>
    <d v="2025-10-20T00:00:00"/>
    <x v="5"/>
    <s v="WIPRO.NS"/>
    <n v="232.18534996856559"/>
    <n v="233.1877358302969"/>
    <n v="230.6143258054781"/>
    <n v="232.5130615234375"/>
    <n v="9871824"/>
    <n v="-0.68"/>
    <n v="0.67"/>
    <x v="1"/>
    <s v="Q4-2025"/>
  </r>
  <r>
    <d v="2025-10-20T00:00:00"/>
    <x v="6"/>
    <s v="HCLTECH.NS"/>
    <n v="1436.7298482567201"/>
    <n v="1456.0161067266031"/>
    <n v="1435.9583508323331"/>
    <n v="1442.033569335938"/>
    <n v="2354881"/>
    <n v="-0.05"/>
    <n v="13.98"/>
    <x v="1"/>
    <s v="Q4-2025"/>
  </r>
  <r>
    <d v="2025-10-20T00:00:00"/>
    <x v="7"/>
    <s v="BAJFINANCE.NS"/>
    <n v="1074.8924530057529"/>
    <n v="1079.861904938281"/>
    <n v="1065.6492238814469"/>
    <n v="1074.3955078125"/>
    <n v="5700858"/>
    <n v="-0.86"/>
    <n v="5.47"/>
    <x v="1"/>
    <s v="Q4-2025"/>
  </r>
  <r>
    <d v="2025-10-20T00:00:00"/>
    <x v="8"/>
    <s v="MARUTI.NS"/>
    <n v="16335.937678378439"/>
    <n v="16353.75870130031"/>
    <n v="16217.13085889932"/>
    <n v="16260.693359375"/>
    <n v="374246"/>
    <n v="-0.73"/>
    <n v="93.07"/>
    <x v="1"/>
    <s v="Q4-2025"/>
  </r>
  <r>
    <d v="2025-10-20T00:00:00"/>
    <x v="9"/>
    <s v="TMPV.NS"/>
    <n v="396.75876245861542"/>
    <n v="400.08120794397189"/>
    <n v="393.33716388998681"/>
    <n v="396.46124267578119"/>
    <n v="10471672"/>
    <n v="-0.86"/>
    <n v="3.62"/>
    <x v="1"/>
    <s v="Q4-2025"/>
  </r>
  <r>
    <d v="2025-10-20T00:00:00"/>
    <x v="10"/>
    <s v="SUNPHARMA.NS"/>
    <n v="1669.650065250675"/>
    <n v="1681.5414537560409"/>
    <n v="1667.569096455328"/>
    <n v="1673.316528320312"/>
    <n v="1647622"/>
    <n v="-0.12"/>
    <n v="8.2200000000000006"/>
    <x v="1"/>
    <s v="Q4-2025"/>
  </r>
  <r>
    <d v="2025-10-20T00:00:00"/>
    <x v="11"/>
    <s v="ASIANPAINT.NS"/>
    <n v="2482.3554151180911"/>
    <n v="2511.3581798742798"/>
    <n v="2475.3273564524511"/>
    <n v="2490.47216796875"/>
    <n v="714986"/>
    <n v="-0.28000000000000003"/>
    <n v="20.89"/>
    <x v="1"/>
    <s v="Q4-2025"/>
  </r>
  <r>
    <d v="2025-10-20T00:00:00"/>
    <x v="12"/>
    <s v="HINDUNILVR.NS"/>
    <n v="2562.5849857650501"/>
    <n v="2578.0056293642419"/>
    <n v="2539.6013757940032"/>
    <n v="2548.24462890625"/>
    <n v="1011485"/>
    <n v="-0.9"/>
    <n v="29.76"/>
    <x v="1"/>
    <s v="Q4-2025"/>
  </r>
  <r>
    <d v="2025-10-20T00:00:00"/>
    <x v="13"/>
    <s v="LT.NS"/>
    <n v="3824.643294384854"/>
    <n v="3849.995765083087"/>
    <n v="3808.2037676662858"/>
    <n v="3835.23974609375"/>
    <n v="1223232"/>
    <n v="-0.43"/>
    <n v="14.76"/>
    <x v="1"/>
    <s v="Q4-2025"/>
  </r>
  <r>
    <d v="2025-10-20T00:00:00"/>
    <x v="14"/>
    <s v="AXISBANK.NS"/>
    <n v="1206.9691490495479"/>
    <n v="1230.7507342517281"/>
    <n v="1206.0698182446729"/>
    <n v="1225.05517578125"/>
    <n v="7418616"/>
    <n v="-7.0000000000000007E-2"/>
    <n v="5.7"/>
    <x v="1"/>
    <s v="Q4-2025"/>
  </r>
  <r>
    <d v="2025-10-21T00:00:00"/>
    <x v="0"/>
    <s v="RELIANCE.NS"/>
    <n v="1461.24382720935"/>
    <n v="1467.2162134241021"/>
    <n v="1453.2806455896809"/>
    <n v="1458.456665039062"/>
    <n v="2066169"/>
    <n v="-0.54"/>
    <n v="8.76"/>
    <x v="1"/>
    <s v="Q4-2025"/>
  </r>
  <r>
    <d v="2025-10-21T00:00:00"/>
    <x v="1"/>
    <s v="TCS.NS"/>
    <n v="2921.1402212125131"/>
    <n v="2921.8147801037321"/>
    <n v="2887.313457420898"/>
    <n v="2897.625244140625"/>
    <n v="310644"/>
    <n v="-1.1599999999999999"/>
    <n v="24.19"/>
    <x v="1"/>
    <s v="Q4-2025"/>
  </r>
  <r>
    <d v="2025-10-21T00:00:00"/>
    <x v="2"/>
    <s v="INFY.NS"/>
    <n v="1424.8811360663631"/>
    <n v="1432.5936185349231"/>
    <n v="1417.168653597804"/>
    <n v="1419.482421875"/>
    <n v="1698704"/>
    <n v="-0.54"/>
    <n v="13.11"/>
    <x v="1"/>
    <s v="Q4-2025"/>
  </r>
  <r>
    <d v="2025-10-21T00:00:00"/>
    <x v="3"/>
    <s v="HDFCBANK.NS"/>
    <n v="989.63202990740785"/>
    <n v="993.56694851538964"/>
    <n v="987.66457060341702"/>
    <n v="991.30438232421875"/>
    <n v="3471600"/>
    <n v="-0.2"/>
    <n v="2.2599999999999998"/>
    <x v="1"/>
    <s v="Q4-2025"/>
  </r>
  <r>
    <d v="2025-10-21T00:00:00"/>
    <x v="4"/>
    <s v="ICICIBANK.NS"/>
    <n v="1372.925511008234"/>
    <n v="1375.999570643796"/>
    <n v="1364.397431646745"/>
    <n v="1370.446411132812"/>
    <n v="3415560"/>
    <n v="-0.62"/>
    <n v="5.55"/>
    <x v="1"/>
    <s v="Q4-2025"/>
  </r>
  <r>
    <d v="2025-10-21T00:00:00"/>
    <x v="5"/>
    <s v="WIPRO.NS"/>
    <n v="232.28173043872371"/>
    <n v="233.39977051320511"/>
    <n v="231.6648832781126"/>
    <n v="232.62870788574219"/>
    <n v="2082336"/>
    <n v="-0.27"/>
    <n v="0.77"/>
    <x v="1"/>
    <s v="Q4-2025"/>
  </r>
  <r>
    <d v="2025-10-21T00:00:00"/>
    <x v="6"/>
    <s v="HCLTECH.NS"/>
    <n v="1449.0729727630739"/>
    <n v="1449.36231372366"/>
    <n v="1428.1474295573789"/>
    <n v="1432.968994140625"/>
    <n v="274400"/>
    <n v="-1.44"/>
    <n v="16.39"/>
    <x v="1"/>
    <s v="Q4-2025"/>
  </r>
  <r>
    <d v="2025-10-21T00:00:00"/>
    <x v="7"/>
    <s v="BAJFINANCE.NS"/>
    <n v="1078.2716161831149"/>
    <n v="1082.3465421688049"/>
    <n v="1074.39541972863"/>
    <n v="1079.86181640625"/>
    <n v="911624"/>
    <n v="-0.36"/>
    <n v="2.48"/>
    <x v="1"/>
    <s v="Q4-2025"/>
  </r>
  <r>
    <d v="2025-10-21T00:00:00"/>
    <x v="8"/>
    <s v="MARUTI.NS"/>
    <n v="16289.404918632499"/>
    <n v="16312.17622557522"/>
    <n v="16167.62792933013"/>
    <n v="16232.9716796875"/>
    <n v="28990"/>
    <n v="-0.75"/>
    <n v="79.2"/>
    <x v="1"/>
    <s v="Q4-2025"/>
  </r>
  <r>
    <d v="2025-10-21T00:00:00"/>
    <x v="9"/>
    <s v="TMPV.NS"/>
    <n v="399.48614199588599"/>
    <n v="400.08121183384901"/>
    <n v="396.75876631618928"/>
    <n v="398.54397583007813"/>
    <n v="3449156"/>
    <n v="-0.68"/>
    <n v="1.54"/>
    <x v="1"/>
    <s v="Q4-2025"/>
  </r>
  <r>
    <d v="2025-10-21T00:00:00"/>
    <x v="10"/>
    <s v="SUNPHARMA.NS"/>
    <n v="1674.7038663036551"/>
    <n v="1680.6495605035491"/>
    <n v="1668.75817210376"/>
    <n v="1675.199340820312"/>
    <n v="74296"/>
    <n v="-0.36"/>
    <n v="5.45"/>
    <x v="1"/>
    <s v="Q4-2025"/>
  </r>
  <r>
    <d v="2025-10-21T00:00:00"/>
    <x v="11"/>
    <s v="ASIANPAINT.NS"/>
    <n v="2487.5026637509382"/>
    <n v="2493.6397091369959"/>
    <n v="2458.7969028083289"/>
    <n v="2479.18798828125"/>
    <n v="107942"/>
    <n v="-1.1499999999999999"/>
    <n v="14.45"/>
    <x v="1"/>
    <s v="Q4-2025"/>
  </r>
  <r>
    <d v="2025-10-21T00:00:00"/>
    <x v="12"/>
    <s v="HINDUNILVR.NS"/>
    <n v="2547.8521480126942"/>
    <n v="2560.3261641549138"/>
    <n v="2539.110576962722"/>
    <n v="2545.593017578125"/>
    <n v="82020"/>
    <n v="-0.34"/>
    <n v="14.73"/>
    <x v="1"/>
    <s v="Q4-2025"/>
  </r>
  <r>
    <d v="2025-10-21T00:00:00"/>
    <x v="13"/>
    <s v="LT.NS"/>
    <n v="3854.353135146298"/>
    <n v="3857.3241164940468"/>
    <n v="3839.69624547492"/>
    <n v="3850.58984375"/>
    <n v="260327"/>
    <n v="-0.38"/>
    <n v="6.73"/>
    <x v="1"/>
    <s v="Q4-2025"/>
  </r>
  <r>
    <d v="2025-10-21T00:00:00"/>
    <x v="14"/>
    <s v="AXISBANK.NS"/>
    <n v="1224.8554197755111"/>
    <n v="1237.845401683493"/>
    <n v="1221.058299350372"/>
    <n v="1236.346557617188"/>
    <n v="1940248"/>
    <n v="-0.31"/>
    <n v="1.5"/>
    <x v="1"/>
    <s v="Q4-2025"/>
  </r>
  <r>
    <d v="2025-10-23T00:00:00"/>
    <x v="0"/>
    <s v="RELIANCE.NS"/>
    <n v="1468.2115624957601"/>
    <n v="1476.075228386421"/>
    <n v="1437.9514490416041"/>
    <n v="1441.734008789062"/>
    <n v="18707090"/>
    <n v="-2.06"/>
    <n v="34.340000000000003"/>
    <x v="1"/>
    <s v="Q4-2025"/>
  </r>
  <r>
    <d v="2025-10-23T00:00:00"/>
    <x v="1"/>
    <s v="TCS.NS"/>
    <n v="2944.1734252464698"/>
    <n v="2985.6135094643419"/>
    <n v="2925.9591567619459"/>
    <n v="2961.713134765625"/>
    <n v="5564758"/>
    <n v="-0.62"/>
    <n v="23.9"/>
    <x v="1"/>
    <s v="Q4-2025"/>
  </r>
  <r>
    <d v="2025-10-23T00:00:00"/>
    <x v="2"/>
    <s v="INFY.NS"/>
    <n v="1455.7310466373281"/>
    <n v="1490.4372172856349"/>
    <n v="1451.8748054541829"/>
    <n v="1473.566162109375"/>
    <n v="20358624"/>
    <n v="-0.26"/>
    <n v="16.87"/>
    <x v="1"/>
    <s v="Q4-2025"/>
  </r>
  <r>
    <d v="2025-10-23T00:00:00"/>
    <x v="3"/>
    <s v="HDFCBANK.NS"/>
    <n v="999.4693402098319"/>
    <n v="1003.896123704856"/>
    <n v="989.63204355422329"/>
    <n v="992.386474609375"/>
    <n v="43526526"/>
    <n v="-0.98"/>
    <n v="11.51"/>
    <x v="1"/>
    <s v="Q4-2025"/>
  </r>
  <r>
    <d v="2025-10-23T00:00:00"/>
    <x v="4"/>
    <s v="ICICIBANK.NS"/>
    <n v="1373.421419191634"/>
    <n v="1378.181339678069"/>
    <n v="1348.729558636639"/>
    <n v="1352.299438476562"/>
    <n v="21124942"/>
    <n v="-1.8"/>
    <n v="25.88"/>
    <x v="1"/>
    <s v="Q4-2025"/>
  </r>
  <r>
    <d v="2025-10-23T00:00:00"/>
    <x v="5"/>
    <s v="WIPRO.NS"/>
    <n v="235.94426887525429"/>
    <n v="238.83574272248339"/>
    <n v="234.56599202720761"/>
    <n v="235.46235656738281"/>
    <n v="18964626"/>
    <n v="-0.57999999999999996"/>
    <n v="3.37"/>
    <x v="1"/>
    <s v="Q4-2025"/>
  </r>
  <r>
    <d v="2025-10-23T00:00:00"/>
    <x v="6"/>
    <s v="HCLTECH.NS"/>
    <n v="1456.112506387283"/>
    <n v="1492.2742408174311"/>
    <n v="1451.7730982556659"/>
    <n v="1469.516479492188"/>
    <n v="5011470"/>
    <n v="-0.3"/>
    <n v="22.76"/>
    <x v="1"/>
    <s v="Q4-2025"/>
  </r>
  <r>
    <d v="2025-10-23T00:00:00"/>
    <x v="7"/>
    <s v="BAJFINANCE.NS"/>
    <n v="1083.3404189115211"/>
    <n v="1095.7640475687631"/>
    <n v="1077.277712391686"/>
    <n v="1087.465087890625"/>
    <n v="11143407"/>
    <n v="-0.56000000000000005"/>
    <n v="8.3000000000000007"/>
    <x v="1"/>
    <s v="Q4-2025"/>
  </r>
  <r>
    <d v="2025-10-23T00:00:00"/>
    <x v="8"/>
    <s v="MARUTI.NS"/>
    <n v="16494.34613978718"/>
    <n v="16494.34613978718"/>
    <n v="16177.527966633999"/>
    <n v="16230.0009765625"/>
    <n v="481753"/>
    <n v="-1.92"/>
    <n v="264.35000000000002"/>
    <x v="1"/>
    <s v="Q4-2025"/>
  </r>
  <r>
    <d v="2025-10-23T00:00:00"/>
    <x v="9"/>
    <s v="TMPV.NS"/>
    <n v="404.14746663500489"/>
    <n v="405.5359426756641"/>
    <n v="400.27955828370148"/>
    <n v="402.51104736328119"/>
    <n v="14126009"/>
    <n v="-0.96"/>
    <n v="3.02"/>
    <x v="1"/>
    <s v="Q4-2025"/>
  </r>
  <r>
    <d v="2025-10-23T00:00:00"/>
    <x v="10"/>
    <s v="SUNPHARMA.NS"/>
    <n v="1689.5680420085409"/>
    <n v="1696.5046849962589"/>
    <n v="1666.974356462362"/>
    <n v="1674.604736328125"/>
    <n v="2687094"/>
    <n v="-1.34"/>
    <n v="21.9"/>
    <x v="1"/>
    <s v="Q4-2025"/>
  </r>
  <r>
    <d v="2025-10-23T00:00:00"/>
    <x v="11"/>
    <s v="ASIANPAINT.NS"/>
    <n v="2493.342597184148"/>
    <n v="2520.1677313672521"/>
    <n v="2471.4669735792691"/>
    <n v="2477.010009765625"/>
    <n v="811738"/>
    <n v="-0.88"/>
    <n v="43.16"/>
    <x v="1"/>
    <s v="Q4-2025"/>
  </r>
  <r>
    <d v="2025-10-23T00:00:00"/>
    <x v="12"/>
    <s v="HINDUNILVR.NS"/>
    <n v="2554.7274727823942"/>
    <n v="2619.749708059458"/>
    <n v="2549.9147410901492"/>
    <n v="2555.31689453125"/>
    <n v="3386744"/>
    <n v="-0.19"/>
    <n v="64.430000000000007"/>
    <x v="1"/>
    <s v="Q4-2025"/>
  </r>
  <r>
    <d v="2025-10-23T00:00:00"/>
    <x v="13"/>
    <s v="LT.NS"/>
    <n v="3852.372581263654"/>
    <n v="3927.8354611063678"/>
    <n v="3852.372581263654"/>
    <n v="3880.794921875"/>
    <n v="2815778"/>
    <n v="0"/>
    <n v="47.04"/>
    <x v="1"/>
    <s v="Q4-2025"/>
  </r>
  <r>
    <d v="2025-10-23T00:00:00"/>
    <x v="14"/>
    <s v="AXISBANK.NS"/>
    <n v="1245.0397715690999"/>
    <n v="1275.1165506443419"/>
    <n v="1240.343442409054"/>
    <n v="1257.829956054688"/>
    <n v="14611221"/>
    <n v="-0.38"/>
    <n v="17.29"/>
    <x v="1"/>
    <s v="Q4-2025"/>
  </r>
  <r>
    <d v="2025-10-24T00:00:00"/>
    <x v="0"/>
    <s v="RELIANCE.NS"/>
    <n v="1443.3266994671069"/>
    <n v="1453.0816457634619"/>
    <n v="1434.3681199531729"/>
    <n v="1444.919311523438"/>
    <n v="9700837"/>
    <n v="-0.62"/>
    <n v="8.16"/>
    <x v="1"/>
    <s v="Q4-2025"/>
  </r>
  <r>
    <d v="2025-10-24T00:00:00"/>
    <x v="1"/>
    <s v="TCS.NS"/>
    <n v="2968.2662739630541"/>
    <n v="2977.9035021252721"/>
    <n v="2947.3535359078201"/>
    <n v="2952.07568359375"/>
    <n v="2684318"/>
    <n v="-0.7"/>
    <n v="25.83"/>
    <x v="1"/>
    <s v="Q4-2025"/>
  </r>
  <r>
    <d v="2025-10-24T00:00:00"/>
    <x v="2"/>
    <s v="INFY.NS"/>
    <n v="1484.1708637038651"/>
    <n v="1487.5450748262831"/>
    <n v="1463.4435668090071"/>
    <n v="1470.57763671875"/>
    <n v="8652257"/>
    <n v="-1.4"/>
    <n v="16.97"/>
    <x v="1"/>
    <s v="Q4-2025"/>
  </r>
  <r>
    <d v="2025-10-24T00:00:00"/>
    <x v="3"/>
    <s v="HDFCBANK.NS"/>
    <n v="994.55067019331955"/>
    <n v="995.48522536364078"/>
    <n v="975.17118419597091"/>
    <n v="978.5650634765625"/>
    <n v="17707768"/>
    <n v="-1.95"/>
    <n v="16.920000000000002"/>
    <x v="1"/>
    <s v="Q4-2025"/>
  </r>
  <r>
    <d v="2025-10-24T00:00:00"/>
    <x v="4"/>
    <s v="ICICIBANK.NS"/>
    <n v="1356.66265330236"/>
    <n v="1370.0497932383421"/>
    <n v="1356.66265330236"/>
    <n v="1366.182373046875"/>
    <n v="10570263"/>
    <n v="0"/>
    <n v="3.87"/>
    <x v="1"/>
    <s v="Q4-2025"/>
  </r>
  <r>
    <d v="2025-10-24T00:00:00"/>
    <x v="5"/>
    <s v="WIPRO.NS"/>
    <n v="236.1370237774741"/>
    <n v="236.98519412007411"/>
    <n v="233.39976548046019"/>
    <n v="234.1900939941406"/>
    <n v="6803979"/>
    <n v="-1.1599999999999999"/>
    <n v="2.8"/>
    <x v="1"/>
    <s v="Q4-2025"/>
  </r>
  <r>
    <d v="2025-10-24T00:00:00"/>
    <x v="6"/>
    <s v="HCLTECH.NS"/>
    <n v="1470.577172339596"/>
    <n v="1477.9059268360011"/>
    <n v="1462.284104943295"/>
    <n v="1469.420043945312"/>
    <n v="1491451"/>
    <n v="-0.56000000000000005"/>
    <n v="8.49"/>
    <x v="1"/>
    <s v="Q4-2025"/>
  </r>
  <r>
    <d v="2025-10-24T00:00:00"/>
    <x v="7"/>
    <s v="BAJFINANCE.NS"/>
    <n v="1086.8191299385969"/>
    <n v="1091.887946608937"/>
    <n v="1080.7564228887979"/>
    <n v="1083.092041015625"/>
    <n v="6440277"/>
    <n v="-0.56000000000000005"/>
    <n v="8.8000000000000007"/>
    <x v="1"/>
    <s v="Q4-2025"/>
  </r>
  <r>
    <d v="2025-10-24T00:00:00"/>
    <x v="8"/>
    <s v="MARUTI.NS"/>
    <n v="16229.011274214239"/>
    <n v="16259.70303540876"/>
    <n v="16038.920366170731"/>
    <n v="16112.1845703125"/>
    <n v="208520"/>
    <n v="-1.17"/>
    <n v="147.52000000000001"/>
    <x v="1"/>
    <s v="Q4-2025"/>
  </r>
  <r>
    <d v="2025-10-24T00:00:00"/>
    <x v="9"/>
    <s v="TMPV.NS"/>
    <n v="403.60202068618241"/>
    <n v="405.13925667712982"/>
    <n v="397.70095943091559"/>
    <n v="399.98202514648438"/>
    <n v="6311744"/>
    <n v="-1.46"/>
    <n v="5.16"/>
    <x v="1"/>
    <s v="Q4-2025"/>
  </r>
  <r>
    <d v="2025-10-24T00:00:00"/>
    <x v="10"/>
    <s v="SUNPHARMA.NS"/>
    <n v="1674.7037736467221"/>
    <n v="1686.4960906838339"/>
    <n v="1670.739977732766"/>
    <n v="1683.622314453125"/>
    <n v="994307"/>
    <n v="-0.24"/>
    <n v="2.87"/>
    <x v="1"/>
    <s v="Q4-2025"/>
  </r>
  <r>
    <d v="2025-10-24T00:00:00"/>
    <x v="11"/>
    <s v="ASIANPAINT.NS"/>
    <n v="2469.6853737363799"/>
    <n v="2481.2666155330171"/>
    <n v="2461.07369351137"/>
    <n v="2476.218505859375"/>
    <n v="327596"/>
    <n v="-0.35"/>
    <n v="5.05"/>
    <x v="1"/>
    <s v="Q4-2025"/>
  </r>
  <r>
    <d v="2025-10-24T00:00:00"/>
    <x v="12"/>
    <s v="HINDUNILVR.NS"/>
    <n v="2538.0297940056121"/>
    <n v="2538.0297940056121"/>
    <n v="2430.477834855606"/>
    <n v="2471.63232421875"/>
    <n v="3110800"/>
    <n v="-4.24"/>
    <n v="66.400000000000006"/>
    <x v="1"/>
    <s v="Q4-2025"/>
  </r>
  <r>
    <d v="2025-10-24T00:00:00"/>
    <x v="13"/>
    <s v="LT.NS"/>
    <n v="3891.292299996539"/>
    <n v="3901.7896221286942"/>
    <n v="3859.7998500419212"/>
    <n v="3867.128173828125"/>
    <n v="1146636"/>
    <n v="-0.81"/>
    <n v="34.659999999999997"/>
    <x v="1"/>
    <s v="Q4-2025"/>
  </r>
  <r>
    <d v="2025-10-24T00:00:00"/>
    <x v="14"/>
    <s v="AXISBANK.NS"/>
    <n v="1253.233441369618"/>
    <n v="1255.0321030466471"/>
    <n v="1239.144331487033"/>
    <n v="1240.942993164062"/>
    <n v="4882046"/>
    <n v="-1.1200000000000001"/>
    <n v="14.09"/>
    <x v="1"/>
    <s v="Q4-2025"/>
  </r>
  <r>
    <d v="2025-10-27T00:00:00"/>
    <x v="0"/>
    <s v="RELIANCE.NS"/>
    <n v="1456.266786847925"/>
    <n v="1478.1655355223299"/>
    <n v="1451.2897985128329"/>
    <n v="1477.269653320312"/>
    <n v="14113867"/>
    <n v="-0.34"/>
    <n v="0.9"/>
    <x v="1"/>
    <s v="Q4-2025"/>
  </r>
  <r>
    <d v="2025-10-27T00:00:00"/>
    <x v="1"/>
    <s v="TCS.NS"/>
    <n v="2955.2558763824859"/>
    <n v="2981.9509500743802"/>
    <n v="2949.1843758702371"/>
    <n v="2972.98828125"/>
    <n v="1946312"/>
    <n v="-0.21"/>
    <n v="8.9600000000000009"/>
    <x v="1"/>
    <s v="Q4-2025"/>
  </r>
  <r>
    <d v="2025-10-27T00:00:00"/>
    <x v="2"/>
    <s v="INFY.NS"/>
    <n v="1478.0165606695541"/>
    <n v="1483.204348709505"/>
    <n v="1466.3685916918339"/>
    <n v="1472.633056640625"/>
    <n v="7273211"/>
    <n v="-0.79"/>
    <n v="10.57"/>
    <x v="1"/>
    <s v="Q4-2025"/>
  </r>
  <r>
    <d v="2025-10-27T00:00:00"/>
    <x v="3"/>
    <s v="HDFCBANK.NS"/>
    <n v="980.28658465599494"/>
    <n v="992.63237960937556"/>
    <n v="979.99147777289625"/>
    <n v="986.63165283203125"/>
    <n v="15700796"/>
    <n v="-0.03"/>
    <n v="6"/>
    <x v="1"/>
    <s v="Q4-2025"/>
  </r>
  <r>
    <d v="2025-10-27T00:00:00"/>
    <x v="4"/>
    <s v="ICICIBANK.NS"/>
    <n v="1370.545631992856"/>
    <n v="1375.206412664237"/>
    <n v="1362.5133721313009"/>
    <n v="1366.083251953125"/>
    <n v="11499836"/>
    <n v="-0.59"/>
    <n v="9.1199999999999992"/>
    <x v="1"/>
    <s v="Q4-2025"/>
  </r>
  <r>
    <d v="2025-10-27T00:00:00"/>
    <x v="5"/>
    <s v="WIPRO.NS"/>
    <n v="234.48889027997771"/>
    <n v="236.84062475552139"/>
    <n v="234.26721473060019"/>
    <n v="235.08647155761719"/>
    <n v="9550336"/>
    <n v="-0.09"/>
    <n v="1.75"/>
    <x v="1"/>
    <s v="Q4-2025"/>
  </r>
  <r>
    <d v="2025-10-27T00:00:00"/>
    <x v="6"/>
    <s v="HCLTECH.NS"/>
    <n v="1476.748770202677"/>
    <n v="1494.2028098142141"/>
    <n v="1472.3129544907799"/>
    <n v="1478.773803710938"/>
    <n v="1394846"/>
    <n v="-0.3"/>
    <n v="15.43"/>
    <x v="1"/>
    <s v="Q4-2025"/>
  </r>
  <r>
    <d v="2025-10-27T00:00:00"/>
    <x v="7"/>
    <s v="BAJFINANCE.NS"/>
    <n v="1084.284566828838"/>
    <n v="1087.3159807528759"/>
    <n v="1069.1774829021081"/>
    <n v="1077.774658203125"/>
    <n v="7366175"/>
    <n v="-1.39"/>
    <n v="9.5399999999999991"/>
    <x v="1"/>
    <s v="Q4-2025"/>
  </r>
  <r>
    <d v="2025-10-27T00:00:00"/>
    <x v="8"/>
    <s v="MARUTI.NS"/>
    <n v="16187.428622982519"/>
    <n v="16246.832030773279"/>
    <n v="16113.174363244059"/>
    <n v="16225.05078125"/>
    <n v="209829"/>
    <n v="-0.46"/>
    <n v="21.78"/>
    <x v="1"/>
    <s v="Q4-2025"/>
  </r>
  <r>
    <d v="2025-10-27T00:00:00"/>
    <x v="9"/>
    <s v="TMPV.NS"/>
    <n v="400.67626895598988"/>
    <n v="408.015382680595"/>
    <n v="400.32914237265209"/>
    <n v="406.67648315429688"/>
    <n v="10699376"/>
    <n v="-0.09"/>
    <n v="1.34"/>
    <x v="1"/>
    <s v="Q4-2025"/>
  </r>
  <r>
    <d v="2025-10-27T00:00:00"/>
    <x v="10"/>
    <s v="SUNPHARMA.NS"/>
    <n v="1685.6042871936229"/>
    <n v="1693.0364048620249"/>
    <n v="1674.703847946633"/>
    <n v="1678.271240234375"/>
    <n v="2067904"/>
    <n v="-0.65"/>
    <n v="14.77"/>
    <x v="1"/>
    <s v="Q4-2025"/>
  </r>
  <r>
    <d v="2025-10-27T00:00:00"/>
    <x v="11"/>
    <s v="ASIANPAINT.NS"/>
    <n v="2476.2184587966722"/>
    <n v="2504.330211141702"/>
    <n v="2474.2387511198799"/>
    <n v="2493.243896484375"/>
    <n v="550089"/>
    <n v="-0.08"/>
    <n v="11.09"/>
    <x v="1"/>
    <s v="Q4-2025"/>
  </r>
  <r>
    <d v="2025-10-27T00:00:00"/>
    <x v="12"/>
    <s v="HINDUNILVR.NS"/>
    <n v="2471.632278344247"/>
    <n v="2480.0793772907618"/>
    <n v="2461.4173938576828"/>
    <n v="2467.1142578125"/>
    <n v="2127832"/>
    <n v="-0.41"/>
    <n v="12.97"/>
    <x v="1"/>
    <s v="Q4-2025"/>
  </r>
  <r>
    <d v="2025-10-27T00:00:00"/>
    <x v="13"/>
    <s v="LT.NS"/>
    <n v="3874.1597944485038"/>
    <n v="3909.8115716980301"/>
    <n v="3869.2081587194029"/>
    <n v="3885.845703125"/>
    <n v="1057688"/>
    <n v="-0.13"/>
    <n v="23.97"/>
    <x v="1"/>
    <s v="Q4-2025"/>
  </r>
  <r>
    <d v="2025-10-27T00:00:00"/>
    <x v="14"/>
    <s v="AXISBANK.NS"/>
    <n v="1242.4418393134461"/>
    <n v="1257.530178602663"/>
    <n v="1241.6424070164869"/>
    <n v="1253.133544921875"/>
    <n v="6185072"/>
    <n v="-0.06"/>
    <n v="4.4000000000000004"/>
    <x v="1"/>
    <s v="Q4-2025"/>
  </r>
  <r>
    <d v="2025-10-28T00:00:00"/>
    <x v="0"/>
    <s v="RELIANCE.NS"/>
    <n v="1477.2697225639299"/>
    <n v="1485.133388803667"/>
    <n v="1470.7996374250399"/>
    <n v="1480.056884765625"/>
    <n v="17631577"/>
    <n v="-0.44"/>
    <n v="5.08"/>
    <x v="1"/>
    <s v="Q4-2025"/>
  </r>
  <r>
    <d v="2025-10-28T00:00:00"/>
    <x v="1"/>
    <s v="TCS.NS"/>
    <n v="2964.4114953280432"/>
    <n v="2978.0963127815548"/>
    <n v="2929.9101701396821"/>
    <n v="2946.968017578125"/>
    <n v="3470737"/>
    <n v="-1.1599999999999999"/>
    <n v="31.13"/>
    <x v="1"/>
    <s v="Q4-2025"/>
  </r>
  <r>
    <d v="2025-10-28T00:00:00"/>
    <x v="2"/>
    <s v="INFY.NS"/>
    <n v="1467.9347848431601"/>
    <n v="1474.590801738831"/>
    <n v="1458.9296979699479"/>
    <n v="1468.424194335938"/>
    <n v="8211019"/>
    <n v="-0.61"/>
    <n v="6.17"/>
    <x v="1"/>
    <s v="Q4-2025"/>
  </r>
  <r>
    <d v="2025-10-28T00:00:00"/>
    <x v="3"/>
    <s v="HDFCBANK.NS"/>
    <n v="981.41789397409241"/>
    <n v="991.59947167535074"/>
    <n v="978.81098642556935"/>
    <n v="987.22186279296875"/>
    <n v="33904289"/>
    <n v="-0.27"/>
    <n v="4.38"/>
    <x v="1"/>
    <s v="Q4-2025"/>
  </r>
  <r>
    <d v="2025-10-28T00:00:00"/>
    <x v="4"/>
    <s v="ICICIBANK.NS"/>
    <n v="1361.521728041381"/>
    <n v="1364.2983684777021"/>
    <n v="1344.8621275230651"/>
    <n v="1351.704467773438"/>
    <n v="26477914"/>
    <n v="-1.22"/>
    <n v="12.59"/>
    <x v="1"/>
    <s v="Q4-2025"/>
  </r>
  <r>
    <d v="2025-10-28T00:00:00"/>
    <x v="5"/>
    <s v="WIPRO.NS"/>
    <n v="234.84551074491421"/>
    <n v="235.84788188003009"/>
    <n v="232.66725768852541"/>
    <n v="233.61181640625"/>
    <n v="8780789"/>
    <n v="-0.93"/>
    <n v="2.2400000000000002"/>
    <x v="1"/>
    <s v="Q4-2025"/>
  </r>
  <r>
    <d v="2025-10-28T00:00:00"/>
    <x v="6"/>
    <s v="HCLTECH.NS"/>
    <n v="1480.220299585141"/>
    <n v="1486.970489876408"/>
    <n v="1458.041102913832"/>
    <n v="1467.780639648438"/>
    <n v="1936466"/>
    <n v="-1.5"/>
    <n v="19.190000000000001"/>
    <x v="1"/>
    <s v="Q4-2025"/>
  </r>
  <r>
    <d v="2025-10-28T00:00:00"/>
    <x v="7"/>
    <s v="BAJFINANCE.NS"/>
    <n v="1071.4138474332181"/>
    <n v="1085.7258934078029"/>
    <n v="1056.555234535261"/>
    <n v="1066.195922851562"/>
    <n v="12324341"/>
    <n v="-1.39"/>
    <n v="19.53"/>
    <x v="1"/>
    <s v="Q4-2025"/>
  </r>
  <r>
    <d v="2025-10-28T00:00:00"/>
    <x v="8"/>
    <s v="MARUTI.NS"/>
    <n v="16235.941404334109"/>
    <n v="16330.98685678951"/>
    <n v="16099.31356642948"/>
    <n v="16148.81640625"/>
    <n v="383383"/>
    <n v="-0.84"/>
    <n v="182.17"/>
    <x v="1"/>
    <s v="Q4-2025"/>
  </r>
  <r>
    <d v="2025-10-28T00:00:00"/>
    <x v="9"/>
    <s v="TMPV.NS"/>
    <n v="407.91619629456352"/>
    <n v="410.74275521424812"/>
    <n v="405.18882072173773"/>
    <n v="408.11456298828119"/>
    <n v="10332279"/>
    <n v="-0.67"/>
    <n v="2.63"/>
    <x v="1"/>
    <s v="Q4-2025"/>
  </r>
  <r>
    <d v="2025-10-28T00:00:00"/>
    <x v="10"/>
    <s v="SUNPHARMA.NS"/>
    <n v="1676.685702013559"/>
    <n v="1687.288807889521"/>
    <n v="1664.0015064726661"/>
    <n v="1671.73095703125"/>
    <n v="2440939"/>
    <n v="-0.76"/>
    <n v="15.56"/>
    <x v="1"/>
    <s v="Q4-2025"/>
  </r>
  <r>
    <d v="2025-10-28T00:00:00"/>
    <x v="11"/>
    <s v="ASIANPAINT.NS"/>
    <n v="2489.4822059889898"/>
    <n v="2502.944313788174"/>
    <n v="2466.715569512749"/>
    <n v="2483.840087890625"/>
    <n v="1103957"/>
    <n v="-0.91"/>
    <n v="19.100000000000001"/>
    <x v="1"/>
    <s v="Q4-2025"/>
  </r>
  <r>
    <d v="2025-10-28T00:00:00"/>
    <x v="12"/>
    <s v="HINDUNILVR.NS"/>
    <n v="2474.1863226699879"/>
    <n v="2481.0617908155568"/>
    <n v="2437.7462455795489"/>
    <n v="2452.676025390625"/>
    <n v="2294976"/>
    <n v="-1.47"/>
    <n v="28.39"/>
    <x v="1"/>
    <s v="Q4-2025"/>
  </r>
  <r>
    <d v="2025-10-28T00:00:00"/>
    <x v="13"/>
    <s v="LT.NS"/>
    <n v="3884.1620460240611"/>
    <n v="3947.4438514977551"/>
    <n v="3879.4084275510381"/>
    <n v="3934.37158203125"/>
    <n v="3391806"/>
    <n v="-0.12"/>
    <n v="13.07"/>
    <x v="1"/>
    <s v="Q4-2025"/>
  </r>
  <r>
    <d v="2025-10-28T00:00:00"/>
    <x v="14"/>
    <s v="AXISBANK.NS"/>
    <n v="1248.0374700896889"/>
    <n v="1257.9298651445749"/>
    <n v="1235.6470016359051"/>
    <n v="1245.339599609375"/>
    <n v="8146777"/>
    <n v="-0.99"/>
    <n v="12.59"/>
    <x v="1"/>
    <s v="Q4-2025"/>
  </r>
  <r>
    <d v="2025-10-29T00:00:00"/>
    <x v="0"/>
    <s v="RELIANCE.NS"/>
    <n v="1483.142501553674"/>
    <n v="1501.35832718958"/>
    <n v="1481.2512217130791"/>
    <n v="1497.277099609375"/>
    <n v="11884745"/>
    <n v="-0.13"/>
    <n v="4.08"/>
    <x v="1"/>
    <s v="Q4-2025"/>
  </r>
  <r>
    <d v="2025-10-29T00:00:00"/>
    <x v="1"/>
    <s v="TCS.NS"/>
    <n v="2946.968127858293"/>
    <n v="2964.4116062609742"/>
    <n v="2935.5963859963831"/>
    <n v="2946.67919921875"/>
    <n v="2895420"/>
    <n v="-0.39"/>
    <n v="17.73"/>
    <x v="1"/>
    <s v="Q4-2025"/>
  </r>
  <r>
    <d v="2025-10-29T00:00:00"/>
    <x v="2"/>
    <s v="INFY.NS"/>
    <n v="1468.4241778932901"/>
    <n v="1488.000557385187"/>
    <n v="1465.19414696797"/>
    <n v="1478.408203125"/>
    <n v="4884976"/>
    <n v="-0.22"/>
    <n v="9.59"/>
    <x v="1"/>
    <s v="Q4-2025"/>
  </r>
  <r>
    <d v="2025-10-29T00:00:00"/>
    <x v="3"/>
    <s v="HDFCBANK.NS"/>
    <n v="988.54994986140662"/>
    <n v="996.02627118880139"/>
    <n v="983.72965055684097"/>
    <n v="991.451904296875"/>
    <n v="17769445"/>
    <n v="-0.49"/>
    <n v="4.57"/>
    <x v="1"/>
    <s v="Q4-2025"/>
  </r>
  <r>
    <d v="2025-10-29T00:00:00"/>
    <x v="4"/>
    <s v="ICICIBANK.NS"/>
    <n v="1353.191921020162"/>
    <n v="1360.2325408166009"/>
    <n v="1347.043801434495"/>
    <n v="1358.943481445312"/>
    <n v="16129382"/>
    <n v="-0.45"/>
    <n v="1.29"/>
    <x v="1"/>
    <s v="Q4-2025"/>
  </r>
  <r>
    <d v="2025-10-29T00:00:00"/>
    <x v="5"/>
    <s v="WIPRO.NS"/>
    <n v="234.7876821872953"/>
    <n v="234.7876821872953"/>
    <n v="232.89857947017609"/>
    <n v="233.51542663574219"/>
    <n v="8776917"/>
    <n v="-0.8"/>
    <n v="1.27"/>
    <x v="1"/>
    <s v="Q4-2025"/>
  </r>
  <r>
    <d v="2025-10-29T00:00:00"/>
    <x v="6"/>
    <s v="HCLTECH.NS"/>
    <n v="1475.3986987319199"/>
    <n v="1503.3637721065779"/>
    <n v="1467.684195732015"/>
    <n v="1501.724487304688"/>
    <n v="2596355"/>
    <n v="-0.52"/>
    <n v="1.64"/>
    <x v="1"/>
    <s v="Q4-2025"/>
  </r>
  <r>
    <d v="2025-10-29T00:00:00"/>
    <x v="7"/>
    <s v="BAJFINANCE.NS"/>
    <n v="1065.450444584244"/>
    <n v="1072.55678478084"/>
    <n v="1054.7661234281991"/>
    <n v="1056.455688476562"/>
    <n v="5386803"/>
    <n v="-1"/>
    <n v="16.100000000000001"/>
    <x v="1"/>
    <s v="Q4-2025"/>
  </r>
  <r>
    <d v="2025-10-29T00:00:00"/>
    <x v="8"/>
    <s v="MARUTI.NS"/>
    <n v="16197.329725453899"/>
    <n v="16264.653589838421"/>
    <n v="15886.45188109005"/>
    <n v="15977.537109375"/>
    <n v="232815"/>
    <n v="-1.92"/>
    <n v="287.12"/>
    <x v="1"/>
    <s v="Q4-2025"/>
  </r>
  <r>
    <d v="2025-10-29T00:00:00"/>
    <x v="9"/>
    <s v="TMPV.NS"/>
    <n v="409.10635318322409"/>
    <n v="411.58578562675882"/>
    <n v="403.70117834971472"/>
    <n v="407.9658203125"/>
    <n v="8485023"/>
    <n v="-1.32"/>
    <n v="3.62"/>
    <x v="1"/>
    <s v="Q4-2025"/>
  </r>
  <r>
    <d v="2025-10-29T00:00:00"/>
    <x v="10"/>
    <s v="SUNPHARMA.NS"/>
    <n v="1674.703781903132"/>
    <n v="1706.4141493711199"/>
    <n v="1672.0282680342009"/>
    <n v="1700.369384765625"/>
    <n v="1016738"/>
    <n v="-0.16"/>
    <n v="6.04"/>
    <x v="1"/>
    <s v="Q4-2025"/>
  </r>
  <r>
    <d v="2025-10-29T00:00:00"/>
    <x v="11"/>
    <s v="ASIANPAINT.NS"/>
    <n v="2494.431676061437"/>
    <n v="2524.9192226571181"/>
    <n v="2487.0077722636361"/>
    <n v="2512.94189453125"/>
    <n v="615292"/>
    <n v="-0.3"/>
    <n v="11.98"/>
    <x v="1"/>
    <s v="Q4-2025"/>
  </r>
  <r>
    <d v="2025-10-29T00:00:00"/>
    <x v="12"/>
    <s v="HINDUNILVR.NS"/>
    <n v="2467.9000740374131"/>
    <n v="2468.8822836920008"/>
    <n v="2439.808781997277"/>
    <n v="2443.8359375"/>
    <n v="1870143"/>
    <n v="-1.1399999999999999"/>
    <n v="25.05"/>
    <x v="1"/>
    <s v="Q4-2025"/>
  </r>
  <r>
    <d v="2025-10-29T00:00:00"/>
    <x v="13"/>
    <s v="LT.NS"/>
    <n v="3949.424649733679"/>
    <n v="3977.846990406787"/>
    <n v="3882.082403950858"/>
    <n v="3919.81396484375"/>
    <n v="2563641"/>
    <n v="-1.71"/>
    <n v="58.03"/>
    <x v="1"/>
    <s v="Q4-2025"/>
  </r>
  <r>
    <d v="2025-10-29T00:00:00"/>
    <x v="14"/>
    <s v="AXISBANK.NS"/>
    <n v="1245.93908634632"/>
    <n v="1250.035902238184"/>
    <n v="1238.244947255514"/>
    <n v="1247.837646484375"/>
    <n v="4578825"/>
    <n v="-0.62"/>
    <n v="2.2000000000000002"/>
    <x v="1"/>
    <s v="Q4-2025"/>
  </r>
  <r>
    <d v="2025-10-30T00:00:00"/>
    <x v="0"/>
    <s v="RELIANCE.NS"/>
    <n v="1493.0964871305"/>
    <n v="1496.182195568869"/>
    <n v="1477.170124601108"/>
    <n v="1481.6494140625"/>
    <n v="9318663"/>
    <n v="-1.07"/>
    <n v="14.53"/>
    <x v="1"/>
    <s v="Q4-2025"/>
  </r>
  <r>
    <d v="2025-10-30T00:00:00"/>
    <x v="1"/>
    <s v="TCS.NS"/>
    <n v="2938.4871653020218"/>
    <n v="2952.6538428349518"/>
    <n v="2922.7784372376141"/>
    <n v="2925.187744140625"/>
    <n v="2241536"/>
    <n v="-0.53"/>
    <n v="27.47"/>
    <x v="1"/>
    <s v="Q4-2025"/>
  </r>
  <r>
    <d v="2025-10-30T00:00:00"/>
    <x v="2"/>
    <s v="INFY.NS"/>
    <n v="1475.080152338646"/>
    <n v="1476.2546872805231"/>
    <n v="1457.559269299787"/>
    <n v="1462.159790039062"/>
    <n v="5608867"/>
    <n v="-1.19"/>
    <n v="14.09"/>
    <x v="1"/>
    <s v="Q4-2025"/>
  </r>
  <r>
    <d v="2025-10-30T00:00:00"/>
    <x v="3"/>
    <s v="HDFCBANK.NS"/>
    <n v="983.72966590414762"/>
    <n v="993.07509773023708"/>
    <n v="980.87682585618813"/>
    <n v="981.9097900390625"/>
    <n v="19962917"/>
    <n v="-0.28999999999999998"/>
    <n v="11.17"/>
    <x v="1"/>
    <s v="Q4-2025"/>
  </r>
  <r>
    <d v="2025-10-30T00:00:00"/>
    <x v="4"/>
    <s v="ICICIBANK.NS"/>
    <n v="1351.010375976562"/>
    <n v="1358.745095436946"/>
    <n v="1349.9195961737939"/>
    <n v="1351.010375976562"/>
    <n v="9324401"/>
    <n v="-0.08"/>
    <n v="7.73"/>
    <x v="1"/>
    <s v="Q4-2025"/>
  </r>
  <r>
    <d v="2025-10-30T00:00:00"/>
    <x v="5"/>
    <s v="WIPRO.NS"/>
    <n v="234.10335279619031"/>
    <n v="235.91534772165269"/>
    <n v="231.79981262696339"/>
    <n v="233.16844177246091"/>
    <n v="8344622"/>
    <n v="-0.98"/>
    <n v="2.75"/>
    <x v="1"/>
    <s v="Q4-2025"/>
  </r>
  <r>
    <d v="2025-10-30T00:00:00"/>
    <x v="6"/>
    <s v="HCLTECH.NS"/>
    <n v="1502.1101652795689"/>
    <n v="1504.231724299304"/>
    <n v="1483.2096558812609"/>
    <n v="1494.4921875"/>
    <n v="2183395"/>
    <n v="-1.26"/>
    <n v="9.74"/>
    <x v="1"/>
    <s v="Q4-2025"/>
  </r>
  <r>
    <d v="2025-10-30T00:00:00"/>
    <x v="7"/>
    <s v="BAJFINANCE.NS"/>
    <n v="1056.505427679926"/>
    <n v="1060.282259488358"/>
    <n v="1038.6154016232581"/>
    <n v="1045.870849609375"/>
    <n v="4271927"/>
    <n v="-1.69"/>
    <n v="14.41"/>
    <x v="1"/>
    <s v="Q4-2025"/>
  </r>
  <r>
    <d v="2025-10-30T00:00:00"/>
    <x v="8"/>
    <s v="MARUTI.NS"/>
    <n v="16029.019442909839"/>
    <n v="16113.17427012709"/>
    <n v="15917.143025550429"/>
    <n v="16044.8603515625"/>
    <n v="230383"/>
    <n v="-0.7"/>
    <n v="68.31"/>
    <x v="1"/>
    <s v="Q4-2025"/>
  </r>
  <r>
    <d v="2025-10-30T00:00:00"/>
    <x v="9"/>
    <s v="TMPV.NS"/>
    <n v="409.30470593121311"/>
    <n v="415.55286336930328"/>
    <n v="404.74254433734149"/>
    <n v="409.0567626953125"/>
    <n v="8783965"/>
    <n v="-1.1100000000000001"/>
    <n v="6.5"/>
    <x v="1"/>
    <s v="Q4-2025"/>
  </r>
  <r>
    <d v="2025-10-30T00:00:00"/>
    <x v="10"/>
    <s v="SUNPHARMA.NS"/>
    <n v="1700.270335688554"/>
    <n v="1701.360355391042"/>
    <n v="1664.893383952799"/>
    <n v="1687.982543945312"/>
    <n v="1986233"/>
    <n v="-2.08"/>
    <n v="13.38"/>
    <x v="1"/>
    <s v="Q4-2025"/>
  </r>
  <r>
    <d v="2025-10-30T00:00:00"/>
    <x v="11"/>
    <s v="ASIANPAINT.NS"/>
    <n v="2509.7742413694091"/>
    <n v="2512.9417251102141"/>
    <n v="2487.7995359421438"/>
    <n v="2497.89599609375"/>
    <n v="736486"/>
    <n v="-0.88"/>
    <n v="15.05"/>
    <x v="1"/>
    <s v="Q4-2025"/>
  </r>
  <r>
    <d v="2025-10-30T00:00:00"/>
    <x v="12"/>
    <s v="HINDUNILVR.NS"/>
    <n v="2446.6842295799652"/>
    <n v="2452.5774874593221"/>
    <n v="2411.226365420252"/>
    <n v="2425.6650390625"/>
    <n v="1195631"/>
    <n v="-1.45"/>
    <n v="26.91"/>
    <x v="1"/>
    <s v="Q4-2025"/>
  </r>
  <r>
    <d v="2025-10-30T00:00:00"/>
    <x v="13"/>
    <s v="LT.NS"/>
    <n v="3941.501989860893"/>
    <n v="4023.303107769138"/>
    <n v="3937.1446471867521"/>
    <n v="3948.929443359375"/>
    <n v="4959400"/>
    <n v="-0.11"/>
    <n v="74.37"/>
    <x v="1"/>
    <s v="Q4-2025"/>
  </r>
  <r>
    <d v="2025-10-30T00:00:00"/>
    <x v="14"/>
    <s v="AXISBANK.NS"/>
    <n v="1242.042141558398"/>
    <n v="1247.038288547772"/>
    <n v="1234.0483063754"/>
    <n v="1237.6455078125"/>
    <n v="4017532"/>
    <n v="-0.64"/>
    <n v="9.39"/>
    <x v="1"/>
    <s v="Q4-2025"/>
  </r>
  <r>
    <d v="2025-10-31T00:00:00"/>
    <x v="0"/>
    <s v="RELIANCE.NS"/>
    <n v="1483.540795005222"/>
    <n v="1490.608094557515"/>
    <n v="1475.4780977270141"/>
    <n v="1479.559204101562"/>
    <n v="8758053"/>
    <n v="-0.54"/>
    <n v="11.05"/>
    <x v="1"/>
    <s v="Q4-2025"/>
  </r>
  <r>
    <d v="2025-10-31T00:00:00"/>
    <x v="1"/>
    <s v="TCS.NS"/>
    <n v="2924.8985854374032"/>
    <n v="2956.123108842196"/>
    <n v="2915.3578241981272"/>
    <n v="2947.064208984375"/>
    <n v="1868085"/>
    <n v="-0.33"/>
    <n v="9.06"/>
    <x v="1"/>
    <s v="Q4-2025"/>
  </r>
  <r>
    <d v="2025-10-31T00:00:00"/>
    <x v="2"/>
    <s v="INFY.NS"/>
    <n v="1458.4403008415879"/>
    <n v="1465.3898918009991"/>
    <n v="1449.337236404855"/>
    <n v="1450.903442382812"/>
    <n v="4819814"/>
    <n v="-0.62"/>
    <n v="14.49"/>
    <x v="1"/>
    <s v="Q4-2025"/>
  </r>
  <r>
    <d v="2025-10-31T00:00:00"/>
    <x v="3"/>
    <s v="HDFCBANK.NS"/>
    <n v="977.82726772376452"/>
    <n v="988.10725452867541"/>
    <n v="965.18636579467568"/>
    <n v="971.23626708984375"/>
    <n v="23221330"/>
    <n v="-1.29"/>
    <n v="16.87"/>
    <x v="1"/>
    <s v="Q4-2025"/>
  </r>
  <r>
    <d v="2025-10-31T00:00:00"/>
    <x v="4"/>
    <s v="ICICIBANK.NS"/>
    <n v="1345.6554843440949"/>
    <n v="1350.6136843601009"/>
    <n v="1332.07006472016"/>
    <n v="1334.053344726562"/>
    <n v="15926798"/>
    <n v="-1.01"/>
    <n v="16.559999999999999"/>
    <x v="1"/>
    <s v="Q4-2025"/>
  </r>
  <r>
    <d v="2025-10-31T00:00:00"/>
    <x v="5"/>
    <s v="WIPRO.NS"/>
    <n v="233.3515786248974"/>
    <n v="234.39251097613879"/>
    <n v="231.79982040315741"/>
    <n v="231.96366882324219"/>
    <n v="5659566"/>
    <n v="-0.66"/>
    <n v="2.4300000000000002"/>
    <x v="1"/>
    <s v="Q4-2025"/>
  </r>
  <r>
    <d v="2025-10-31T00:00:00"/>
    <x v="6"/>
    <s v="HCLTECH.NS"/>
    <n v="1494.492247841883"/>
    <n v="1502.5923824010829"/>
    <n v="1482.7275592955509"/>
    <n v="1486.488403320312"/>
    <n v="1723467"/>
    <n v="-0.79"/>
    <n v="16.100000000000001"/>
    <x v="1"/>
    <s v="Q4-2025"/>
  </r>
  <r>
    <d v="2025-10-31T00:00:00"/>
    <x v="7"/>
    <s v="BAJFINANCE.NS"/>
    <n v="1045.5726982056319"/>
    <n v="1062.916037112793"/>
    <n v="1035.037484256675"/>
    <n v="1036.428955078125"/>
    <n v="5315632"/>
    <n v="-1.01"/>
    <n v="26.49"/>
    <x v="1"/>
    <s v="Q4-2025"/>
  </r>
  <r>
    <d v="2025-10-31T00:00:00"/>
    <x v="8"/>
    <s v="MARUTI.NS"/>
    <n v="16042.880592941039"/>
    <n v="16351.778318502489"/>
    <n v="15790.416105703331"/>
    <n v="16025.0595703125"/>
    <n v="719402"/>
    <n v="-1.57"/>
    <n v="326.72000000000003"/>
    <x v="1"/>
    <s v="Q4-2025"/>
  </r>
  <r>
    <d v="2025-10-31T00:00:00"/>
    <x v="9"/>
    <s v="TMPV.NS"/>
    <n v="410.64359107779381"/>
    <n v="414.06521997219181"/>
    <n v="405.68472616794719"/>
    <n v="406.62692260742188"/>
    <n v="8012169"/>
    <n v="-1.21"/>
    <n v="7.44"/>
    <x v="1"/>
    <s v="Q4-2025"/>
  </r>
  <r>
    <d v="2025-10-31T00:00:00"/>
    <x v="10"/>
    <s v="SUNPHARMA.NS"/>
    <n v="1684.613335216337"/>
    <n v="1689.5680803199141"/>
    <n v="1671.5328565290749"/>
    <n v="1675.3974609375"/>
    <n v="1560918"/>
    <n v="-0.78"/>
    <n v="14.17"/>
    <x v="1"/>
    <s v="Q4-2025"/>
  </r>
  <r>
    <d v="2025-10-31T00:00:00"/>
    <x v="11"/>
    <s v="ASIANPAINT.NS"/>
    <n v="2497.7967185966359"/>
    <n v="2504.3298496524339"/>
    <n v="2479.8805117059192"/>
    <n v="2485.32470703125"/>
    <n v="609128"/>
    <n v="-0.72"/>
    <n v="19.010000000000002"/>
    <x v="1"/>
    <s v="Q4-2025"/>
  </r>
  <r>
    <d v="2025-10-31T00:00:00"/>
    <x v="12"/>
    <s v="HINDUNILVR.NS"/>
    <n v="2425.0756732953819"/>
    <n v="2435.3888748221548"/>
    <n v="2409.2620017020849"/>
    <n v="2421.637939453125"/>
    <n v="1401937"/>
    <n v="-0.65"/>
    <n v="13.75"/>
    <x v="1"/>
    <s v="Q4-2025"/>
  </r>
  <r>
    <d v="2025-10-31T00:00:00"/>
    <x v="13"/>
    <s v="LT.NS"/>
    <n v="3962.397869574173"/>
    <n v="4006.7643303770592"/>
    <n v="3941.6998880485448"/>
    <n v="3991.909423828125"/>
    <n v="2328183"/>
    <n v="-0.52"/>
    <n v="14.85"/>
    <x v="1"/>
    <s v="Q4-2025"/>
  </r>
  <r>
    <d v="2025-10-31T00:00:00"/>
    <x v="14"/>
    <s v="AXISBANK.NS"/>
    <n v="1242.042066034016"/>
    <n v="1244.4402408383401"/>
    <n v="1230.051313988635"/>
    <n v="1231.849975585938"/>
    <n v="4106607"/>
    <n v="-0.97"/>
    <n v="12.59"/>
    <x v="1"/>
    <s v="Q4-2025"/>
  </r>
  <r>
    <d v="2025-11-03T00:00:00"/>
    <x v="0"/>
    <s v="RELIANCE.NS"/>
    <n v="1479.161008996221"/>
    <n v="1488.1195884585129"/>
    <n v="1472.491892888808"/>
    <n v="1477.866943359375"/>
    <n v="8452085"/>
    <n v="-0.45"/>
    <n v="10.25"/>
    <x v="2"/>
    <s v="Q4-2025"/>
  </r>
  <r>
    <d v="2025-11-03T00:00:00"/>
    <x v="1"/>
    <s v="TCS.NS"/>
    <n v="2936.3668007969732"/>
    <n v="2947.064217610156"/>
    <n v="2900.8055248549931"/>
    <n v="2907.35888671875"/>
    <n v="2194877"/>
    <n v="-1.21"/>
    <n v="39.71"/>
    <x v="2"/>
    <s v="Q4-2025"/>
  </r>
  <r>
    <d v="2025-11-03T00:00:00"/>
    <x v="2"/>
    <s v="INFY.NS"/>
    <n v="1450.903349674639"/>
    <n v="1459.810578052613"/>
    <n v="1442.9748207432419"/>
    <n v="1454.035522460938"/>
    <n v="5470600"/>
    <n v="-0.55000000000000004"/>
    <n v="5.78"/>
    <x v="2"/>
    <s v="Q4-2025"/>
  </r>
  <r>
    <d v="2025-11-03T00:00:00"/>
    <x v="3"/>
    <s v="HDFCBANK.NS"/>
    <n v="968.9737116887809"/>
    <n v="978.36831790028907"/>
    <n v="967.30135926424964"/>
    <n v="976.499267578125"/>
    <n v="16607180"/>
    <n v="-0.17"/>
    <n v="1.87"/>
    <x v="2"/>
    <s v="Q4-2025"/>
  </r>
  <r>
    <d v="2025-11-03T00:00:00"/>
    <x v="4"/>
    <s v="ICICIBANK.NS"/>
    <n v="1329.293343097266"/>
    <n v="1340.3005222505139"/>
    <n v="1326.715103456384"/>
    <n v="1335.14404296875"/>
    <n v="11071450"/>
    <n v="-0.19"/>
    <n v="5.16"/>
    <x v="2"/>
    <s v="Q4-2025"/>
  </r>
  <r>
    <d v="2025-11-03T00:00:00"/>
    <x v="5"/>
    <s v="WIPRO.NS"/>
    <n v="231.9636836356257"/>
    <n v="232.56125023018711"/>
    <n v="230.83601052647069"/>
    <n v="231.7998352050781"/>
    <n v="4902693"/>
    <n v="-0.49"/>
    <n v="0.76"/>
    <x v="2"/>
    <s v="Q4-2025"/>
  </r>
  <r>
    <d v="2025-11-03T00:00:00"/>
    <x v="6"/>
    <s v="HCLTECH.NS"/>
    <n v="1485.1381829149191"/>
    <n v="1494.3955626459349"/>
    <n v="1473.662836563966"/>
    <n v="1488.416870117188"/>
    <n v="2252136"/>
    <n v="-0.77"/>
    <n v="5.98"/>
    <x v="2"/>
    <s v="Q4-2025"/>
  </r>
  <r>
    <d v="2025-11-03T00:00:00"/>
    <x v="7"/>
    <s v="BAJFINANCE.NS"/>
    <n v="1030.664343613134"/>
    <n v="1041.597138000544"/>
    <n v="1024.701001220001"/>
    <n v="1036.72705078125"/>
    <n v="4135617"/>
    <n v="-0.57999999999999996"/>
    <n v="4.87"/>
    <x v="2"/>
    <s v="Q4-2025"/>
  </r>
  <r>
    <d v="2025-11-03T00:00:00"/>
    <x v="8"/>
    <s v="MARUTI.NS"/>
    <n v="15856.749636604691"/>
    <n v="15939.91440742604"/>
    <n v="15375.58203399543"/>
    <n v="15495.37890625"/>
    <n v="942850"/>
    <n v="-3.03"/>
    <n v="444.54"/>
    <x v="2"/>
    <s v="Q4-2025"/>
  </r>
  <r>
    <d v="2025-11-03T00:00:00"/>
    <x v="9"/>
    <s v="TMPV.NS"/>
    <n v="410.59398667589369"/>
    <n v="414.41231845069802"/>
    <n v="406.72607836195851"/>
    <n v="413.56930541992188"/>
    <n v="8952229"/>
    <n v="-0.94"/>
    <n v="0.84"/>
    <x v="2"/>
    <s v="Q4-2025"/>
  </r>
  <r>
    <d v="2025-11-03T00:00:00"/>
    <x v="10"/>
    <s v="SUNPHARMA.NS"/>
    <n v="1672.92009946025"/>
    <n v="1697.2975423035921"/>
    <n v="1665.983456269322"/>
    <n v="1690.955444335938"/>
    <n v="1099955"/>
    <n v="-0.41"/>
    <n v="6.34"/>
    <x v="2"/>
    <s v="Q4-2025"/>
  </r>
  <r>
    <d v="2025-11-03T00:00:00"/>
    <x v="11"/>
    <s v="ASIANPAINT.NS"/>
    <n v="2470.8730323980371"/>
    <n v="2489.7793368360449"/>
    <n v="2469.685256158642"/>
    <n v="2486.710693359375"/>
    <n v="425210"/>
    <n v="-0.05"/>
    <n v="3.07"/>
    <x v="2"/>
    <s v="Q4-2025"/>
  </r>
  <r>
    <d v="2025-11-03T00:00:00"/>
    <x v="12"/>
    <s v="HINDUNILVR.NS"/>
    <n v="2412.4053179677908"/>
    <n v="2430.870668320636"/>
    <n v="2396.8863568906381"/>
    <n v="2416.23583984375"/>
    <n v="1049185"/>
    <n v="-0.64"/>
    <n v="14.63"/>
    <x v="2"/>
    <s v="Q4-2025"/>
  </r>
  <r>
    <d v="2025-11-03T00:00:00"/>
    <x v="13"/>
    <s v="LT.NS"/>
    <n v="3991.018262368892"/>
    <n v="4001.9118606036459"/>
    <n v="3936.4511417722661"/>
    <n v="3941.9970703125"/>
    <n v="1154072"/>
    <n v="-1.37"/>
    <n v="59.91"/>
    <x v="2"/>
    <s v="Q4-2025"/>
  </r>
  <r>
    <d v="2025-11-03T00:00:00"/>
    <x v="14"/>
    <s v="AXISBANK.NS"/>
    <n v="1225.055249953743"/>
    <n v="1240.043691021692"/>
    <n v="1221.3581499474799"/>
    <n v="1232.749267578125"/>
    <n v="6118907"/>
    <n v="-0.3"/>
    <n v="7.29"/>
    <x v="2"/>
    <s v="Q4-2025"/>
  </r>
  <r>
    <d v="2025-11-04T00:00:00"/>
    <x v="0"/>
    <s v="RELIANCE.NS"/>
    <n v="1477.07065615293"/>
    <n v="1485.929719893594"/>
    <n v="1463.334119430687"/>
    <n v="1466.3203125"/>
    <n v="10007806"/>
    <n v="-0.93"/>
    <n v="19.61"/>
    <x v="2"/>
    <s v="Q4-2025"/>
  </r>
  <r>
    <d v="2025-11-04T00:00:00"/>
    <x v="1"/>
    <s v="TCS.NS"/>
    <n v="2910.0574685167062"/>
    <n v="2919.4055326440948"/>
    <n v="2868.0390602145239"/>
    <n v="2881.723876953125"/>
    <n v="2670720"/>
    <n v="-1.44"/>
    <n v="37.68"/>
    <x v="2"/>
    <s v="Q4-2025"/>
  </r>
  <r>
    <d v="2025-11-04T00:00:00"/>
    <x v="2"/>
    <s v="INFY.NS"/>
    <n v="1448.358341440168"/>
    <n v="1450.511814804534"/>
    <n v="1431.914254896818"/>
    <n v="1436.808349609375"/>
    <n v="8691330"/>
    <n v="-1.1399999999999999"/>
    <n v="13.7"/>
    <x v="2"/>
    <s v="Q4-2025"/>
  </r>
  <r>
    <d v="2025-11-04T00:00:00"/>
    <x v="3"/>
    <s v="HDFCBANK.NS"/>
    <n v="970.94119246433729"/>
    <n v="980.77848924715727"/>
    <n v="967.69489653442554"/>
    <n v="969.21966552734375"/>
    <n v="20024544"/>
    <n v="-0.33"/>
    <n v="11.56"/>
    <x v="2"/>
    <s v="Q4-2025"/>
  </r>
  <r>
    <d v="2025-11-04T00:00:00"/>
    <x v="4"/>
    <s v="ICICIBANK.NS"/>
    <n v="1331.375810196628"/>
    <n v="1338.515690667808"/>
    <n v="1322.0543701938609"/>
    <n v="1325.723510742188"/>
    <n v="15211183"/>
    <n v="-0.7"/>
    <n v="12.79"/>
    <x v="2"/>
    <s v="Q4-2025"/>
  </r>
  <r>
    <d v="2025-11-04T00:00:00"/>
    <x v="5"/>
    <s v="WIPRO.NS"/>
    <n v="231.79982545899989"/>
    <n v="232.12752230631691"/>
    <n v="228.92763215541521"/>
    <n v="229.31315612792969"/>
    <n v="6848284"/>
    <n v="-1.24"/>
    <n v="2.81"/>
    <x v="2"/>
    <s v="Q4-2025"/>
  </r>
  <r>
    <d v="2025-11-04T00:00:00"/>
    <x v="6"/>
    <s v="HCLTECH.NS"/>
    <n v="1481.570292639542"/>
    <n v="1486.874013337298"/>
    <n v="1470.5771025595809"/>
    <n v="1474.53076171875"/>
    <n v="1666863"/>
    <n v="-0.74"/>
    <n v="12.34"/>
    <x v="2"/>
    <s v="Q4-2025"/>
  </r>
  <r>
    <d v="2025-11-04T00:00:00"/>
    <x v="7"/>
    <s v="BAJFINANCE.NS"/>
    <n v="1033.6459780776961"/>
    <n v="1053.921365758737"/>
    <n v="1028.676526260015"/>
    <n v="1050.542114257812"/>
    <n v="6202540"/>
    <n v="-0.48"/>
    <n v="3.38"/>
    <x v="2"/>
    <s v="Q4-2025"/>
  </r>
  <r>
    <d v="2025-11-04T00:00:00"/>
    <x v="8"/>
    <s v="MARUTI.NS"/>
    <n v="15451.8170317353"/>
    <n v="15477.55850945844"/>
    <n v="15202.322709187891"/>
    <n v="15221.1337890625"/>
    <n v="748848"/>
    <n v="-1.61"/>
    <n v="256.42"/>
    <x v="2"/>
    <s v="Q4-2025"/>
  </r>
  <r>
    <d v="2025-11-04T00:00:00"/>
    <x v="9"/>
    <s v="TMPV.NS"/>
    <n v="413.96601969167261"/>
    <n v="414.06520303911537"/>
    <n v="401.76722461892001"/>
    <n v="403.15570068359381"/>
    <n v="8889004"/>
    <n v="-2.95"/>
    <n v="10.91"/>
    <x v="2"/>
    <s v="Q4-2025"/>
  </r>
  <r>
    <d v="2025-11-04T00:00:00"/>
    <x v="10"/>
    <s v="SUNPHARMA.NS"/>
    <n v="1691.5499908989"/>
    <n v="1695.71192843057"/>
    <n v="1666.9744066168221"/>
    <n v="1674.703857421875"/>
    <n v="1597993"/>
    <n v="-1.45"/>
    <n v="21.01"/>
    <x v="2"/>
    <s v="Q4-2025"/>
  </r>
  <r>
    <d v="2025-11-04T00:00:00"/>
    <x v="11"/>
    <s v="ASIANPAINT.NS"/>
    <n v="2484.5331251031489"/>
    <n v="2495.4215172848758"/>
    <n v="2454.5405055789579"/>
    <n v="2461.469482421875"/>
    <n v="527087"/>
    <n v="-1.21"/>
    <n v="33.950000000000003"/>
    <x v="2"/>
    <s v="Q4-2025"/>
  </r>
  <r>
    <d v="2025-11-04T00:00:00"/>
    <x v="12"/>
    <s v="HINDUNILVR.NS"/>
    <n v="2416.2358320421881"/>
    <n v="2419.4771719714581"/>
    <n v="2397.8685588393728"/>
    <n v="2402.190185546875"/>
    <n v="1251588"/>
    <n v="-0.76"/>
    <n v="17.29"/>
    <x v="2"/>
    <s v="Q4-2025"/>
  </r>
  <r>
    <d v="2025-11-04T00:00:00"/>
    <x v="13"/>
    <s v="LT.NS"/>
    <n v="3946.4536181325489"/>
    <n v="3951.405253788927"/>
    <n v="3878.9133561353829"/>
    <n v="3886.439697265625"/>
    <n v="2042881"/>
    <n v="-1.71"/>
    <n v="64.97"/>
    <x v="2"/>
    <s v="Q4-2025"/>
  </r>
  <r>
    <d v="2025-11-04T00:00:00"/>
    <x v="14"/>
    <s v="AXISBANK.NS"/>
    <n v="1229.151965716122"/>
    <n v="1234.9475445794931"/>
    <n v="1221.8576648446219"/>
    <n v="1225.654663085938"/>
    <n v="3299345"/>
    <n v="-0.59"/>
    <n v="9.2899999999999991"/>
    <x v="2"/>
    <s v="Q4-2025"/>
  </r>
  <r>
    <d v="2025-11-06T00:00:00"/>
    <x v="0"/>
    <s v="RELIANCE.NS"/>
    <n v="1477.170189647547"/>
    <n v="1494.6891648996159"/>
    <n v="1469.4060389691761"/>
    <n v="1489.214477539062"/>
    <n v="16772678"/>
    <n v="-0.53"/>
    <n v="5.47"/>
    <x v="2"/>
    <s v="Q4-2025"/>
  </r>
  <r>
    <d v="2025-11-06T00:00:00"/>
    <x v="1"/>
    <s v="TCS.NS"/>
    <n v="2881.6276057765008"/>
    <n v="2914.297714213154"/>
    <n v="2881.5311393840379"/>
    <n v="2901.6728515625"/>
    <n v="2542721"/>
    <n v="0"/>
    <n v="12.62"/>
    <x v="2"/>
    <s v="Q4-2025"/>
  </r>
  <r>
    <d v="2025-11-06T00:00:00"/>
    <x v="2"/>
    <s v="INFY.NS"/>
    <n v="1447.2816360762581"/>
    <n v="1451.5884632356699"/>
    <n v="1430.9354078512461"/>
    <n v="1435.633666992188"/>
    <n v="7944752"/>
    <n v="-1.1299999999999999"/>
    <n v="15.95"/>
    <x v="2"/>
    <s v="Q4-2025"/>
  </r>
  <r>
    <d v="2025-11-06T00:00:00"/>
    <x v="3"/>
    <s v="HDFCBANK.NS"/>
    <n v="965.03881820964455"/>
    <n v="974.92528950704309"/>
    <n v="958.1527104344483"/>
    <n v="968.62945556640625"/>
    <n v="22279516"/>
    <n v="-0.71"/>
    <n v="6.3"/>
    <x v="2"/>
    <s v="Q4-2025"/>
  </r>
  <r>
    <d v="2025-11-06T00:00:00"/>
    <x v="4"/>
    <s v="ICICIBANK.NS"/>
    <n v="1318.8811697671299"/>
    <n v="1330.9791290698849"/>
    <n v="1306.386530263507"/>
    <n v="1309.361450195312"/>
    <n v="24221853"/>
    <n v="-0.95"/>
    <n v="21.62"/>
    <x v="2"/>
    <s v="Q4-2025"/>
  </r>
  <r>
    <d v="2025-11-06T00:00:00"/>
    <x v="5"/>
    <s v="WIPRO.NS"/>
    <n v="231.31790995337701"/>
    <n v="231.9154765145816"/>
    <n v="229.74687110876869"/>
    <n v="231.36610412597659"/>
    <n v="7141517"/>
    <n v="-0.68"/>
    <n v="0.55000000000000004"/>
    <x v="2"/>
    <s v="Q4-2025"/>
  </r>
  <r>
    <d v="2025-11-06T00:00:00"/>
    <x v="6"/>
    <s v="HCLTECH.NS"/>
    <n v="1474.5307215731341"/>
    <n v="1477.230844576794"/>
    <n v="1460.258962348847"/>
    <n v="1471.927124023438"/>
    <n v="2474769"/>
    <n v="-0.97"/>
    <n v="5.3"/>
    <x v="2"/>
    <s v="Q4-2025"/>
  </r>
  <r>
    <d v="2025-11-06T00:00:00"/>
    <x v="7"/>
    <s v="BAJFINANCE.NS"/>
    <n v="1030.664336641772"/>
    <n v="1046.3678533672751"/>
    <n v="1028.6765558575059"/>
    <n v="1035.534423828125"/>
    <n v="5776277"/>
    <n v="-0.19"/>
    <n v="10.83"/>
    <x v="2"/>
    <s v="Q4-2025"/>
  </r>
  <r>
    <d v="2025-11-06T00:00:00"/>
    <x v="8"/>
    <s v="MARUTI.NS"/>
    <n v="15379.54207813916"/>
    <n v="15379.54207813916"/>
    <n v="15156.77930180458"/>
    <n v="15298.357421875"/>
    <n v="429800"/>
    <n v="-1.45"/>
    <n v="81.180000000000007"/>
    <x v="2"/>
    <s v="Q4-2025"/>
  </r>
  <r>
    <d v="2025-11-06T00:00:00"/>
    <x v="9"/>
    <s v="TMPV.NS"/>
    <n v="403.80034522620309"/>
    <n v="406.32938437533238"/>
    <n v="402.06474258653918"/>
    <n v="404.49459838867188"/>
    <n v="6862359"/>
    <n v="-0.43"/>
    <n v="1.83"/>
    <x v="2"/>
    <s v="Q4-2025"/>
  </r>
  <r>
    <d v="2025-11-06T00:00:00"/>
    <x v="10"/>
    <s v="SUNPHARMA.NS"/>
    <n v="1683.622399290183"/>
    <n v="1708.297054291"/>
    <n v="1651.9120303806569"/>
    <n v="1670.640991210938"/>
    <n v="3389867"/>
    <n v="-1.88"/>
    <n v="37.659999999999997"/>
    <x v="2"/>
    <s v="Q4-2025"/>
  </r>
  <r>
    <d v="2025-11-06T00:00:00"/>
    <x v="11"/>
    <s v="ASIANPAINT.NS"/>
    <n v="2534.1249272470659"/>
    <n v="2604.3054682474608"/>
    <n v="2534.1249272470659"/>
    <n v="2576.490478515625"/>
    <n v="4448622"/>
    <n v="0"/>
    <n v="27.81"/>
    <x v="2"/>
    <s v="Q4-2025"/>
  </r>
  <r>
    <d v="2025-11-06T00:00:00"/>
    <x v="12"/>
    <s v="HINDUNILVR.NS"/>
    <n v="2420.0663966522329"/>
    <n v="2420.0663966522329"/>
    <n v="2389.323424718209"/>
    <n v="2392.662841796875"/>
    <n v="1329256"/>
    <n v="-1.27"/>
    <n v="27.4"/>
    <x v="2"/>
    <s v="Q4-2025"/>
  </r>
  <r>
    <d v="2025-11-06T00:00:00"/>
    <x v="13"/>
    <s v="LT.NS"/>
    <n v="3906.8405995609551"/>
    <n v="3939.5213954508181"/>
    <n v="3834.6458471704368"/>
    <n v="3844.053955078125"/>
    <n v="1749063"/>
    <n v="-1.85"/>
    <n v="95.47"/>
    <x v="2"/>
    <s v="Q4-2025"/>
  </r>
  <r>
    <d v="2025-11-06T00:00:00"/>
    <x v="14"/>
    <s v="AXISBANK.NS"/>
    <n v="1224.0559200276"/>
    <n v="1238.644643740437"/>
    <n v="1224.0559200276"/>
    <n v="1227.55322265625"/>
    <n v="3733721"/>
    <n v="0"/>
    <n v="11.09"/>
    <x v="2"/>
    <s v="Q4-2025"/>
  </r>
  <r>
    <d v="2025-11-07T00:00:00"/>
    <x v="0"/>
    <s v="RELIANCE.NS"/>
    <n v="1487.7213309001129"/>
    <n v="1491.5038906434629"/>
    <n v="1469.107443104295"/>
    <n v="1471.19775390625"/>
    <n v="7821765"/>
    <n v="-1.25"/>
    <n v="20.309999999999999"/>
    <x v="2"/>
    <s v="Q4-2025"/>
  </r>
  <r>
    <d v="2025-11-07T00:00:00"/>
    <x v="1"/>
    <s v="TCS.NS"/>
    <n v="2892.1320716871551"/>
    <n v="2895.0232400360592"/>
    <n v="2853.1012989769479"/>
    <n v="2883.265869140625"/>
    <n v="1830520"/>
    <n v="-1.35"/>
    <n v="11.76"/>
    <x v="2"/>
    <s v="Q4-2025"/>
  </r>
  <r>
    <d v="2025-11-07T00:00:00"/>
    <x v="2"/>
    <s v="INFY.NS"/>
    <n v="1438.8638806951201"/>
    <n v="1449.5330313264731"/>
    <n v="1418.406540399174"/>
    <n v="1445.519897460938"/>
    <n v="8765759"/>
    <n v="-1.42"/>
    <n v="4.01"/>
    <x v="2"/>
    <s v="Q4-2025"/>
  </r>
  <r>
    <d v="2025-11-07T00:00:00"/>
    <x v="3"/>
    <s v="HDFCBANK.NS"/>
    <n v="964.05506075772439"/>
    <n v="968.87536007835035"/>
    <n v="958.89048007509382"/>
    <n v="966.317626953125"/>
    <n v="15004568"/>
    <n v="-0.54"/>
    <n v="2.56"/>
    <x v="2"/>
    <s v="Q4-2025"/>
  </r>
  <r>
    <d v="2025-11-07T00:00:00"/>
    <x v="4"/>
    <s v="ICICIBANK.NS"/>
    <n v="1309.3614221413629"/>
    <n v="1333.0616413002481"/>
    <n v="1307.5764218006041"/>
    <n v="1331.7724609375"/>
    <n v="7719245"/>
    <n v="-0.14000000000000001"/>
    <n v="1.29"/>
    <x v="2"/>
    <s v="Q4-2025"/>
  </r>
  <r>
    <d v="2025-11-07T00:00:00"/>
    <x v="5"/>
    <s v="WIPRO.NS"/>
    <n v="230.06493493145231"/>
    <n v="230.59504141629739"/>
    <n v="227.46261138660901"/>
    <n v="227.93489074707031"/>
    <n v="5520619"/>
    <n v="-1.1299999999999999"/>
    <n v="2.66"/>
    <x v="2"/>
    <s v="Q4-2025"/>
  </r>
  <r>
    <d v="2025-11-07T00:00:00"/>
    <x v="6"/>
    <s v="HCLTECH.NS"/>
    <n v="1461.030477674316"/>
    <n v="1464.59850609724"/>
    <n v="1437.308403448026"/>
    <n v="1458.426879882812"/>
    <n v="2238714"/>
    <n v="-1.62"/>
    <n v="6.17"/>
    <x v="2"/>
    <s v="Q4-2025"/>
  </r>
  <r>
    <d v="2025-11-07T00:00:00"/>
    <x v="7"/>
    <s v="BAJFINANCE.NS"/>
    <n v="1032.6520258968519"/>
    <n v="1070.320492684843"/>
    <n v="1027.881303907664"/>
    <n v="1060.083374023438"/>
    <n v="6940923"/>
    <n v="-0.46"/>
    <n v="10.24"/>
    <x v="2"/>
    <s v="Q4-2025"/>
  </r>
  <r>
    <d v="2025-11-07T00:00:00"/>
    <x v="8"/>
    <s v="MARUTI.NS"/>
    <n v="15305.288706927529"/>
    <n v="15344.890980572471"/>
    <n v="15108.26739554396"/>
    <n v="15325.08984375"/>
    <n v="227247"/>
    <n v="-1.29"/>
    <n v="19.8"/>
    <x v="2"/>
    <s v="Q4-2025"/>
  </r>
  <r>
    <d v="2025-11-07T00:00:00"/>
    <x v="9"/>
    <s v="TMPV.NS"/>
    <n v="403.3540776541771"/>
    <n v="403.84996413751571"/>
    <n v="398.14726957912239"/>
    <n v="402.3623046875"/>
    <n v="6930046"/>
    <n v="-1.29"/>
    <n v="1.49"/>
    <x v="2"/>
    <s v="Q4-2025"/>
  </r>
  <r>
    <d v="2025-11-07T00:00:00"/>
    <x v="10"/>
    <s v="SUNPHARMA.NS"/>
    <n v="1678.6676297668239"/>
    <n v="1694.522813991304"/>
    <n v="1667.866261320806"/>
    <n v="1676.091186523438"/>
    <n v="1512908"/>
    <n v="-0.64"/>
    <n v="18.43"/>
    <x v="2"/>
    <s v="Q4-2025"/>
  </r>
  <r>
    <d v="2025-11-07T00:00:00"/>
    <x v="11"/>
    <s v="ASIANPAINT.NS"/>
    <n v="2576.4904773844869"/>
    <n v="2592.3281389100148"/>
    <n v="2558.7721902182161"/>
    <n v="2587.280029296875"/>
    <n v="791663"/>
    <n v="-0.69"/>
    <n v="5.05"/>
    <x v="2"/>
    <s v="Q4-2025"/>
  </r>
  <r>
    <d v="2025-11-07T00:00:00"/>
    <x v="12"/>
    <s v="HINDUNILVR.NS"/>
    <n v="2392.6629078382289"/>
    <n v="2400.5823547818391"/>
    <n v="2376.428138276764"/>
    <n v="2389.693115234375"/>
    <n v="817896"/>
    <n v="-0.68"/>
    <n v="10.89"/>
    <x v="2"/>
    <s v="Q4-2025"/>
  </r>
  <r>
    <d v="2025-11-07T00:00:00"/>
    <x v="13"/>
    <s v="LT.NS"/>
    <n v="3839.5973985882929"/>
    <n v="3855.2443737625999"/>
    <n v="3794.0423507725741"/>
    <n v="3844.945068359375"/>
    <n v="1577294"/>
    <n v="-1.19"/>
    <n v="10.3"/>
    <x v="2"/>
    <s v="Q4-2025"/>
  </r>
  <r>
    <d v="2025-11-07T00:00:00"/>
    <x v="14"/>
    <s v="AXISBANK.NS"/>
    <n v="1226.0543803853741"/>
    <n v="1227.8530419588301"/>
    <n v="1216.062087146699"/>
    <n v="1221.857666015625"/>
    <n v="3461466"/>
    <n v="-0.81"/>
    <n v="6"/>
    <x v="2"/>
    <s v="Q4-2025"/>
  </r>
  <r>
    <d v="2025-11-10T00:00:00"/>
    <x v="0"/>
    <s v="RELIANCE.NS"/>
    <n v="1471.09824302435"/>
    <n v="1494.0919049345"/>
    <n v="1468.7092643110291"/>
    <n v="1482.44580078125"/>
    <n v="7068438"/>
    <n v="-0.16"/>
    <n v="11.65"/>
    <x v="2"/>
    <s v="Q4-2025"/>
  </r>
  <r>
    <d v="2025-11-10T00:00:00"/>
    <x v="1"/>
    <s v="TCS.NS"/>
    <n v="2884.4222751611442"/>
    <n v="2937.3305615709291"/>
    <n v="2883.458552382941"/>
    <n v="2915.4541015625"/>
    <n v="1556656"/>
    <n v="-0.03"/>
    <n v="21.88"/>
    <x v="2"/>
    <s v="Q4-2025"/>
  </r>
  <r>
    <d v="2025-11-10T00:00:00"/>
    <x v="2"/>
    <s v="INFY.NS"/>
    <n v="1458.538117183911"/>
    <n v="1487.8048281611329"/>
    <n v="1458.4402591842691"/>
    <n v="1481.442504882812"/>
    <n v="9787975"/>
    <n v="-0.01"/>
    <n v="6.36"/>
    <x v="2"/>
    <s v="Q4-2025"/>
  </r>
  <r>
    <d v="2025-11-10T00:00:00"/>
    <x v="3"/>
    <s v="HDFCBANK.NS"/>
    <n v="966.31765524836783"/>
    <n v="974.82694102003757"/>
    <n v="964.25184693166284"/>
    <n v="968.48187255859375"/>
    <n v="15988262"/>
    <n v="-0.21"/>
    <n v="6.35"/>
    <x v="2"/>
    <s v="Q4-2025"/>
  </r>
  <r>
    <d v="2025-11-10T00:00:00"/>
    <x v="4"/>
    <s v="ICICIBANK.NS"/>
    <n v="1331.673373127483"/>
    <n v="1338.3173126722261"/>
    <n v="1329.789232927543"/>
    <n v="1336.730712890625"/>
    <n v="8542340"/>
    <n v="-0.14000000000000001"/>
    <n v="1.59"/>
    <x v="2"/>
    <s v="Q4-2025"/>
  </r>
  <r>
    <d v="2025-11-10T00:00:00"/>
    <x v="5"/>
    <s v="WIPRO.NS"/>
    <n v="228.8505230541825"/>
    <n v="232.8118428813421"/>
    <n v="228.4457184734184"/>
    <n v="231.1636962890625"/>
    <n v="8566758"/>
    <n v="-0.18"/>
    <n v="1.65"/>
    <x v="2"/>
    <s v="Q4-2025"/>
  </r>
  <r>
    <d v="2025-11-10T00:00:00"/>
    <x v="6"/>
    <s v="HCLTECH.NS"/>
    <n v="1463.8268869431599"/>
    <n v="1489.766925807937"/>
    <n v="1457.462445760114"/>
    <n v="1485.52392578125"/>
    <n v="1558896"/>
    <n v="-0.43"/>
    <n v="4.24"/>
    <x v="2"/>
    <s v="Q4-2025"/>
  </r>
  <r>
    <d v="2025-11-10T00:00:00"/>
    <x v="7"/>
    <s v="BAJFINANCE.NS"/>
    <n v="1060.0833659595751"/>
    <n v="1081.3526425691241"/>
    <n v="1056.4060203924021"/>
    <n v="1078.370971679688"/>
    <n v="5692236"/>
    <n v="-0.35"/>
    <n v="2.98"/>
    <x v="2"/>
    <s v="Q4-2025"/>
  </r>
  <r>
    <d v="2025-11-10T00:00:00"/>
    <x v="8"/>
    <s v="MARUTI.NS"/>
    <n v="15227.074126502041"/>
    <n v="15491.419301519991"/>
    <n v="15227.074126502041"/>
    <n v="15428.0556640625"/>
    <n v="274191"/>
    <n v="0"/>
    <n v="63.36"/>
    <x v="2"/>
    <s v="Q4-2025"/>
  </r>
  <r>
    <d v="2025-11-10T00:00:00"/>
    <x v="9"/>
    <s v="TMPV.NS"/>
    <n v="402.65981001999609"/>
    <n v="409.55264399763121"/>
    <n v="402.65981001999609"/>
    <n v="407.07321166992188"/>
    <n v="7913640"/>
    <n v="0"/>
    <n v="2.48"/>
    <x v="2"/>
    <s v="Q4-2025"/>
  </r>
  <r>
    <d v="2025-11-10T00:00:00"/>
    <x v="10"/>
    <s v="SUNPHARMA.NS"/>
    <n v="1682.13601650746"/>
    <n v="1687.685307008001"/>
    <n v="1670.541960980162"/>
    <n v="1682.433349609375"/>
    <n v="1235665"/>
    <n v="-0.69"/>
    <n v="5.25"/>
    <x v="2"/>
    <s v="Q4-2025"/>
  </r>
  <r>
    <d v="2025-11-10T00:00:00"/>
    <x v="11"/>
    <s v="ASIANPAINT.NS"/>
    <n v="2587.2797982746251"/>
    <n v="2639.7420473935022"/>
    <n v="2584.607241463536"/>
    <n v="2623.50830078125"/>
    <n v="1706880"/>
    <n v="-0.1"/>
    <n v="16.23"/>
    <x v="2"/>
    <s v="Q4-2025"/>
  </r>
  <r>
    <d v="2025-11-10T00:00:00"/>
    <x v="12"/>
    <s v="HINDUNILVR.NS"/>
    <n v="2380.7836246996758"/>
    <n v="2404.8389919884089"/>
    <n v="2379.7936938785961"/>
    <n v="2384.54541015625"/>
    <n v="780558"/>
    <n v="-0.04"/>
    <n v="20.29"/>
    <x v="2"/>
    <s v="Q4-2025"/>
  </r>
  <r>
    <d v="2025-11-10T00:00:00"/>
    <x v="13"/>
    <s v="LT.NS"/>
    <n v="3857.3242358837679"/>
    <n v="3905.6522489921222"/>
    <n v="3856.3339087372001"/>
    <n v="3880.596923828125"/>
    <n v="1397176"/>
    <n v="-0.03"/>
    <n v="25.06"/>
    <x v="2"/>
    <s v="Q4-2025"/>
  </r>
  <r>
    <d v="2025-11-10T00:00:00"/>
    <x v="14"/>
    <s v="AXISBANK.NS"/>
    <n v="1221.058280600028"/>
    <n v="1231.850006502211"/>
    <n v="1214.5632897457731"/>
    <n v="1216.062133789062"/>
    <n v="4140568"/>
    <n v="-0.53"/>
    <n v="15.79"/>
    <x v="2"/>
    <s v="Q4-2025"/>
  </r>
  <r>
    <d v="2025-11-11T00:00:00"/>
    <x v="0"/>
    <s v="RELIANCE.NS"/>
    <n v="1490.110385024996"/>
    <n v="1491.902149522218"/>
    <n v="1473.3876547459599"/>
    <n v="1486.526977539062"/>
    <n v="7127506"/>
    <n v="-1.1200000000000001"/>
    <n v="5.38"/>
    <x v="2"/>
    <s v="Q4-2025"/>
  </r>
  <r>
    <d v="2025-11-11T00:00:00"/>
    <x v="1"/>
    <s v="TCS.NS"/>
    <n v="2934.535933301454"/>
    <n v="2944.8477202303338"/>
    <n v="2908.5154176367118"/>
    <n v="2936.46337890625"/>
    <n v="2806868"/>
    <n v="-0.89"/>
    <n v="8.3800000000000008"/>
    <x v="2"/>
    <s v="Q4-2025"/>
  </r>
  <r>
    <d v="2025-11-11T00:00:00"/>
    <x v="2"/>
    <s v="INFY.NS"/>
    <n v="1492.69893041107"/>
    <n v="1500.921033662413"/>
    <n v="1479.093322820539"/>
    <n v="1497.88671875"/>
    <n v="13692989"/>
    <n v="-0.91"/>
    <n v="3.03"/>
    <x v="2"/>
    <s v="Q4-2025"/>
  </r>
  <r>
    <d v="2025-11-11T00:00:00"/>
    <x v="3"/>
    <s v="HDFCBANK.NS"/>
    <n v="967.49810219871188"/>
    <n v="977.33539861151019"/>
    <n v="962.0875891716729"/>
    <n v="975.564697265625"/>
    <n v="10200530"/>
    <n v="-0.56000000000000005"/>
    <n v="1.77"/>
    <x v="2"/>
    <s v="Q4-2025"/>
  </r>
  <r>
    <d v="2025-11-11T00:00:00"/>
    <x v="4"/>
    <s v="ICICIBANK.NS"/>
    <n v="1337.7222802082899"/>
    <n v="1349.026999743953"/>
    <n v="1334.945639953987"/>
    <n v="1346.944580078125"/>
    <n v="8305184"/>
    <n v="-0.21"/>
    <n v="2.08"/>
    <x v="2"/>
    <s v="Q4-2025"/>
  </r>
  <r>
    <d v="2025-11-11T00:00:00"/>
    <x v="5"/>
    <s v="WIPRO.NS"/>
    <n v="232.37812434127611"/>
    <n v="233.29375479906909"/>
    <n v="230.17095770119741"/>
    <n v="232.94677734375"/>
    <n v="8831094"/>
    <n v="-0.95"/>
    <n v="0.35"/>
    <x v="2"/>
    <s v="Q4-2025"/>
  </r>
  <r>
    <d v="2025-11-11T00:00:00"/>
    <x v="6"/>
    <s v="HCLTECH.NS"/>
    <n v="1492.563492982782"/>
    <n v="1516.381973558171"/>
    <n v="1486.1989339305339"/>
    <n v="1513.97119140625"/>
    <n v="2270763"/>
    <n v="-0.43"/>
    <n v="2.41"/>
    <x v="2"/>
    <s v="Q4-2025"/>
  </r>
  <r>
    <d v="2025-11-11T00:00:00"/>
    <x v="7"/>
    <s v="BAJFINANCE.NS"/>
    <n v="1037.3233116315951"/>
    <n v="1037.3233116315951"/>
    <n v="990.90868073288573"/>
    <n v="999.05859375"/>
    <n v="23762890"/>
    <n v="-4.47"/>
    <n v="38.26"/>
    <x v="2"/>
    <s v="Q4-2025"/>
  </r>
  <r>
    <d v="2025-11-11T00:00:00"/>
    <x v="8"/>
    <s v="MARUTI.NS"/>
    <n v="15484.488192613449"/>
    <n v="15524.090464205819"/>
    <n v="15357.760923517901"/>
    <n v="15489.4384765625"/>
    <n v="181524"/>
    <n v="-0.82"/>
    <n v="34.65"/>
    <x v="2"/>
    <s v="Q4-2025"/>
  </r>
  <r>
    <d v="2025-11-11T00:00:00"/>
    <x v="9"/>
    <s v="TMPV.NS"/>
    <n v="409.15593168579818"/>
    <n v="410.29649482849618"/>
    <n v="399.33738521566107"/>
    <n v="404.24667358398438"/>
    <n v="8120946"/>
    <n v="-2.4"/>
    <n v="6.05"/>
    <x v="2"/>
    <s v="Q4-2025"/>
  </r>
  <r>
    <d v="2025-11-11T00:00:00"/>
    <x v="10"/>
    <s v="SUNPHARMA.NS"/>
    <n v="1686.198865842689"/>
    <n v="1703.441403368304"/>
    <n v="1679.6586263579261"/>
    <n v="1700.567626953125"/>
    <n v="1315353"/>
    <n v="-0.39"/>
    <n v="2.87"/>
    <x v="2"/>
    <s v="Q4-2025"/>
  </r>
  <r>
    <d v="2025-11-11T00:00:00"/>
    <x v="11"/>
    <s v="ASIANPAINT.NS"/>
    <n v="2623.5084476961588"/>
    <n v="2637.861327975832"/>
    <n v="2606.6809328855088"/>
    <n v="2630.239501953125"/>
    <n v="776404"/>
    <n v="-0.64"/>
    <n v="7.62"/>
    <x v="2"/>
    <s v="Q4-2025"/>
  </r>
  <r>
    <d v="2025-11-11T00:00:00"/>
    <x v="12"/>
    <s v="HINDUNILVR.NS"/>
    <n v="2397.810447085456"/>
    <n v="2409.1946518155992"/>
    <n v="2378.9029129343589"/>
    <n v="2403.05712890625"/>
    <n v="1422399"/>
    <n v="-0.79"/>
    <n v="6.14"/>
    <x v="2"/>
    <s v="Q4-2025"/>
  </r>
  <r>
    <d v="2025-11-11T00:00:00"/>
    <x v="13"/>
    <s v="LT.NS"/>
    <n v="3890.9951479288479"/>
    <n v="3928.4295603955588"/>
    <n v="3859.3046809566608"/>
    <n v="3916.74365234375"/>
    <n v="1775462"/>
    <n v="-0.81"/>
    <n v="11.69"/>
    <x v="2"/>
    <s v="Q4-2025"/>
  </r>
  <r>
    <d v="2025-11-11T00:00:00"/>
    <x v="14"/>
    <s v="AXISBANK.NS"/>
    <n v="1217.1612278614309"/>
    <n v="1224.0559346641739"/>
    <n v="1208.467981442474"/>
    <n v="1221.557861328125"/>
    <n v="5615453"/>
    <n v="-0.71"/>
    <n v="2.5"/>
    <x v="2"/>
    <s v="Q4-2025"/>
  </r>
  <r>
    <d v="2025-11-12T00:00:00"/>
    <x v="0"/>
    <s v="RELIANCE.NS"/>
    <n v="1498.0734942427071"/>
    <n v="1517.68277974999"/>
    <n v="1493.0965058897409"/>
    <n v="1504.543579101562"/>
    <n v="12384459"/>
    <n v="-0.33"/>
    <n v="13.14"/>
    <x v="2"/>
    <s v="Q4-2025"/>
  </r>
  <r>
    <d v="2025-11-12T00:00:00"/>
    <x v="1"/>
    <s v="TCS.NS"/>
    <n v="2948.9916699232522"/>
    <n v="3022.619995280987"/>
    <n v="2946.1969680097518"/>
    <n v="3018.18701171875"/>
    <n v="4460315"/>
    <n v="-0.09"/>
    <n v="4.43"/>
    <x v="2"/>
    <s v="Q4-2025"/>
  </r>
  <r>
    <d v="2025-11-12T00:00:00"/>
    <x v="2"/>
    <s v="INFY.NS"/>
    <n v="1507.3812396717749"/>
    <n v="1526.174516424436"/>
    <n v="1505.5214596999069"/>
    <n v="1518.833374023438"/>
    <n v="14635417"/>
    <n v="-0.12"/>
    <n v="7.34"/>
    <x v="2"/>
    <s v="Q4-2025"/>
  </r>
  <r>
    <d v="2025-11-12T00:00:00"/>
    <x v="3"/>
    <s v="HDFCBANK.NS"/>
    <n v="982.54918665765297"/>
    <n v="982.74594460092692"/>
    <n v="971.62981129003595"/>
    <n v="973.4005126953125"/>
    <n v="13137263"/>
    <n v="-1.1100000000000001"/>
    <n v="9.35"/>
    <x v="2"/>
    <s v="Q4-2025"/>
  </r>
  <r>
    <d v="2025-11-12T00:00:00"/>
    <x v="4"/>
    <s v="ICICIBANK.NS"/>
    <n v="1358.546730004171"/>
    <n v="1358.546730004171"/>
    <n v="1344.068810960071"/>
    <n v="1347.53955078125"/>
    <n v="9736761"/>
    <n v="-1.07"/>
    <n v="11.01"/>
    <x v="2"/>
    <s v="Q4-2025"/>
  </r>
  <r>
    <d v="2025-11-12T00:00:00"/>
    <x v="5"/>
    <s v="WIPRO.NS"/>
    <n v="233.9684273211349"/>
    <n v="237.39000767542939"/>
    <n v="233.34194719866821"/>
    <n v="236.34907531738281"/>
    <n v="13152546"/>
    <n v="-0.27"/>
    <n v="1.04"/>
    <x v="2"/>
    <s v="Q4-2025"/>
  </r>
  <r>
    <d v="2025-11-12T00:00:00"/>
    <x v="6"/>
    <s v="HCLTECH.NS"/>
    <n v="1518.7929218057709"/>
    <n v="1542.9007459614179"/>
    <n v="1517.3464523564321"/>
    <n v="1537.114868164062"/>
    <n v="2331564"/>
    <n v="-0.1"/>
    <n v="5.79"/>
    <x v="2"/>
    <s v="Q4-2025"/>
  </r>
  <r>
    <d v="2025-11-12T00:00:00"/>
    <x v="7"/>
    <s v="BAJFINANCE.NS"/>
    <n v="1004.82313370946"/>
    <n v="1012.1779464901369"/>
    <n v="1002.636562829076"/>
    <n v="1007.009704589844"/>
    <n v="11131278"/>
    <n v="-0.22"/>
    <n v="5.17"/>
    <x v="2"/>
    <s v="Q4-2025"/>
  </r>
  <r>
    <d v="2025-11-12T00:00:00"/>
    <x v="8"/>
    <s v="MARUTI.NS"/>
    <n v="15518.15039087387"/>
    <n v="15574.583628865439"/>
    <n v="15400.33363085639"/>
    <n v="15539.931640625"/>
    <n v="244015"/>
    <n v="-0.76"/>
    <n v="34.65"/>
    <x v="2"/>
    <s v="Q4-2025"/>
  </r>
  <r>
    <d v="2025-11-12T00:00:00"/>
    <x v="9"/>
    <s v="TMPV.NS"/>
    <n v="404.24666646341592"/>
    <n v="408.01539162265732"/>
    <n v="398.59354845804472"/>
    <n v="398.84149169921881"/>
    <n v="12940220"/>
    <n v="-1.4"/>
    <n v="9.17"/>
    <x v="2"/>
    <s v="Q4-2025"/>
  </r>
  <r>
    <d v="2025-11-12T00:00:00"/>
    <x v="10"/>
    <s v="SUNPHARMA.NS"/>
    <n v="1705.819744951523"/>
    <n v="1728.314240344364"/>
    <n v="1694.7210428425051"/>
    <n v="1716.4228515625"/>
    <n v="1833097"/>
    <n v="-0.65"/>
    <n v="11.89"/>
    <x v="2"/>
    <s v="Q4-2025"/>
  </r>
  <r>
    <d v="2025-11-12T00:00:00"/>
    <x v="11"/>
    <s v="ASIANPAINT.NS"/>
    <n v="2633.0112636282388"/>
    <n v="2809.8980998107058"/>
    <n v="2615.2929762263821"/>
    <n v="2741.697265625"/>
    <n v="2859196"/>
    <n v="-0.67"/>
    <n v="68.2"/>
    <x v="2"/>
    <s v="Q4-2025"/>
  </r>
  <r>
    <d v="2025-11-12T00:00:00"/>
    <x v="12"/>
    <s v="HINDUNILVR.NS"/>
    <n v="2406.1260773438871"/>
    <n v="2410.2837386753272"/>
    <n v="2391.8709277587959"/>
    <n v="2400.08740234375"/>
    <n v="1680827"/>
    <n v="-0.59"/>
    <n v="10.199999999999999"/>
    <x v="2"/>
    <s v="Q4-2025"/>
  </r>
  <r>
    <d v="2025-11-12T00:00:00"/>
    <x v="13"/>
    <s v="LT.NS"/>
    <n v="3931.5985969168369"/>
    <n v="3935.3618882621449"/>
    <n v="3898.8186731125238"/>
    <n v="3916.34765625"/>
    <n v="981350"/>
    <n v="-0.83"/>
    <n v="19.010000000000002"/>
    <x v="2"/>
    <s v="Q4-2025"/>
  </r>
  <r>
    <d v="2025-11-12T00:00:00"/>
    <x v="14"/>
    <s v="AXISBANK.NS"/>
    <n v="1226.9537631333969"/>
    <n v="1231.749990905339"/>
    <n v="1215.562523963644"/>
    <n v="1220.658569335938"/>
    <n v="6782513"/>
    <n v="-0.93"/>
    <n v="11.09"/>
    <x v="2"/>
    <s v="Q4-2025"/>
  </r>
  <r>
    <d v="2025-11-13T00:00:00"/>
    <x v="0"/>
    <s v="RELIANCE.NS"/>
    <n v="1508.0275174062699"/>
    <n v="1515.094816783502"/>
    <n v="1499.8653048593551"/>
    <n v="1503.946411132812"/>
    <n v="7196443"/>
    <n v="-0.54"/>
    <n v="11.15"/>
    <x v="2"/>
    <s v="Q4-2025"/>
  </r>
  <r>
    <d v="2025-11-13T00:00:00"/>
    <x v="1"/>
    <s v="TCS.NS"/>
    <n v="3018.1871954349622"/>
    <n v="3018.283426547287"/>
    <n v="2989.4682081451961"/>
    <n v="2993.033935546875"/>
    <n v="1740435"/>
    <n v="-0.95"/>
    <n v="25.25"/>
    <x v="2"/>
    <s v="Q4-2025"/>
  </r>
  <r>
    <d v="2025-11-13T00:00:00"/>
    <x v="2"/>
    <s v="INFY.NS"/>
    <n v="1524.1189242683811"/>
    <n v="1524.510475735339"/>
    <n v="1497.886648768397"/>
    <n v="1509.14306640625"/>
    <n v="19655689"/>
    <n v="-1.72"/>
    <n v="15.37"/>
    <x v="2"/>
    <s v="Q4-2025"/>
  </r>
  <r>
    <d v="2025-11-13T00:00:00"/>
    <x v="3"/>
    <s v="HDFCBANK.NS"/>
    <n v="967.99001612963696"/>
    <n v="973.99074322904949"/>
    <n v="966.61277054513459"/>
    <n v="970.596923828125"/>
    <n v="14124839"/>
    <n v="-0.14000000000000001"/>
    <n v="3.39"/>
    <x v="2"/>
    <s v="Q4-2025"/>
  </r>
  <r>
    <d v="2025-11-13T00:00:00"/>
    <x v="4"/>
    <s v="ICICIBANK.NS"/>
    <n v="1347.539563892411"/>
    <n v="1378.7762225869419"/>
    <n v="1347.142883699029"/>
    <n v="1374.313842773438"/>
    <n v="18296626"/>
    <n v="-0.03"/>
    <n v="4.46"/>
    <x v="2"/>
    <s v="Q4-2025"/>
  </r>
  <r>
    <d v="2025-11-13T00:00:00"/>
    <x v="5"/>
    <s v="WIPRO.NS"/>
    <n v="237.10085410780371"/>
    <n v="237.10085410780371"/>
    <n v="235.17320488741501"/>
    <n v="236.45509338378909"/>
    <n v="6211124"/>
    <n v="-0.81"/>
    <n v="0.65"/>
    <x v="2"/>
    <s v="Q4-2025"/>
  </r>
  <r>
    <d v="2025-11-13T00:00:00"/>
    <x v="6"/>
    <s v="HCLTECH.NS"/>
    <n v="1542.3220066763961"/>
    <n v="1547.7221351315691"/>
    <n v="1523.6143137120739"/>
    <n v="1541.4541015625"/>
    <n v="1944022"/>
    <n v="-1.21"/>
    <n v="6.27"/>
    <x v="2"/>
    <s v="Q4-2025"/>
  </r>
  <r>
    <d v="2025-11-13T00:00:00"/>
    <x v="7"/>
    <s v="BAJFINANCE.NS"/>
    <n v="1006.3139824958899"/>
    <n v="1013.171850197059"/>
    <n v="997.36896931814852"/>
    <n v="999.25738525390625"/>
    <n v="8503994"/>
    <n v="-0.89"/>
    <n v="13.91"/>
    <x v="2"/>
    <s v="Q4-2025"/>
  </r>
  <r>
    <d v="2025-11-13T00:00:00"/>
    <x v="8"/>
    <s v="MARUTI.NS"/>
    <n v="15505.27929985138"/>
    <n v="15642.89719287733"/>
    <n v="15504.28924306702"/>
    <n v="15592.404296875"/>
    <n v="250711"/>
    <n v="-0.01"/>
    <n v="50.49"/>
    <x v="2"/>
    <s v="Q4-2025"/>
  </r>
  <r>
    <d v="2025-11-13T00:00:00"/>
    <x v="9"/>
    <s v="TMPV.NS"/>
    <n v="400.67627012400129"/>
    <n v="400.67627012400129"/>
    <n v="394.13056262807982"/>
    <n v="394.67605590820313"/>
    <n v="13165727"/>
    <n v="-1.63"/>
    <n v="6"/>
    <x v="2"/>
    <s v="Q4-2025"/>
  </r>
  <r>
    <d v="2025-11-13T00:00:00"/>
    <x v="10"/>
    <s v="SUNPHARMA.NS"/>
    <n v="1718.801150281171"/>
    <n v="1731.9808212091491"/>
    <n v="1709.7835379983001"/>
    <n v="1721.674926757812"/>
    <n v="1727602"/>
    <n v="-0.52"/>
    <n v="10.31"/>
    <x v="2"/>
    <s v="Q4-2025"/>
  </r>
  <r>
    <d v="2025-11-13T00:00:00"/>
    <x v="11"/>
    <s v="ASIANPAINT.NS"/>
    <n v="2829.8928124117519"/>
    <n v="2867.7054193025861"/>
    <n v="2811.18467304877"/>
    <n v="2850.184814453125"/>
    <n v="5933630"/>
    <n v="-0.66"/>
    <n v="17.52"/>
    <x v="2"/>
    <s v="Q4-2025"/>
  </r>
  <r>
    <d v="2025-11-13T00:00:00"/>
    <x v="12"/>
    <s v="HINDUNILVR.NS"/>
    <n v="2404.542090020514"/>
    <n v="2406.5219517661048"/>
    <n v="2380.78374907342"/>
    <n v="2383.357666015625"/>
    <n v="1256059"/>
    <n v="-0.99"/>
    <n v="23.16"/>
    <x v="2"/>
    <s v="Q4-2025"/>
  </r>
  <r>
    <d v="2025-11-13T00:00:00"/>
    <x v="13"/>
    <s v="LT.NS"/>
    <n v="3916.3476087646441"/>
    <n v="3983.9867556218719"/>
    <n v="3887.6281231404241"/>
    <n v="3963.7841796875"/>
    <n v="1834962"/>
    <n v="-0.73"/>
    <n v="20.2"/>
    <x v="2"/>
    <s v="Q4-2025"/>
  </r>
  <r>
    <d v="2025-11-13T00:00:00"/>
    <x v="14"/>
    <s v="AXISBANK.NS"/>
    <n v="1218.060564193624"/>
    <n v="1233.8484365397051"/>
    <n v="1212.264985237154"/>
    <n v="1224.255737304688"/>
    <n v="3345231"/>
    <n v="-0.48"/>
    <n v="9.59"/>
    <x v="2"/>
    <s v="Q4-2025"/>
  </r>
  <r>
    <d v="2025-11-14T00:00:00"/>
    <x v="0"/>
    <s v="RELIANCE.NS"/>
    <n v="1498.5711928131459"/>
    <n v="1513.9003412392719"/>
    <n v="1498.5711928131459"/>
    <n v="1511.909545898438"/>
    <n v="7682823"/>
    <n v="0"/>
    <n v="1.99"/>
    <x v="2"/>
    <s v="Q4-2025"/>
  </r>
  <r>
    <d v="2025-11-14T00:00:00"/>
    <x v="1"/>
    <s v="TCS.NS"/>
    <n v="2977.9034333434779"/>
    <n v="3000.1655239975621"/>
    <n v="2965.664200916935"/>
    <n v="2993.322998046875"/>
    <n v="2210794"/>
    <n v="-0.41"/>
    <n v="6.84"/>
    <x v="2"/>
    <s v="Q4-2025"/>
  </r>
  <r>
    <d v="2025-11-14T00:00:00"/>
    <x v="2"/>
    <s v="INFY.NS"/>
    <n v="1487.804753788866"/>
    <n v="1497.5929429585301"/>
    <n v="1457.265651373408"/>
    <n v="1470.969116210938"/>
    <n v="9739549"/>
    <n v="-2.0499999999999998"/>
    <n v="26.62"/>
    <x v="2"/>
    <s v="Q4-2025"/>
  </r>
  <r>
    <d v="2025-11-14T00:00:00"/>
    <x v="3"/>
    <s v="HDFCBANK.NS"/>
    <n v="960.16931554585904"/>
    <n v="975.51553415381727"/>
    <n v="960.16931554585904"/>
    <n v="973.49884033203125"/>
    <n v="21386965"/>
    <n v="0"/>
    <n v="2.02"/>
    <x v="2"/>
    <s v="Q4-2025"/>
  </r>
  <r>
    <d v="2025-11-14T00:00:00"/>
    <x v="4"/>
    <s v="ICICIBANK.NS"/>
    <n v="1362.513368521827"/>
    <n v="1369.6531281465609"/>
    <n v="1351.8036080349209"/>
    <n v="1361.521728515625"/>
    <n v="9694498"/>
    <n v="-0.79"/>
    <n v="8.1300000000000008"/>
    <x v="2"/>
    <s v="Q4-2025"/>
  </r>
  <r>
    <d v="2025-11-14T00:00:00"/>
    <x v="5"/>
    <s v="WIPRO.NS"/>
    <n v="235.09609753988769"/>
    <n v="237.00446615330361"/>
    <n v="233.39012385913901"/>
    <n v="235.5298156738281"/>
    <n v="6841554"/>
    <n v="-0.73"/>
    <n v="1.47"/>
    <x v="2"/>
    <s v="Q4-2025"/>
  </r>
  <r>
    <d v="2025-11-14T00:00:00"/>
    <x v="6"/>
    <s v="HCLTECH.NS"/>
    <n v="1533.257421765644"/>
    <n v="1540.9719245166659"/>
    <n v="1517.9248240051929"/>
    <n v="1537.693237304688"/>
    <n v="2543918"/>
    <n v="-1"/>
    <n v="3.28"/>
    <x v="2"/>
    <s v="Q4-2025"/>
  </r>
  <r>
    <d v="2025-11-14T00:00:00"/>
    <x v="7"/>
    <s v="BAJFINANCE.NS"/>
    <n v="998.76045895746427"/>
    <n v="1013.66881453552"/>
    <n v="996.47446257235902"/>
    <n v="1012.27734375"/>
    <n v="4381122"/>
    <n v="-0.23"/>
    <n v="1.39"/>
    <x v="2"/>
    <s v="Q4-2025"/>
  </r>
  <r>
    <d v="2025-11-14T00:00:00"/>
    <x v="8"/>
    <s v="MARUTI.NS"/>
    <n v="15568.64310986714"/>
    <n v="15578.543677822539"/>
    <n v="15417.164420149509"/>
    <n v="15528.05078125"/>
    <n v="253698"/>
    <n v="-0.97"/>
    <n v="50.49"/>
    <x v="2"/>
    <s v="Q4-2025"/>
  </r>
  <r>
    <d v="2025-11-14T00:00:00"/>
    <x v="9"/>
    <s v="TMPV.NS"/>
    <n v="394.6760654466791"/>
    <n v="396.31248479358118"/>
    <n v="384.11365910488331"/>
    <n v="387.98159790039063"/>
    <n v="21834856"/>
    <n v="-2.68"/>
    <n v="8.33"/>
    <x v="2"/>
    <s v="Q4-2025"/>
  </r>
  <r>
    <d v="2025-11-14T00:00:00"/>
    <x v="10"/>
    <s v="SUNPHARMA.NS"/>
    <n v="1721.6748855101409"/>
    <n v="1744.16938032178"/>
    <n v="1718.9992505240759"/>
    <n v="1741.196533203125"/>
    <n v="1667322"/>
    <n v="-0.16"/>
    <n v="2.97"/>
    <x v="2"/>
    <s v="Q4-2025"/>
  </r>
  <r>
    <d v="2025-11-14T00:00:00"/>
    <x v="11"/>
    <s v="ASIANPAINT.NS"/>
    <n v="2836.0301214692349"/>
    <n v="2880.3753768526758"/>
    <n v="2832.961478129404"/>
    <n v="2876.910888671875"/>
    <n v="2494076"/>
    <n v="-0.11"/>
    <n v="3.46"/>
    <x v="2"/>
    <s v="Q4-2025"/>
  </r>
  <r>
    <d v="2025-11-14T00:00:00"/>
    <x v="12"/>
    <s v="HINDUNILVR.NS"/>
    <n v="2380.8828342801371"/>
    <n v="2405.729954130381"/>
    <n v="2367.91464319838"/>
    <n v="2403.255126953125"/>
    <n v="975973"/>
    <n v="-0.54"/>
    <n v="2.4700000000000002"/>
    <x v="2"/>
    <s v="Q4-2025"/>
  </r>
  <r>
    <d v="2025-11-14T00:00:00"/>
    <x v="13"/>
    <s v="LT.NS"/>
    <n v="3963.2890831386521"/>
    <n v="3972.6971906573472"/>
    <n v="3933.18323579046"/>
    <n v="3965.665771484375"/>
    <n v="1916910"/>
    <n v="-0.76"/>
    <n v="7.03"/>
    <x v="2"/>
    <s v="Q4-2025"/>
  </r>
  <r>
    <d v="2025-11-14T00:00:00"/>
    <x v="14"/>
    <s v="AXISBANK.NS"/>
    <n v="1223.056775575948"/>
    <n v="1245.0398221957771"/>
    <n v="1221.0583167923271"/>
    <n v="1240.643188476562"/>
    <n v="5197740"/>
    <n v="-0.16"/>
    <n v="4.4000000000000004"/>
    <x v="2"/>
    <s v="Q4-2025"/>
  </r>
  <r>
    <d v="2025-11-17T00:00:00"/>
    <x v="0"/>
    <s v="RELIANCE.NS"/>
    <n v="1513.9003876504109"/>
    <n v="1516.687428307918"/>
    <n v="1504.5436249599411"/>
    <n v="1511.312377929688"/>
    <n v="5871416"/>
    <n v="-0.62"/>
    <n v="5.38"/>
    <x v="2"/>
    <s v="Q4-2025"/>
  </r>
  <r>
    <d v="2025-11-17T00:00:00"/>
    <x v="1"/>
    <s v="TCS.NS"/>
    <n v="2993.323082448971"/>
    <n v="3010.1882318188541"/>
    <n v="2974.6269538324859"/>
    <n v="2989.660888671875"/>
    <n v="2232853"/>
    <n v="-0.62"/>
    <n v="20.53"/>
    <x v="2"/>
    <s v="Q4-2025"/>
  </r>
  <r>
    <d v="2025-11-17T00:00:00"/>
    <x v="2"/>
    <s v="INFY.NS"/>
    <n v="1464.3132041198489"/>
    <n v="1478.2123859372509"/>
    <n v="1460.8873376663601"/>
    <n v="1475.66748046875"/>
    <n v="7910354"/>
    <n v="-0.23"/>
    <n v="2.54"/>
    <x v="2"/>
    <s v="Q4-2025"/>
  </r>
  <r>
    <d v="2025-11-17T00:00:00"/>
    <x v="3"/>
    <s v="HDFCBANK.NS"/>
    <n v="975.12199934466298"/>
    <n v="981.71299989846261"/>
    <n v="969.56390289776584"/>
    <n v="980.33575439453125"/>
    <n v="18396408"/>
    <n v="-0.56999999999999995"/>
    <n v="1.38"/>
    <x v="2"/>
    <s v="Q4-2025"/>
  </r>
  <r>
    <d v="2025-11-17T00:00:00"/>
    <x v="4"/>
    <s v="ICICIBANK.NS"/>
    <n v="1363.6041374139661"/>
    <n v="1370.94229761114"/>
    <n v="1362.116677416557"/>
    <n v="1367.471557617188"/>
    <n v="7660717"/>
    <n v="-0.11"/>
    <n v="3.47"/>
    <x v="2"/>
    <s v="Q4-2025"/>
  </r>
  <r>
    <d v="2025-11-17T00:00:00"/>
    <x v="5"/>
    <s v="WIPRO.NS"/>
    <n v="235.14429729370869"/>
    <n v="235.9249928946931"/>
    <n v="233.91060293789209"/>
    <n v="235.2214050292969"/>
    <n v="6559062"/>
    <n v="-0.52"/>
    <n v="0.7"/>
    <x v="2"/>
    <s v="Q4-2025"/>
  </r>
  <r>
    <d v="2025-11-17T00:00:00"/>
    <x v="6"/>
    <s v="HCLTECH.NS"/>
    <n v="1537.114640997858"/>
    <n v="1550.3256795971331"/>
    <n v="1528.917981996301"/>
    <n v="1549.072143554688"/>
    <n v="2000978"/>
    <n v="-0.53"/>
    <n v="1.25"/>
    <x v="2"/>
    <s v="Q4-2025"/>
  </r>
  <r>
    <d v="2025-11-17T00:00:00"/>
    <x v="7"/>
    <s v="BAJFINANCE.NS"/>
    <n v="1014.762059733133"/>
    <n v="1026.688744078675"/>
    <n v="1010.7864982846201"/>
    <n v="1020.526672363281"/>
    <n v="6011603"/>
    <n v="-0.39"/>
    <n v="6.16"/>
    <x v="2"/>
    <s v="Q4-2025"/>
  </r>
  <r>
    <d v="2025-11-17T00:00:00"/>
    <x v="8"/>
    <s v="MARUTI.NS"/>
    <n v="15533.001332732891"/>
    <n v="15733.982865688769"/>
    <n v="15499.339401104809"/>
    <n v="15720.1220703125"/>
    <n v="301069"/>
    <n v="-0.22"/>
    <n v="13.86"/>
    <x v="2"/>
    <s v="Q4-2025"/>
  </r>
  <r>
    <d v="2025-11-17T00:00:00"/>
    <x v="9"/>
    <s v="TMPV.NS"/>
    <n v="376.87371946133811"/>
    <n v="376.87371946133811"/>
    <n v="360.01357938017298"/>
    <n v="369.6337890625"/>
    <n v="32393346"/>
    <n v="-4.47"/>
    <n v="7.24"/>
    <x v="2"/>
    <s v="Q4-2025"/>
  </r>
  <r>
    <d v="2025-11-17T00:00:00"/>
    <x v="10"/>
    <s v="SUNPHARMA.NS"/>
    <n v="1749.8178859873419"/>
    <n v="1751.9979255175249"/>
    <n v="1731.881611357582"/>
    <n v="1747.93505859375"/>
    <n v="1430618"/>
    <n v="-1.03"/>
    <n v="4.0599999999999996"/>
    <x v="2"/>
    <s v="Q4-2025"/>
  </r>
  <r>
    <d v="2025-11-17T00:00:00"/>
    <x v="11"/>
    <s v="ASIANPAINT.NS"/>
    <n v="2876.9109277310708"/>
    <n v="2897.202930208407"/>
    <n v="2850.7788846207891"/>
    <n v="2858.5986328125"/>
    <n v="1230683"/>
    <n v="-0.91"/>
    <n v="38.6"/>
    <x v="2"/>
    <s v="Q4-2025"/>
  </r>
  <r>
    <d v="2025-11-17T00:00:00"/>
    <x v="12"/>
    <s v="HINDUNILVR.NS"/>
    <n v="2406.917736063052"/>
    <n v="2413.8472519095408"/>
    <n v="2391.672897873711"/>
    <n v="2400.582275390625"/>
    <n v="920038"/>
    <n v="-0.63"/>
    <n v="13.26"/>
    <x v="2"/>
    <s v="Q4-2025"/>
  </r>
  <r>
    <d v="2025-11-17T00:00:00"/>
    <x v="13"/>
    <s v="LT.NS"/>
    <n v="3965.6658083468369"/>
    <n v="3991.0182792392452"/>
    <n v="3961.4075951694249"/>
    <n v="3988.740478515625"/>
    <n v="1206133"/>
    <n v="-0.11"/>
    <n v="2.2799999999999998"/>
    <x v="2"/>
    <s v="Q4-2025"/>
  </r>
  <r>
    <d v="2025-11-17T00:00:00"/>
    <x v="14"/>
    <s v="AXISBANK.NS"/>
    <n v="1242.9414044247751"/>
    <n v="1260.0282017985639"/>
    <n v="1239.4441017235099"/>
    <n v="1248.636962890625"/>
    <n v="4088026"/>
    <n v="-0.28000000000000003"/>
    <n v="11.39"/>
    <x v="2"/>
    <s v="Q4-2025"/>
  </r>
  <r>
    <d v="2025-11-18T00:00:00"/>
    <x v="0"/>
    <s v="RELIANCE.NS"/>
    <n v="1514.696568271851"/>
    <n v="1520.768591195246"/>
    <n v="1503.548163100525"/>
    <n v="1512.4072265625"/>
    <n v="11045042"/>
    <n v="-0.74"/>
    <n v="8.36"/>
    <x v="2"/>
    <s v="Q4-2025"/>
  </r>
  <r>
    <d v="2025-11-18T00:00:00"/>
    <x v="1"/>
    <s v="TCS.NS"/>
    <n v="2989.4682629851"/>
    <n v="2992.359431517968"/>
    <n v="2966.3389147221592"/>
    <n v="2975.10888671875"/>
    <n v="2548350"/>
    <n v="-0.77"/>
    <n v="17.25"/>
    <x v="2"/>
    <s v="Q4-2025"/>
  </r>
  <r>
    <d v="2025-11-18T00:00:00"/>
    <x v="2"/>
    <s v="INFY.NS"/>
    <n v="1474.1013313334299"/>
    <n v="1474.1013313334299"/>
    <n v="1451.7842115910621"/>
    <n v="1454.91650390625"/>
    <n v="7525119"/>
    <n v="-1.51"/>
    <n v="19.18"/>
    <x v="2"/>
    <s v="Q4-2025"/>
  </r>
  <r>
    <d v="2025-11-18T00:00:00"/>
    <x v="3"/>
    <s v="HDFCBANK.NS"/>
    <n v="981.41789635511645"/>
    <n v="982.74590734820958"/>
    <n v="973.89234061534285"/>
    <n v="976.302490234375"/>
    <n v="20002640"/>
    <n v="-0.77"/>
    <n v="6.44"/>
    <x v="2"/>
    <s v="Q4-2025"/>
  </r>
  <r>
    <d v="2025-11-18T00:00:00"/>
    <x v="4"/>
    <s v="ICICIBANK.NS"/>
    <n v="1368.661414007996"/>
    <n v="1371.2397747243119"/>
    <n v="1357.6542347453069"/>
    <n v="1361.918334960938"/>
    <n v="9529560"/>
    <n v="-0.8"/>
    <n v="9.32"/>
    <x v="2"/>
    <s v="Q4-2025"/>
  </r>
  <r>
    <d v="2025-11-18T00:00:00"/>
    <x v="5"/>
    <s v="WIPRO.NS"/>
    <n v="234.1419113417482"/>
    <n v="235.17321075966979"/>
    <n v="231.60706255426371"/>
    <n v="232.18534851074219"/>
    <n v="4730012"/>
    <n v="-1.08"/>
    <n v="2.99"/>
    <x v="2"/>
    <s v="Q4-2025"/>
  </r>
  <r>
    <d v="2025-11-18T00:00:00"/>
    <x v="6"/>
    <s v="HCLTECH.NS"/>
    <n v="1546.757850968612"/>
    <n v="1546.757850968612"/>
    <n v="1533.353878467922"/>
    <n v="1538.271850585938"/>
    <n v="1640123"/>
    <n v="-0.87"/>
    <n v="8.49"/>
    <x v="2"/>
    <s v="Q4-2025"/>
  </r>
  <r>
    <d v="2025-11-18T00:00:00"/>
    <x v="7"/>
    <s v="BAJFINANCE.NS"/>
    <n v="1014.960829560373"/>
    <n v="1017.843075155325"/>
    <n v="1005.518871309721"/>
    <n v="1007.4072265625"/>
    <n v="4562185"/>
    <n v="-0.93"/>
    <n v="10.44"/>
    <x v="2"/>
    <s v="Q4-2025"/>
  </r>
  <r>
    <d v="2025-11-18T00:00:00"/>
    <x v="8"/>
    <s v="MARUTI.NS"/>
    <n v="15720.122513045349"/>
    <n v="15839.9193907427"/>
    <n v="15593.395237464691"/>
    <n v="15771.60546875"/>
    <n v="392903"/>
    <n v="-0.81"/>
    <n v="68.31"/>
    <x v="2"/>
    <s v="Q4-2025"/>
  </r>
  <r>
    <d v="2025-11-18T00:00:00"/>
    <x v="9"/>
    <s v="TMPV.NS"/>
    <n v="370.03047917522917"/>
    <n v="370.92306874189489"/>
    <n v="366.11296406988168"/>
    <n v="368.24526977539063"/>
    <n v="17484757"/>
    <n v="-1.06"/>
    <n v="2.68"/>
    <x v="2"/>
    <s v="Q4-2025"/>
  </r>
  <r>
    <d v="2025-11-18T00:00:00"/>
    <x v="10"/>
    <s v="SUNPHARMA.NS"/>
    <n v="1748.034112224452"/>
    <n v="1748.529586746057"/>
    <n v="1734.1608256194961"/>
    <n v="1742.881225585938"/>
    <n v="1429522"/>
    <n v="-0.79"/>
    <n v="5.65"/>
    <x v="2"/>
    <s v="Q4-2025"/>
  </r>
  <r>
    <d v="2025-11-18T00:00:00"/>
    <x v="11"/>
    <s v="ASIANPAINT.NS"/>
    <n v="2861.1764220981381"/>
    <n v="2890.9183807478062"/>
    <n v="2837.4820918568398"/>
    <n v="2881.00439453125"/>
    <n v="1819066"/>
    <n v="-0.83"/>
    <n v="9.91"/>
    <x v="2"/>
    <s v="Q4-2025"/>
  </r>
  <r>
    <d v="2025-11-18T00:00:00"/>
    <x v="12"/>
    <s v="HINDUNILVR.NS"/>
    <n v="2391.4749332328952"/>
    <n v="2398.503297074712"/>
    <n v="2377.7147497683022"/>
    <n v="2379.793701171875"/>
    <n v="1229034"/>
    <n v="-0.57999999999999996"/>
    <n v="18.71"/>
    <x v="2"/>
    <s v="Q4-2025"/>
  </r>
  <r>
    <d v="2025-11-18T00:00:00"/>
    <x v="13"/>
    <s v="LT.NS"/>
    <n v="3981.1149295809719"/>
    <n v="3987.84920219578"/>
    <n v="3940.4123891863119"/>
    <n v="3960.912353515625"/>
    <n v="1748928"/>
    <n v="-1.02"/>
    <n v="26.94"/>
    <x v="2"/>
    <s v="Q4-2025"/>
  </r>
  <r>
    <d v="2025-11-18T00:00:00"/>
    <x v="14"/>
    <s v="AXISBANK.NS"/>
    <n v="1249.0367693639989"/>
    <n v="1272.518660628042"/>
    <n v="1246.63859437157"/>
    <n v="1264.424926757812"/>
    <n v="10175969"/>
    <n v="-0.19"/>
    <n v="8.09"/>
    <x v="2"/>
    <s v="Q4-2025"/>
  </r>
  <r>
    <d v="2025-11-19T00:00:00"/>
    <x v="0"/>
    <s v="RELIANCE.NS"/>
    <n v="1510.416449392812"/>
    <n v="1515.2939222795569"/>
    <n v="1505.0412776708581"/>
    <n v="1511.909545898438"/>
    <n v="5692366"/>
    <n v="-0.36"/>
    <n v="3.38"/>
    <x v="2"/>
    <s v="Q4-2025"/>
  </r>
  <r>
    <d v="2025-11-19T00:00:00"/>
    <x v="1"/>
    <s v="TCS.NS"/>
    <n v="2984.64931409568"/>
    <n v="3040.5452327968578"/>
    <n v="2971.6390571566121"/>
    <n v="3033.510009765625"/>
    <n v="3151053"/>
    <n v="-0.44"/>
    <n v="7.04"/>
    <x v="2"/>
    <s v="Q4-2025"/>
  </r>
  <r>
    <d v="2025-11-19T00:00:00"/>
    <x v="2"/>
    <s v="INFY.NS"/>
    <n v="1458.929669922218"/>
    <n v="1510.317665675936"/>
    <n v="1458.929669922218"/>
    <n v="1508.457885742188"/>
    <n v="10981126"/>
    <n v="0"/>
    <n v="1.86"/>
    <x v="2"/>
    <s v="Q4-2025"/>
  </r>
  <r>
    <d v="2025-11-19T00:00:00"/>
    <x v="3"/>
    <s v="HDFCBANK.NS"/>
    <n v="973.89234812058237"/>
    <n v="980.33576528407275"/>
    <n v="967.98997025318488"/>
    <n v="978.41748046875"/>
    <n v="19813847"/>
    <n v="-0.61"/>
    <n v="1.92"/>
    <x v="2"/>
    <s v="Q4-2025"/>
  </r>
  <r>
    <d v="2025-11-19T00:00:00"/>
    <x v="4"/>
    <s v="ICICIBANK.NS"/>
    <n v="1362.0175118520119"/>
    <n v="1372.429731636829"/>
    <n v="1360.1333716809891"/>
    <n v="1371.537231445312"/>
    <n v="10393918"/>
    <n v="-0.14000000000000001"/>
    <n v="0.89"/>
    <x v="2"/>
    <s v="Q4-2025"/>
  </r>
  <r>
    <d v="2025-11-19T00:00:00"/>
    <x v="5"/>
    <s v="WIPRO.NS"/>
    <n v="232.47448403171441"/>
    <n v="237.92010169243309"/>
    <n v="231.83835628399791"/>
    <n v="237.16831970214841"/>
    <n v="13298452"/>
    <n v="-0.27"/>
    <n v="0.75"/>
    <x v="2"/>
    <s v="Q4-2025"/>
  </r>
  <r>
    <d v="2025-11-19T00:00:00"/>
    <x v="6"/>
    <s v="HCLTECH.NS"/>
    <n v="1538.3684141194401"/>
    <n v="1609.920384105191"/>
    <n v="1531.9074470708649"/>
    <n v="1603.2666015625"/>
    <n v="6342672"/>
    <n v="-0.42"/>
    <n v="6.65"/>
    <x v="2"/>
    <s v="Q4-2025"/>
  </r>
  <r>
    <d v="2025-11-19T00:00:00"/>
    <x v="7"/>
    <s v="BAJFINANCE.NS"/>
    <n v="1002.835367191175"/>
    <n v="1009.89196443971"/>
    <n v="998.46222536865105"/>
    <n v="999.45611572265625"/>
    <n v="5158832"/>
    <n v="-0.44"/>
    <n v="10.44"/>
    <x v="2"/>
    <s v="Q4-2025"/>
  </r>
  <r>
    <d v="2025-11-19T00:00:00"/>
    <x v="8"/>
    <s v="MARUTI.NS"/>
    <n v="15791.406160196881"/>
    <n v="15791.406160196881"/>
    <n v="15558.742809247269"/>
    <n v="15611.2158203125"/>
    <n v="286434"/>
    <n v="-1.47"/>
    <n v="180.19"/>
    <x v="2"/>
    <s v="Q4-2025"/>
  </r>
  <r>
    <d v="2025-11-19T00:00:00"/>
    <x v="9"/>
    <s v="TMPV.NS"/>
    <n v="368.14614303847122"/>
    <n v="368.19571958096918"/>
    <n v="357.3854001300756"/>
    <n v="357.88128662109381"/>
    <n v="17854517"/>
    <n v="-2.92"/>
    <n v="10.31"/>
    <x v="2"/>
    <s v="Q4-2025"/>
  </r>
  <r>
    <d v="2025-11-19T00:00:00"/>
    <x v="10"/>
    <s v="SUNPHARMA.NS"/>
    <n v="1746.052198965923"/>
    <n v="1774.0961050312969"/>
    <n v="1735.250830295686"/>
    <n v="1767.9521484375"/>
    <n v="2131124"/>
    <n v="-0.62"/>
    <n v="6.14"/>
    <x v="2"/>
    <s v="Q4-2025"/>
  </r>
  <r>
    <d v="2025-11-19T00:00:00"/>
    <x v="11"/>
    <s v="ASIANPAINT.NS"/>
    <n v="2888.9354984288252"/>
    <n v="2890.9182956137461"/>
    <n v="2862.365967742759"/>
    <n v="2868.81005859375"/>
    <n v="1387906"/>
    <n v="-0.92"/>
    <n v="22.11"/>
    <x v="2"/>
    <s v="Q4-2025"/>
  </r>
  <r>
    <d v="2025-11-19T00:00:00"/>
    <x v="12"/>
    <s v="HINDUNILVR.NS"/>
    <n v="2387.7133295616331"/>
    <n v="2426.0236070352939"/>
    <n v="2386.7233986621459"/>
    <n v="2417.015380859375"/>
    <n v="1465143"/>
    <n v="-0.04"/>
    <n v="9.01"/>
    <x v="2"/>
    <s v="Q4-2025"/>
  </r>
  <r>
    <d v="2025-11-19T00:00:00"/>
    <x v="13"/>
    <s v="LT.NS"/>
    <n v="3968.2407756985699"/>
    <n v="3987.5521545670799"/>
    <n v="3941.7990899113488"/>
    <n v="3980.718994140625"/>
    <n v="923032"/>
    <n v="-0.67"/>
    <n v="6.83"/>
    <x v="2"/>
    <s v="Q4-2025"/>
  </r>
  <r>
    <d v="2025-11-19T00:00:00"/>
    <x v="14"/>
    <s v="AXISBANK.NS"/>
    <n v="1267.0228456161301"/>
    <n v="1272.0189924837009"/>
    <n v="1256.8307547967811"/>
    <n v="1269.421020507812"/>
    <n v="4101288"/>
    <n v="-0.8"/>
    <n v="2.6"/>
    <x v="2"/>
    <s v="Q4-2025"/>
  </r>
  <r>
    <d v="2025-11-20T00:00:00"/>
    <x v="0"/>
    <s v="RELIANCE.NS"/>
    <n v="1522.958508937626"/>
    <n v="1543.762345550959"/>
    <n v="1519.6736478639641"/>
    <n v="1541.970581054688"/>
    <n v="18171724"/>
    <n v="-0.22"/>
    <n v="1.79"/>
    <x v="2"/>
    <s v="Q4-2025"/>
  </r>
  <r>
    <d v="2025-11-20T00:00:00"/>
    <x v="1"/>
    <s v="TCS.NS"/>
    <n v="3033.7994421439598"/>
    <n v="3049.7008686990339"/>
    <n v="3024.2586803244722"/>
    <n v="3030.715576171875"/>
    <n v="2700767"/>
    <n v="-0.31"/>
    <n v="18.989999999999998"/>
    <x v="2"/>
    <s v="Q4-2025"/>
  </r>
  <r>
    <d v="2025-11-20T00:00:00"/>
    <x v="2"/>
    <s v="INFY.NS"/>
    <n v="1522.0634729079379"/>
    <n v="1522.0634729079379"/>
    <n v="1501.5082748815289"/>
    <n v="1503.955322265625"/>
    <n v="7387584"/>
    <n v="-1.35"/>
    <n v="18.11"/>
    <x v="2"/>
    <s v="Q4-2025"/>
  </r>
  <r>
    <d v="2025-11-20T00:00:00"/>
    <x v="3"/>
    <s v="HDFCBANK.NS"/>
    <n v="979.10614371862505"/>
    <n v="995.14092557974368"/>
    <n v="976.30253813250715"/>
    <n v="992.4356689453125"/>
    <n v="19850865"/>
    <n v="-0.28999999999999998"/>
    <n v="2.71"/>
    <x v="2"/>
    <s v="Q4-2025"/>
  </r>
  <r>
    <d v="2025-11-20T00:00:00"/>
    <x v="4"/>
    <s v="ICICIBANK.NS"/>
    <n v="1368.562330161833"/>
    <n v="1376.6938507345089"/>
    <n v="1363.9016706145439"/>
    <n v="1371.438110351562"/>
    <n v="10131863"/>
    <n v="-0.34"/>
    <n v="5.26"/>
    <x v="2"/>
    <s v="Q4-2025"/>
  </r>
  <r>
    <d v="2025-11-20T00:00:00"/>
    <x v="5"/>
    <s v="WIPRO.NS"/>
    <n v="238.54658822676521"/>
    <n v="238.83573854779331"/>
    <n v="236.8213486657317"/>
    <n v="237.3514404296875"/>
    <n v="6705862"/>
    <n v="-0.72"/>
    <n v="1.48"/>
    <x v="2"/>
    <s v="Q4-2025"/>
  </r>
  <r>
    <d v="2025-11-20T00:00:00"/>
    <x v="6"/>
    <s v="HCLTECH.NS"/>
    <n v="1603.266554201133"/>
    <n v="1608.8596159330079"/>
    <n v="1583.9802968001479"/>
    <n v="1586.680419921875"/>
    <n v="2724035"/>
    <n v="-1.2"/>
    <n v="22.18"/>
    <x v="2"/>
    <s v="Q4-2025"/>
  </r>
  <r>
    <d v="2025-11-20T00:00:00"/>
    <x v="7"/>
    <s v="BAJFINANCE.NS"/>
    <n v="1008.798727993135"/>
    <n v="1025.3966486825291"/>
    <n v="1001.14575999315"/>
    <n v="1022.315612792969"/>
    <n v="5459073"/>
    <n v="-0.76"/>
    <n v="3.08"/>
    <x v="2"/>
    <s v="Q4-2025"/>
  </r>
  <r>
    <d v="2025-11-20T00:00:00"/>
    <x v="8"/>
    <s v="MARUTI.NS"/>
    <n v="15652.79820662557"/>
    <n v="15665.668945188891"/>
    <n v="15462.707298613421"/>
    <n v="15643.8876953125"/>
    <n v="249492"/>
    <n v="-1.21"/>
    <n v="21.78"/>
    <x v="2"/>
    <s v="Q4-2025"/>
  </r>
  <r>
    <d v="2025-11-20T00:00:00"/>
    <x v="9"/>
    <s v="TMPV.NS"/>
    <n v="359.02181743973631"/>
    <n v="361.40206652968129"/>
    <n v="356.2944417547659"/>
    <n v="356.83990478515619"/>
    <n v="15999034"/>
    <n v="-0.76"/>
    <n v="4.5599999999999996"/>
    <x v="2"/>
    <s v="Q4-2025"/>
  </r>
  <r>
    <d v="2025-11-20T00:00:00"/>
    <x v="10"/>
    <s v="SUNPHARMA.NS"/>
    <n v="1773.7988000517289"/>
    <n v="1775.7806981523461"/>
    <n v="1757.051736908428"/>
    <n v="1761.312866210938"/>
    <n v="1513894"/>
    <n v="-0.94"/>
    <n v="14.47"/>
    <x v="2"/>
    <s v="Q4-2025"/>
  </r>
  <r>
    <d v="2025-11-20T00:00:00"/>
    <x v="11"/>
    <s v="ASIANPAINT.NS"/>
    <n v="2872.4783482680068"/>
    <n v="2881.1037101452698"/>
    <n v="2827.9646457523691"/>
    <n v="2835.201904296875"/>
    <n v="1062883"/>
    <n v="-1.55"/>
    <n v="45.9"/>
    <x v="2"/>
    <s v="Q4-2025"/>
  </r>
  <r>
    <d v="2025-11-20T00:00:00"/>
    <x v="12"/>
    <s v="HINDUNILVR.NS"/>
    <n v="2420.4800367155181"/>
    <n v="2434.2399789639321"/>
    <n v="2400.5823298037972"/>
    <n v="2403.947998046875"/>
    <n v="1396929"/>
    <n v="-0.82"/>
    <n v="30.29"/>
    <x v="2"/>
    <s v="Q4-2025"/>
  </r>
  <r>
    <d v="2025-11-20T00:00:00"/>
    <x v="13"/>
    <s v="LT.NS"/>
    <n v="3995.969991274213"/>
    <n v="4008.8442440342042"/>
    <n v="3968.9340121224141"/>
    <n v="3998.3466796875"/>
    <n v="1463574"/>
    <n v="-0.68"/>
    <n v="10.5"/>
    <x v="2"/>
    <s v="Q4-2025"/>
  </r>
  <r>
    <d v="2025-11-20T00:00:00"/>
    <x v="14"/>
    <s v="AXISBANK.NS"/>
    <n v="1274.0175034891481"/>
    <n v="1286.3080740780131"/>
    <n v="1261.627034354083"/>
    <n v="1284.209594726562"/>
    <n v="4617594"/>
    <n v="-0.97"/>
    <n v="2.1"/>
    <x v="2"/>
    <s v="Q4-2025"/>
  </r>
  <r>
    <d v="2025-11-21T00:00:00"/>
    <x v="0"/>
    <s v="RELIANCE.NS"/>
    <n v="1533.907852856099"/>
    <n v="1550.630582788498"/>
    <n v="1533.011970626058"/>
    <n v="1539.482055664062"/>
    <n v="9615271"/>
    <n v="-0.06"/>
    <n v="11.15"/>
    <x v="2"/>
    <s v="Q4-2025"/>
  </r>
  <r>
    <d v="2025-11-21T00:00:00"/>
    <x v="1"/>
    <s v="TCS.NS"/>
    <n v="3030.7155364329492"/>
    <n v="3055.00130416003"/>
    <n v="3021.4637033541139"/>
    <n v="3036.30517578125"/>
    <n v="4177037"/>
    <n v="-0.31"/>
    <n v="18.7"/>
    <x v="2"/>
    <s v="Q4-2025"/>
  </r>
  <r>
    <d v="2025-11-21T00:00:00"/>
    <x v="2"/>
    <s v="INFY.NS"/>
    <n v="1498.571803338011"/>
    <n v="1518.6375916910019"/>
    <n v="1493.971402094877"/>
    <n v="1512.275268554688"/>
    <n v="9186302"/>
    <n v="-0.31"/>
    <n v="6.36"/>
    <x v="2"/>
    <s v="Q4-2025"/>
  </r>
  <r>
    <d v="2025-11-21T00:00:00"/>
    <x v="3"/>
    <s v="HDFCBANK.NS"/>
    <n v="986.7792242744008"/>
    <n v="991.89463065139159"/>
    <n v="980.33580683779178"/>
    <n v="981.8114013671875"/>
    <n v="17499897"/>
    <n v="-0.65"/>
    <n v="10.08"/>
    <x v="2"/>
    <s v="Q4-2025"/>
  </r>
  <r>
    <d v="2025-11-21T00:00:00"/>
    <x v="4"/>
    <s v="ICICIBANK.NS"/>
    <n v="1361.5216431243441"/>
    <n v="1364.496562956371"/>
    <n v="1353.191843384709"/>
    <n v="1358.050903320312"/>
    <n v="11483595"/>
    <n v="-0.61"/>
    <n v="6.45"/>
    <x v="2"/>
    <s v="Q4-2025"/>
  </r>
  <r>
    <d v="2025-11-21T00:00:00"/>
    <x v="5"/>
    <s v="WIPRO.NS"/>
    <n v="236.13703782780351"/>
    <n v="238.30564327724261"/>
    <n v="234.7973221606442"/>
    <n v="235.64549255371091"/>
    <n v="5516450"/>
    <n v="-0.56999999999999995"/>
    <n v="2.66"/>
    <x v="2"/>
    <s v="Q4-2025"/>
  </r>
  <r>
    <d v="2025-11-21T00:00:00"/>
    <x v="6"/>
    <s v="HCLTECH.NS"/>
    <n v="1577.61587296671"/>
    <n v="1584.8482195726081"/>
    <n v="1548.6864865431151"/>
    <n v="1550.615112304688"/>
    <n v="2958835"/>
    <n v="-1.83"/>
    <n v="34.229999999999997"/>
    <x v="2"/>
    <s v="Q4-2025"/>
  </r>
  <r>
    <d v="2025-11-21T00:00:00"/>
    <x v="7"/>
    <s v="BAJFINANCE.NS"/>
    <n v="1013.768151744064"/>
    <n v="1021.321694100001"/>
    <n v="995.38118036439221"/>
    <n v="997.96527099609375"/>
    <n v="6304584"/>
    <n v="-1.81"/>
    <n v="23.36"/>
    <x v="2"/>
    <s v="Q4-2025"/>
  </r>
  <r>
    <d v="2025-11-21T00:00:00"/>
    <x v="8"/>
    <s v="MARUTI.NS"/>
    <n v="15632.99707135159"/>
    <n v="15989.41752389666"/>
    <n v="15580.52406028246"/>
    <n v="15818.1376953125"/>
    <n v="586351"/>
    <n v="-0.34"/>
    <n v="171.28"/>
    <x v="2"/>
    <s v="Q4-2025"/>
  </r>
  <r>
    <d v="2025-11-21T00:00:00"/>
    <x v="9"/>
    <s v="TMPV.NS"/>
    <n v="356.04648284174971"/>
    <n v="361.25329073846052"/>
    <n v="355.05470990904291"/>
    <n v="359.26974487304688"/>
    <n v="10829322"/>
    <n v="-0.28000000000000003"/>
    <n v="1.98"/>
    <x v="2"/>
    <s v="Q4-2025"/>
  </r>
  <r>
    <d v="2025-11-21T00:00:00"/>
    <x v="10"/>
    <s v="SUNPHARMA.NS"/>
    <n v="1761.9073540008981"/>
    <n v="1771.222298963173"/>
    <n v="1757.646224837323"/>
    <n v="1763.591918945312"/>
    <n v="2199311"/>
    <n v="-0.24"/>
    <n v="7.63"/>
    <x v="2"/>
    <s v="Q4-2025"/>
  </r>
  <r>
    <d v="2025-11-21T00:00:00"/>
    <x v="11"/>
    <s v="ASIANPAINT.NS"/>
    <n v="2844.322695402032"/>
    <n v="2870.6939960167351"/>
    <n v="2829.5509524966292"/>
    <n v="2851.857421875"/>
    <n v="857340"/>
    <n v="-0.52"/>
    <n v="18.84"/>
    <x v="2"/>
    <s v="Q4-2025"/>
  </r>
  <r>
    <d v="2025-11-21T00:00:00"/>
    <x v="12"/>
    <s v="HINDUNILVR.NS"/>
    <n v="2411.669651511098"/>
    <n v="2418.599167929674"/>
    <n v="2388.7033025745768"/>
    <n v="2409.19482421875"/>
    <n v="1840712"/>
    <n v="-0.95"/>
    <n v="9.4"/>
    <x v="2"/>
    <s v="Q4-2025"/>
  </r>
  <r>
    <d v="2025-11-21T00:00:00"/>
    <x v="13"/>
    <s v="LT.NS"/>
    <n v="3987.0569858407048"/>
    <n v="4017.7571265662541"/>
    <n v="3976.3614045869549"/>
    <n v="3985.967529296875"/>
    <n v="1241149"/>
    <n v="-0.27"/>
    <n v="31.79"/>
    <x v="2"/>
    <s v="Q4-2025"/>
  </r>
  <r>
    <d v="2025-11-21T00:00:00"/>
    <x v="14"/>
    <s v="AXISBANK.NS"/>
    <n v="1283.0105266743431"/>
    <n v="1283.5101413654149"/>
    <n v="1272.0190034707459"/>
    <n v="1274.81689453125"/>
    <n v="6363593"/>
    <n v="-0.86"/>
    <n v="8.69"/>
    <x v="2"/>
    <s v="Q4-2025"/>
  </r>
  <r>
    <d v="2025-11-24T00:00:00"/>
    <x v="0"/>
    <s v="RELIANCE.NS"/>
    <n v="1542.8663816107539"/>
    <n v="1542.8663816107539"/>
    <n v="1524.7501927010489"/>
    <n v="1528.831298828125"/>
    <n v="18433951"/>
    <n v="-1.17"/>
    <n v="14.04"/>
    <x v="2"/>
    <s v="Q4-2025"/>
  </r>
  <r>
    <d v="2025-11-24T00:00:00"/>
    <x v="1"/>
    <s v="TCS.NS"/>
    <n v="3043.4366842823779"/>
    <n v="3063.5783972307281"/>
    <n v="3017.4161679823069"/>
    <n v="3027.24609375"/>
    <n v="6703764"/>
    <n v="-0.85"/>
    <n v="36.33"/>
    <x v="2"/>
    <s v="Q4-2025"/>
  </r>
  <r>
    <d v="2025-11-24T00:00:00"/>
    <x v="2"/>
    <s v="INFY.NS"/>
    <n v="1530.4813442936099"/>
    <n v="1551.4280945139651"/>
    <n v="1508.360059082662"/>
    <n v="1515.211791992188"/>
    <n v="19270381"/>
    <n v="-1.45"/>
    <n v="36.22"/>
    <x v="2"/>
    <s v="Q4-2025"/>
  </r>
  <r>
    <d v="2025-11-24T00:00:00"/>
    <x v="3"/>
    <s v="HDFCBANK.NS"/>
    <n v="983.72963982936176"/>
    <n v="994.99335621382647"/>
    <n v="977.43374611761692"/>
    <n v="982.89349365234375"/>
    <n v="32204053"/>
    <n v="-0.64"/>
    <n v="12.1"/>
    <x v="2"/>
    <s v="Q4-2025"/>
  </r>
  <r>
    <d v="2025-11-24T00:00:00"/>
    <x v="4"/>
    <s v="ICICIBANK.NS"/>
    <n v="1361.819265305518"/>
    <n v="1365.488284898759"/>
    <n v="1350.1178648436171"/>
    <n v="1356.960205078125"/>
    <n v="15896003"/>
    <n v="-0.86"/>
    <n v="8.5299999999999994"/>
    <x v="2"/>
    <s v="Q4-2025"/>
  </r>
  <r>
    <d v="2025-11-24T00:00:00"/>
    <x v="5"/>
    <s v="WIPRO.NS"/>
    <n v="236.1563152342828"/>
    <n v="240.35859121422641"/>
    <n v="236.1563152342828"/>
    <n v="238.3249206542969"/>
    <n v="19711070"/>
    <n v="0"/>
    <n v="2.0299999999999998"/>
    <x v="2"/>
    <s v="Q4-2025"/>
  </r>
  <r>
    <d v="2025-11-24T00:00:00"/>
    <x v="6"/>
    <s v="HCLTECH.NS"/>
    <n v="1556.690287032128"/>
    <n v="1581.473080290109"/>
    <n v="1545.6970969556089"/>
    <n v="1552.929443359375"/>
    <n v="6392688"/>
    <n v="-0.71"/>
    <n v="28.54"/>
    <x v="2"/>
    <s v="Q4-2025"/>
  </r>
  <r>
    <d v="2025-11-24T00:00:00"/>
    <x v="7"/>
    <s v="BAJFINANCE.NS"/>
    <n v="998.85979573731458"/>
    <n v="1003.133512084138"/>
    <n v="983.95144057705613"/>
    <n v="987.927001953125"/>
    <n v="9574900"/>
    <n v="-1.49"/>
    <n v="15.21"/>
    <x v="2"/>
    <s v="Q4-2025"/>
  </r>
  <r>
    <d v="2025-11-24T00:00:00"/>
    <x v="8"/>
    <s v="MARUTI.NS"/>
    <n v="15845.858840760709"/>
    <n v="15925.06338354489"/>
    <n v="15752.793502989291"/>
    <n v="15799.326171875"/>
    <n v="525788"/>
    <n v="-0.59"/>
    <n v="125.74"/>
    <x v="2"/>
    <s v="Q4-2025"/>
  </r>
  <r>
    <d v="2025-11-24T00:00:00"/>
    <x v="9"/>
    <s v="TMPV.NS"/>
    <n v="359.51769235997563"/>
    <n v="359.86481894383172"/>
    <n v="353.86457447005682"/>
    <n v="355.35223388671881"/>
    <n v="12671925"/>
    <n v="-1.57"/>
    <n v="4.51"/>
    <x v="2"/>
    <s v="Q4-2025"/>
  </r>
  <r>
    <d v="2025-11-24T00:00:00"/>
    <x v="10"/>
    <s v="SUNPHARMA.NS"/>
    <n v="1769.735944903327"/>
    <n v="1769.735944903327"/>
    <n v="1755.7635873941881"/>
    <n v="1764.68212890625"/>
    <n v="3434492"/>
    <n v="-0.79"/>
    <n v="5.05"/>
    <x v="2"/>
    <s v="Q4-2025"/>
  </r>
  <r>
    <d v="2025-11-24T00:00:00"/>
    <x v="11"/>
    <s v="ASIANPAINT.NS"/>
    <n v="2851.2623873259881"/>
    <n v="2871.5860587238262"/>
    <n v="2839.8613033711031"/>
    <n v="2854.434814453125"/>
    <n v="5404326"/>
    <n v="-0.4"/>
    <n v="17.149999999999999"/>
    <x v="2"/>
    <s v="Q4-2025"/>
  </r>
  <r>
    <d v="2025-11-24T00:00:00"/>
    <x v="12"/>
    <s v="HINDUNILVR.NS"/>
    <n v="2417.3120106558881"/>
    <n v="2420.281803162537"/>
    <n v="2388.703106181435"/>
    <n v="2399.790283203125"/>
    <n v="4092327"/>
    <n v="-1.18"/>
    <n v="20.49"/>
    <x v="2"/>
    <s v="Q4-2025"/>
  </r>
  <r>
    <d v="2025-11-24T00:00:00"/>
    <x v="13"/>
    <s v="LT.NS"/>
    <n v="3986.066759712593"/>
    <n v="3998.9410126011062"/>
    <n v="3964.9727431625211"/>
    <n v="3974.47998046875"/>
    <n v="1584741"/>
    <n v="-0.53"/>
    <n v="24.46"/>
    <x v="2"/>
    <s v="Q4-2025"/>
  </r>
  <r>
    <d v="2025-11-24T00:00:00"/>
    <x v="14"/>
    <s v="AXISBANK.NS"/>
    <n v="1278.2141857045531"/>
    <n v="1289.9052427423881"/>
    <n v="1265.6239197975519"/>
    <n v="1268.022094726562"/>
    <n v="10491953"/>
    <n v="-0.98"/>
    <n v="21.88"/>
    <x v="2"/>
    <s v="Q4-2025"/>
  </r>
  <r>
    <d v="2025-11-25T00:00:00"/>
    <x v="0"/>
    <s v="RELIANCE.NS"/>
    <n v="1528.831331227085"/>
    <n v="1552.422207797282"/>
    <n v="1518.0809876078649"/>
    <n v="1532.61376953125"/>
    <n v="15033482"/>
    <n v="-0.7"/>
    <n v="19.809999999999999"/>
    <x v="2"/>
    <s v="Q4-2025"/>
  </r>
  <r>
    <d v="2025-11-25T00:00:00"/>
    <x v="1"/>
    <s v="TCS.NS"/>
    <n v="3031.197449305625"/>
    <n v="3035.5342020192352"/>
    <n v="3001.9966006438672"/>
    <n v="3006.044189453125"/>
    <n v="2737920"/>
    <n v="-0.96"/>
    <n v="29.49"/>
    <x v="2"/>
    <s v="Q4-2025"/>
  </r>
  <r>
    <d v="2025-11-25T00:00:00"/>
    <x v="2"/>
    <s v="INFY.NS"/>
    <n v="1516.190590871842"/>
    <n v="1517.7566773334449"/>
    <n v="1493.5798964672149"/>
    <n v="1498.180297851562"/>
    <n v="8107952"/>
    <n v="-1.49"/>
    <n v="19.579999999999998"/>
    <x v="2"/>
    <s v="Q4-2025"/>
  </r>
  <r>
    <d v="2025-11-25T00:00:00"/>
    <x v="3"/>
    <s v="HDFCBANK.NS"/>
    <n v="987.6645910314578"/>
    <n v="989.73039932653842"/>
    <n v="972.31843215975891"/>
    <n v="973.69561767578125"/>
    <n v="24989383"/>
    <n v="-1.55"/>
    <n v="16.03"/>
    <x v="2"/>
    <s v="Q4-2025"/>
  </r>
  <r>
    <d v="2025-11-25T00:00:00"/>
    <x v="4"/>
    <s v="ICICIBANK.NS"/>
    <n v="1353.5886121834039"/>
    <n v="1365.38915249958"/>
    <n v="1342.978112507823"/>
    <n v="1346.448852539062"/>
    <n v="12235000"/>
    <n v="-0.78"/>
    <n v="18.940000000000001"/>
    <x v="2"/>
    <s v="Q4-2025"/>
  </r>
  <r>
    <d v="2025-11-25T00:00:00"/>
    <x v="5"/>
    <s v="WIPRO.NS"/>
    <n v="239.02851779723071"/>
    <n v="239.02851779723071"/>
    <n v="235.17321912308179"/>
    <n v="236.75389099121091"/>
    <n v="8188793"/>
    <n v="-1.61"/>
    <n v="2.27"/>
    <x v="2"/>
    <s v="Q4-2025"/>
  </r>
  <r>
    <d v="2025-11-25T00:00:00"/>
    <x v="6"/>
    <s v="HCLTECH.NS"/>
    <n v="1560.5475556076769"/>
    <n v="1561.1261197835461"/>
    <n v="1535.7646443632041"/>
    <n v="1543.961303710938"/>
    <n v="2285950"/>
    <n v="-1.59"/>
    <n v="17.16"/>
    <x v="2"/>
    <s v="Q4-2025"/>
  </r>
  <r>
    <d v="2025-11-25T00:00:00"/>
    <x v="7"/>
    <s v="BAJFINANCE.NS"/>
    <n v="988.92090563000727"/>
    <n v="990.80932157400105"/>
    <n v="978.48505687712782"/>
    <n v="980.1746826171875"/>
    <n v="6376983"/>
    <n v="-1.06"/>
    <n v="10.63"/>
    <x v="2"/>
    <s v="Q4-2025"/>
  </r>
  <r>
    <d v="2025-11-25T00:00:00"/>
    <x v="8"/>
    <s v="MARUTI.NS"/>
    <n v="15799.326615381509"/>
    <n v="15890.4118421402"/>
    <n v="15684.48002512056"/>
    <n v="15731.0126953125"/>
    <n v="214525"/>
    <n v="-0.73"/>
    <n v="159.4"/>
    <x v="2"/>
    <s v="Q4-2025"/>
  </r>
  <r>
    <d v="2025-11-25T00:00:00"/>
    <x v="9"/>
    <s v="TMPV.NS"/>
    <n v="355.05471222734411"/>
    <n v="355.15389557456399"/>
    <n v="349.10407459224899"/>
    <n v="349.55038452148438"/>
    <n v="12577566"/>
    <n v="-1.68"/>
    <n v="5.6"/>
    <x v="2"/>
    <s v="Q4-2025"/>
  </r>
  <r>
    <d v="2025-11-25T00:00:00"/>
    <x v="10"/>
    <s v="SUNPHARMA.NS"/>
    <n v="1768.8439952716301"/>
    <n v="1775.8797090989469"/>
    <n v="1750.1150346580159"/>
    <n v="1760.71826171875"/>
    <n v="1848114"/>
    <n v="-1.06"/>
    <n v="15.16"/>
    <x v="2"/>
    <s v="Q4-2025"/>
  </r>
  <r>
    <d v="2025-11-25T00:00:00"/>
    <x v="11"/>
    <s v="ASIANPAINT.NS"/>
    <n v="2874.9567705789"/>
    <n v="2883.482895554625"/>
    <n v="2844.3226499385319"/>
    <n v="2851.064208984375"/>
    <n v="972417"/>
    <n v="-1.07"/>
    <n v="32.42"/>
    <x v="2"/>
    <s v="Q4-2025"/>
  </r>
  <r>
    <d v="2025-11-25T00:00:00"/>
    <x v="12"/>
    <s v="HINDUNILVR.NS"/>
    <n v="2397.6125936145409"/>
    <n v="2399.7903932161198"/>
    <n v="2381.7736995196469"/>
    <n v="2389.792236328125"/>
    <n v="1240672"/>
    <n v="-0.66"/>
    <n v="10"/>
    <x v="2"/>
    <s v="Q4-2025"/>
  </r>
  <r>
    <d v="2025-11-25T00:00:00"/>
    <x v="13"/>
    <s v="LT.NS"/>
    <n v="3974.1826633337578"/>
    <n v="4016.2715652006109"/>
    <n v="3943.0864890190542"/>
    <n v="3958.040283203125"/>
    <n v="1749083"/>
    <n v="-0.78"/>
    <n v="58.23"/>
    <x v="2"/>
    <s v="Q4-2025"/>
  </r>
  <r>
    <d v="2025-11-25T00:00:00"/>
    <x v="14"/>
    <s v="AXISBANK.NS"/>
    <n v="1268.1219878416659"/>
    <n v="1275.7161067708209"/>
    <n v="1262.726124768551"/>
    <n v="1265.32421875"/>
    <n v="5290156"/>
    <n v="-0.43"/>
    <n v="10.39"/>
    <x v="2"/>
    <s v="Q4-2025"/>
  </r>
  <r>
    <d v="2025-11-26T00:00:00"/>
    <x v="0"/>
    <s v="RELIANCE.NS"/>
    <n v="1535.201853679532"/>
    <n v="1564.3669320995491"/>
    <n v="1533.410089295066"/>
    <n v="1562.6748046875"/>
    <n v="14054299"/>
    <n v="-0.12"/>
    <n v="1.69"/>
    <x v="2"/>
    <s v="Q4-2025"/>
  </r>
  <r>
    <d v="2025-11-26T00:00:00"/>
    <x v="1"/>
    <s v="TCS.NS"/>
    <n v="3005.6588986502438"/>
    <n v="3062.7112448262242"/>
    <n v="3003.9241504478732"/>
    <n v="3048.158935546875"/>
    <n v="2508527"/>
    <n v="-0.06"/>
    <n v="14.55"/>
    <x v="2"/>
    <s v="Q4-2025"/>
  </r>
  <r>
    <d v="2025-11-26T00:00:00"/>
    <x v="2"/>
    <s v="INFY.NS"/>
    <n v="1499.648522350572"/>
    <n v="1527.2512890379419"/>
    <n v="1499.648522350572"/>
    <n v="1524.902099609375"/>
    <n v="7575038"/>
    <n v="0"/>
    <n v="2.35"/>
    <x v="2"/>
    <s v="Q4-2025"/>
  </r>
  <r>
    <d v="2025-11-26T00:00:00"/>
    <x v="3"/>
    <s v="HDFCBANK.NS"/>
    <n v="965.33389695064716"/>
    <n v="990.56658657922401"/>
    <n v="965.33389695064716"/>
    <n v="987.56622314453125"/>
    <n v="19494356"/>
    <n v="0"/>
    <n v="3"/>
    <x v="2"/>
    <s v="Q4-2025"/>
  </r>
  <r>
    <d v="2025-11-26T00:00:00"/>
    <x v="4"/>
    <s v="ICICIBANK.NS"/>
    <n v="1348.6304048295449"/>
    <n v="1365.4882848899149"/>
    <n v="1348.5312650391511"/>
    <n v="1363.505004882812"/>
    <n v="9659004"/>
    <n v="-0.01"/>
    <n v="1.98"/>
    <x v="2"/>
    <s v="Q4-2025"/>
  </r>
  <r>
    <d v="2025-11-26T00:00:00"/>
    <x v="5"/>
    <s v="WIPRO.NS"/>
    <n v="237.1008547458926"/>
    <n v="241.48625967543811"/>
    <n v="236.7345966868582"/>
    <n v="241.1392822265625"/>
    <n v="8202096"/>
    <n v="-0.15"/>
    <n v="0.35"/>
    <x v="2"/>
    <s v="Q4-2025"/>
  </r>
  <r>
    <d v="2025-11-26T00:00:00"/>
    <x v="6"/>
    <s v="HCLTECH.NS"/>
    <n v="1543.9612406179169"/>
    <n v="1569.4191227415879"/>
    <n v="1543.9612406179169"/>
    <n v="1560.161743164062"/>
    <n v="1243303"/>
    <n v="0"/>
    <n v="9.26"/>
    <x v="2"/>
    <s v="Q4-2025"/>
  </r>
  <r>
    <d v="2025-11-26T00:00:00"/>
    <x v="7"/>
    <s v="BAJFINANCE.NS"/>
    <n v="980.17465042200695"/>
    <n v="1006.612108796026"/>
    <n v="975.30456356572654"/>
    <n v="1004.524963378906"/>
    <n v="9772235"/>
    <n v="-0.5"/>
    <n v="2.09"/>
    <x v="2"/>
    <s v="Q4-2025"/>
  </r>
  <r>
    <d v="2025-11-26T00:00:00"/>
    <x v="8"/>
    <s v="MARUTI.NS"/>
    <n v="15791.40572412146"/>
    <n v="16048.820488276409"/>
    <n v="15791.40572412146"/>
    <n v="15995.357421875"/>
    <n v="314946"/>
    <n v="0"/>
    <n v="53.46"/>
    <x v="2"/>
    <s v="Q4-2025"/>
  </r>
  <r>
    <d v="2025-11-26T00:00:00"/>
    <x v="9"/>
    <s v="TMPV.NS"/>
    <n v="351.53393552290038"/>
    <n v="359.86482228014148"/>
    <n v="351.38514536664809"/>
    <n v="356.29443359375"/>
    <n v="13130211"/>
    <n v="-0.04"/>
    <n v="3.57"/>
    <x v="2"/>
    <s v="Q4-2025"/>
  </r>
  <r>
    <d v="2025-11-26T00:00:00"/>
    <x v="10"/>
    <s v="SUNPHARMA.NS"/>
    <n v="1759.430038575679"/>
    <n v="1790.5458629440891"/>
    <n v="1757.547211187265"/>
    <n v="1788.56396484375"/>
    <n v="1158948"/>
    <n v="-0.11"/>
    <n v="1.98"/>
    <x v="2"/>
    <s v="Q4-2025"/>
  </r>
  <r>
    <d v="2025-11-26T00:00:00"/>
    <x v="11"/>
    <s v="ASIANPAINT.NS"/>
    <n v="2855.2281771920671"/>
    <n v="2871.2887872806341"/>
    <n v="2833.0209437412941"/>
    <n v="2849.27978515625"/>
    <n v="570376"/>
    <n v="-0.78"/>
    <n v="22.01"/>
    <x v="2"/>
    <s v="Q4-2025"/>
  </r>
  <r>
    <d v="2025-11-26T00:00:00"/>
    <x v="12"/>
    <s v="HINDUNILVR.NS"/>
    <n v="2387.7132344214128"/>
    <n v="2403.2551005876048"/>
    <n v="2384.7434418412872"/>
    <n v="2400.7802734375"/>
    <n v="1242683"/>
    <n v="-0.12"/>
    <n v="2.4700000000000002"/>
    <x v="2"/>
    <s v="Q4-2025"/>
  </r>
  <r>
    <d v="2025-11-26T00:00:00"/>
    <x v="13"/>
    <s v="LT.NS"/>
    <n v="3960.3181320032659"/>
    <n v="4035.1869585922291"/>
    <n v="3959.3278048884858"/>
    <n v="4022.708740234375"/>
    <n v="2058237"/>
    <n v="-0.03"/>
    <n v="12.48"/>
    <x v="2"/>
    <s v="Q4-2025"/>
  </r>
  <r>
    <d v="2025-11-26T00:00:00"/>
    <x v="14"/>
    <s v="AXISBANK.NS"/>
    <n v="1270.9198641332521"/>
    <n v="1291.803782427804"/>
    <n v="1268.321892158252"/>
    <n v="1289.205688476562"/>
    <n v="4842021"/>
    <n v="-0.2"/>
    <n v="2.6"/>
    <x v="2"/>
    <s v="Q4-2025"/>
  </r>
  <r>
    <d v="2025-11-27T00:00:00"/>
    <x v="0"/>
    <s v="RELIANCE.NS"/>
    <n v="1567.7513003642509"/>
    <n v="1568.2489991897639"/>
    <n v="1548.8387449947779"/>
    <n v="1556.204711914062"/>
    <n v="9794643"/>
    <n v="-1.21"/>
    <n v="12.04"/>
    <x v="2"/>
    <s v="Q4-2025"/>
  </r>
  <r>
    <d v="2025-11-27T00:00:00"/>
    <x v="1"/>
    <s v="TCS.NS"/>
    <n v="3064.6384631299102"/>
    <n v="3064.6384631299102"/>
    <n v="3011.6337098367831"/>
    <n v="3022.81298828125"/>
    <n v="2836233"/>
    <n v="-1.73"/>
    <n v="41.83"/>
    <x v="2"/>
    <s v="Q4-2025"/>
  </r>
  <r>
    <d v="2025-11-27T00:00:00"/>
    <x v="2"/>
    <s v="INFY.NS"/>
    <n v="1530.872856492806"/>
    <n v="1540.954739594805"/>
    <n v="1519.3227449478779"/>
    <n v="1533.222045898438"/>
    <n v="7552252"/>
    <n v="-0.75"/>
    <n v="7.73"/>
    <x v="2"/>
    <s v="Q4-2025"/>
  </r>
  <r>
    <d v="2025-11-27T00:00:00"/>
    <x v="3"/>
    <s v="HDFCBANK.NS"/>
    <n v="985.79544987716611"/>
    <n v="1000.256287617789"/>
    <n v="984.71337128819187"/>
    <n v="993.0750732421875"/>
    <n v="25536848"/>
    <n v="-0.11"/>
    <n v="7.18"/>
    <x v="2"/>
    <s v="Q4-2025"/>
  </r>
  <r>
    <d v="2025-11-27T00:00:00"/>
    <x v="4"/>
    <s v="ICICIBANK.NS"/>
    <n v="1367.4715576687991"/>
    <n v="1382.346157643442"/>
    <n v="1364.1990972544561"/>
    <n v="1380.561157226562"/>
    <n v="15158741"/>
    <n v="-0.24"/>
    <n v="1.79"/>
    <x v="2"/>
    <s v="Q4-2025"/>
  </r>
  <r>
    <d v="2025-11-27T00:00:00"/>
    <x v="5"/>
    <s v="WIPRO.NS"/>
    <n v="241.34168313978199"/>
    <n v="242.80670070542561"/>
    <n v="238.72972661020901"/>
    <n v="240.5320739746094"/>
    <n v="5268129"/>
    <n v="-1.08"/>
    <n v="2.27"/>
    <x v="2"/>
    <s v="Q4-2025"/>
  </r>
  <r>
    <d v="2025-11-27T00:00:00"/>
    <x v="6"/>
    <s v="HCLTECH.NS"/>
    <n v="1561.318880023008"/>
    <n v="1574.9156673876801"/>
    <n v="1556.400908131186"/>
    <n v="1570.865600585938"/>
    <n v="2106176"/>
    <n v="-0.31"/>
    <n v="4.05"/>
    <x v="2"/>
    <s v="Q4-2025"/>
  </r>
  <r>
    <d v="2025-11-27T00:00:00"/>
    <x v="7"/>
    <s v="BAJFINANCE.NS"/>
    <n v="1009.395009653358"/>
    <n v="1038.5160452782809"/>
    <n v="1004.723773563806"/>
    <n v="1027.48388671875"/>
    <n v="12076038"/>
    <n v="-0.46"/>
    <n v="11.03"/>
    <x v="2"/>
    <s v="Q4-2025"/>
  </r>
  <r>
    <d v="2025-11-27T00:00:00"/>
    <x v="8"/>
    <s v="MARUTI.NS"/>
    <n v="16005.25798124764"/>
    <n v="16010.208265171081"/>
    <n v="15717.15145690377"/>
    <n v="15744.873046875"/>
    <n v="339986"/>
    <n v="-1.8"/>
    <n v="265.33999999999997"/>
    <x v="2"/>
    <s v="Q4-2025"/>
  </r>
  <r>
    <d v="2025-11-27T00:00:00"/>
    <x v="9"/>
    <s v="TMPV.NS"/>
    <n v="359.02181230750602"/>
    <n v="359.8152185706428"/>
    <n v="353.51748447403588"/>
    <n v="354.85635375976563"/>
    <n v="8871759"/>
    <n v="-1.53"/>
    <n v="4.96"/>
    <x v="2"/>
    <s v="Q4-2025"/>
  </r>
  <r>
    <d v="2025-11-27T00:00:00"/>
    <x v="10"/>
    <s v="SUNPHARMA.NS"/>
    <n v="1785.78918461086"/>
    <n v="1798.473380310005"/>
    <n v="1785.78918461086"/>
    <n v="1793.9150390625"/>
    <n v="2902053"/>
    <n v="0"/>
    <n v="4.5599999999999996"/>
    <x v="2"/>
    <s v="Q4-2025"/>
  </r>
  <r>
    <d v="2025-11-27T00:00:00"/>
    <x v="11"/>
    <s v="ASIANPAINT.NS"/>
    <n v="2855.228099464809"/>
    <n v="2889.431352739648"/>
    <n v="2846.701974295966"/>
    <n v="2854.3359375"/>
    <n v="1158685"/>
    <n v="-0.3"/>
    <n v="35.1"/>
    <x v="2"/>
    <s v="Q4-2025"/>
  </r>
  <r>
    <d v="2025-11-27T00:00:00"/>
    <x v="12"/>
    <s v="HINDUNILVR.NS"/>
    <n v="2401.6713428676039"/>
    <n v="2434.9328745706789"/>
    <n v="2400.5823222546769"/>
    <n v="2427.013427734375"/>
    <n v="1872248"/>
    <n v="-0.05"/>
    <n v="7.92"/>
    <x v="2"/>
    <s v="Q4-2025"/>
  </r>
  <r>
    <d v="2025-11-27T00:00:00"/>
    <x v="13"/>
    <s v="LT.NS"/>
    <n v="4031.62160404929"/>
    <n v="4099.954173609447"/>
    <n v="4020.3319718770681"/>
    <n v="4041.822021484375"/>
    <n v="2225064"/>
    <n v="-0.28000000000000003"/>
    <n v="58.13"/>
    <x v="2"/>
    <s v="Q4-2025"/>
  </r>
  <r>
    <d v="2025-11-27T00:00:00"/>
    <x v="14"/>
    <s v="AXISBANK.NS"/>
    <n v="1296.0004592453199"/>
    <n v="1302.9950646537379"/>
    <n v="1280.012789740367"/>
    <n v="1286.307983398438"/>
    <n v="5924706"/>
    <n v="-1.23"/>
    <n v="16.690000000000001"/>
    <x v="2"/>
    <s v="Q4-2025"/>
  </r>
  <r>
    <d v="2025-11-28T00:00:00"/>
    <x v="0"/>
    <s v="RELIANCE.NS"/>
    <n v="1560.783587519936"/>
    <n v="1574.022425481767"/>
    <n v="1555.8065990393241"/>
    <n v="1560.285888671875"/>
    <n v="8959508"/>
    <n v="-0.32"/>
    <n v="13.74"/>
    <x v="2"/>
    <s v="Q4-2025"/>
  </r>
  <r>
    <d v="2025-11-28T00:00:00"/>
    <x v="1"/>
    <s v="TCS.NS"/>
    <n v="3026.0894826942231"/>
    <n v="3033.1247059368802"/>
    <n v="3011.6336412163851"/>
    <n v="3023.68017578125"/>
    <n v="1616690"/>
    <n v="-0.48"/>
    <n v="9.44"/>
    <x v="2"/>
    <s v="Q4-2025"/>
  </r>
  <r>
    <d v="2025-11-28T00:00:00"/>
    <x v="2"/>
    <s v="INFY.NS"/>
    <n v="1531.851656673583"/>
    <n v="1535.1796650003639"/>
    <n v="1524.021105073974"/>
    <n v="1527.055419921875"/>
    <n v="4453221"/>
    <n v="-0.51"/>
    <n v="8.1199999999999992"/>
    <x v="2"/>
    <s v="Q4-2025"/>
  </r>
  <r>
    <d v="2025-11-28T00:00:00"/>
    <x v="3"/>
    <s v="HDFCBANK.NS"/>
    <n v="990.61577986588497"/>
    <n v="995.58360270187802"/>
    <n v="987.86134879225369"/>
    <n v="991.20599365234375"/>
    <n v="15988807"/>
    <n v="-0.28000000000000003"/>
    <n v="4.38"/>
    <x v="2"/>
    <s v="Q4-2025"/>
  </r>
  <r>
    <d v="2025-11-28T00:00:00"/>
    <x v="4"/>
    <s v="ICICIBANK.NS"/>
    <n v="1380.362896884518"/>
    <n v="1386.8085569633599"/>
    <n v="1374.016376596926"/>
    <n v="1377.189697265625"/>
    <n v="7683986"/>
    <n v="-0.46"/>
    <n v="9.6199999999999992"/>
    <x v="2"/>
    <s v="Q4-2025"/>
  </r>
  <r>
    <d v="2025-11-28T00:00:00"/>
    <x v="5"/>
    <s v="WIPRO.NS"/>
    <n v="241.91998195093089"/>
    <n v="242.87417362837149"/>
    <n v="239.60680872336181"/>
    <n v="240.50315856933591"/>
    <n v="7049965"/>
    <n v="-0.96"/>
    <n v="2.37"/>
    <x v="2"/>
    <s v="Q4-2025"/>
  </r>
  <r>
    <d v="2025-11-28T00:00:00"/>
    <x v="6"/>
    <s v="HCLTECH.NS"/>
    <n v="1570.8656874034889"/>
    <n v="1578.4837827268159"/>
    <n v="1561.2225585673721"/>
    <n v="1566.236938476562"/>
    <n v="1841289"/>
    <n v="-0.61"/>
    <n v="12.25"/>
    <x v="2"/>
    <s v="Q4-2025"/>
  </r>
  <r>
    <d v="2025-11-28T00:00:00"/>
    <x v="7"/>
    <s v="BAJFINANCE.NS"/>
    <n v="1031.6582000658891"/>
    <n v="1037.1245970797249"/>
    <n v="1024.7009675028239"/>
    <n v="1031.161254882812"/>
    <n v="4983147"/>
    <n v="-0.67"/>
    <n v="5.96"/>
    <x v="2"/>
    <s v="Q4-2025"/>
  </r>
  <r>
    <d v="2025-11-28T00:00:00"/>
    <x v="8"/>
    <s v="MARUTI.NS"/>
    <n v="15747.84366118809"/>
    <n v="15889.421785389641"/>
    <n v="15692.400479682579"/>
    <n v="15741.9033203125"/>
    <n v="352340"/>
    <n v="-0.35"/>
    <n v="147.52000000000001"/>
    <x v="2"/>
    <s v="Q4-2025"/>
  </r>
  <r>
    <d v="2025-11-28T00:00:00"/>
    <x v="9"/>
    <s v="TMPV.NS"/>
    <n v="355.05470258959792"/>
    <n v="356.79030518605538"/>
    <n v="352.17856719734118"/>
    <n v="353.86456298828119"/>
    <n v="10905212"/>
    <n v="-0.81"/>
    <n v="2.93"/>
    <x v="2"/>
    <s v="Q4-2025"/>
  </r>
  <r>
    <d v="2025-11-28T00:00:00"/>
    <x v="10"/>
    <s v="SUNPHARMA.NS"/>
    <n v="1793.915075064572"/>
    <n v="1816.409569630164"/>
    <n v="1791.140369397993"/>
    <n v="1815.022216796875"/>
    <n v="1623103"/>
    <n v="-0.15"/>
    <n v="1.39"/>
    <x v="2"/>
    <s v="Q4-2025"/>
  </r>
  <r>
    <d v="2025-11-28T00:00:00"/>
    <x v="11"/>
    <s v="ASIANPAINT.NS"/>
    <n v="2855.2279543403338"/>
    <n v="2865.04270361711"/>
    <n v="2831.2361567432472"/>
    <n v="2849.676025390625"/>
    <n v="748446"/>
    <n v="-0.84"/>
    <n v="15.37"/>
    <x v="2"/>
    <s v="Q4-2025"/>
  </r>
  <r>
    <d v="2025-11-28T00:00:00"/>
    <x v="12"/>
    <s v="HINDUNILVR.NS"/>
    <n v="2425.3307221458881"/>
    <n v="2445.1293402858541"/>
    <n v="2422.5588672698218"/>
    <n v="2441.763671875"/>
    <n v="973225"/>
    <n v="-0.11"/>
    <n v="3.37"/>
    <x v="2"/>
    <s v="Q4-2025"/>
  </r>
  <r>
    <d v="2025-11-28T00:00:00"/>
    <x v="13"/>
    <s v="LT.NS"/>
    <n v="4045.486292526487"/>
    <n v="4064.5007666881879"/>
    <n v="4015.4793323803269"/>
    <n v="4030.2353515625"/>
    <n v="1318133"/>
    <n v="-0.74"/>
    <n v="34.270000000000003"/>
    <x v="2"/>
    <s v="Q4-2025"/>
  </r>
  <r>
    <d v="2025-11-28T00:00:00"/>
    <x v="14"/>
    <s v="AXISBANK.NS"/>
    <n v="1286.307985726778"/>
    <n v="1288.0066268242581"/>
    <n v="1274.017415982102"/>
    <n v="1278.713745117188"/>
    <n v="3093636"/>
    <n v="-0.96"/>
    <n v="9.2899999999999991"/>
    <x v="2"/>
    <s v="Q4-2025"/>
  </r>
  <r>
    <d v="2025-12-01T00:00:00"/>
    <x v="0"/>
    <s v="RELIANCE.NS"/>
    <n v="1567.7513979315311"/>
    <n v="1570.2398922139621"/>
    <n v="1556.403839701944"/>
    <n v="1558.892333984375"/>
    <n v="8920233"/>
    <n v="-0.72"/>
    <n v="11.35"/>
    <x v="3"/>
    <s v="Q4-2025"/>
  </r>
  <r>
    <d v="2025-12-01T00:00:00"/>
    <x v="1"/>
    <s v="TCS.NS"/>
    <n v="3024.065756616114"/>
    <n v="3039.5817882027418"/>
    <n v="3008.9353553295882"/>
    <n v="3019.72900390625"/>
    <n v="1747647"/>
    <n v="-0.5"/>
    <n v="19.850000000000001"/>
    <x v="3"/>
    <s v="Q4-2025"/>
  </r>
  <r>
    <d v="2025-12-01T00:00:00"/>
    <x v="2"/>
    <s v="INFY.NS"/>
    <n v="1529.4045743430061"/>
    <n v="1540.66099201017"/>
    <n v="1523.0422513137389"/>
    <n v="1530.872802734375"/>
    <n v="5341800"/>
    <n v="-0.42"/>
    <n v="9.7899999999999991"/>
    <x v="3"/>
    <s v="Q4-2025"/>
  </r>
  <r>
    <d v="2025-12-01T00:00:00"/>
    <x v="3"/>
    <s v="HDFCBANK.NS"/>
    <n v="1000.944932017152"/>
    <n v="1000.944932017152"/>
    <n v="983.04104014365987"/>
    <n v="985.79547119140625"/>
    <n v="16746566"/>
    <n v="-1.79"/>
    <n v="15.15"/>
    <x v="3"/>
    <s v="Q4-2025"/>
  </r>
  <r>
    <d v="2025-12-01T00:00:00"/>
    <x v="4"/>
    <s v="ICICIBANK.NS"/>
    <n v="1382.346180031629"/>
    <n v="1388.296020117848"/>
    <n v="1373.8181001180089"/>
    <n v="1378.478759765625"/>
    <n v="8867593"/>
    <n v="-0.62"/>
    <n v="9.82"/>
    <x v="3"/>
    <s v="Q4-2025"/>
  </r>
  <r>
    <d v="2025-12-01T00:00:00"/>
    <x v="5"/>
    <s v="WIPRO.NS"/>
    <n v="241.05254706736599"/>
    <n v="241.67902719732231"/>
    <n v="239.85739922566219"/>
    <n v="241.22602844238281"/>
    <n v="3865446"/>
    <n v="-0.5"/>
    <n v="0.45"/>
    <x v="3"/>
    <s v="Q4-2025"/>
  </r>
  <r>
    <d v="2025-12-01T00:00:00"/>
    <x v="6"/>
    <s v="HCLTECH.NS"/>
    <n v="1571.8299936315991"/>
    <n v="1587.74115614382"/>
    <n v="1569.9013678725421"/>
    <n v="1584.269653320312"/>
    <n v="2034350"/>
    <n v="-0.12"/>
    <n v="3.47"/>
    <x v="3"/>
    <s v="Q4-2025"/>
  </r>
  <r>
    <d v="2025-12-01T00:00:00"/>
    <x v="7"/>
    <s v="BAJFINANCE.NS"/>
    <n v="1035.534356502259"/>
    <n v="1035.6337212701101"/>
    <n v="1012.575453539323"/>
    <n v="1014.861389160156"/>
    <n v="6459837"/>
    <n v="-2.2200000000000002"/>
    <n v="20.77"/>
    <x v="3"/>
    <s v="Q4-2025"/>
  </r>
  <r>
    <d v="2025-12-01T00:00:00"/>
    <x v="8"/>
    <s v="MARUTI.NS"/>
    <n v="15816.157406137891"/>
    <n v="16016.148880068389"/>
    <n v="15693.390362734999"/>
    <n v="15936.9443359375"/>
    <n v="434052"/>
    <n v="-0.78"/>
    <n v="79.2"/>
    <x v="3"/>
    <s v="Q4-2025"/>
  </r>
  <r>
    <d v="2025-12-01T00:00:00"/>
    <x v="9"/>
    <s v="TMPV.NS"/>
    <n v="356.04647840726079"/>
    <n v="361.99711592938769"/>
    <n v="355.74895863775748"/>
    <n v="360.80697631835938"/>
    <n v="12714139"/>
    <n v="-0.08"/>
    <n v="1.19"/>
    <x v="3"/>
    <s v="Q4-2025"/>
  </r>
  <r>
    <d v="2025-12-01T00:00:00"/>
    <x v="10"/>
    <s v="SUNPHARMA.NS"/>
    <n v="1824.3371222136971"/>
    <n v="1832.264714271116"/>
    <n v="1784.699161926598"/>
    <n v="1791.041259765625"/>
    <n v="1869293"/>
    <n v="-2.17"/>
    <n v="41.22"/>
    <x v="3"/>
    <s v="Q4-2025"/>
  </r>
  <r>
    <d v="2025-12-01T00:00:00"/>
    <x v="11"/>
    <s v="ASIANPAINT.NS"/>
    <n v="2852.9477954137251"/>
    <n v="2862.6635504172168"/>
    <n v="2823.503304446142"/>
    <n v="2842.934814453125"/>
    <n v="499153"/>
    <n v="-1.03"/>
    <n v="19.73"/>
    <x v="3"/>
    <s v="Q4-2025"/>
  </r>
  <r>
    <d v="2025-12-01T00:00:00"/>
    <x v="12"/>
    <s v="HINDUNILVR.NS"/>
    <n v="2441.7635217623279"/>
    <n v="2462.947945196795"/>
    <n v="2434.042012825968"/>
    <n v="2439.6845703125"/>
    <n v="1924828"/>
    <n v="-0.32"/>
    <n v="23.26"/>
    <x v="3"/>
    <s v="Q4-2025"/>
  </r>
  <r>
    <d v="2025-12-01T00:00:00"/>
    <x v="13"/>
    <s v="LT.NS"/>
    <n v="4047.4668552964499"/>
    <n v="4063.7081230151739"/>
    <n v="4010.824752618209"/>
    <n v="4033.80029296875"/>
    <n v="1251770"/>
    <n v="-0.91"/>
    <n v="29.91"/>
    <x v="3"/>
    <s v="Q4-2025"/>
  </r>
  <r>
    <d v="2025-12-01T00:00:00"/>
    <x v="14"/>
    <s v="AXISBANK.NS"/>
    <n v="1287.0074895694329"/>
    <n v="1288.0067189868"/>
    <n v="1267.5225159307649"/>
    <n v="1274.716918945312"/>
    <n v="4098016"/>
    <n v="-1.51"/>
    <n v="13.29"/>
    <x v="3"/>
    <s v="Q4-2025"/>
  </r>
  <r>
    <d v="2025-12-02T00:00:00"/>
    <x v="0"/>
    <s v="RELIANCE.NS"/>
    <n v="1553.915284347584"/>
    <n v="1560.2858537619329"/>
    <n v="1534.903213078725"/>
    <n v="1539.183471679688"/>
    <n v="11389150"/>
    <n v="-1.22"/>
    <n v="21.1"/>
    <x v="3"/>
    <s v="Q4-2025"/>
  </r>
  <r>
    <d v="2025-12-02T00:00:00"/>
    <x v="1"/>
    <s v="TCS.NS"/>
    <n v="3017.4161065078192"/>
    <n v="3029.944502989646"/>
    <n v="3007.200550647543"/>
    <n v="3021.945556640625"/>
    <n v="2512003"/>
    <n v="-0.34"/>
    <n v="8"/>
    <x v="3"/>
    <s v="Q4-2025"/>
  </r>
  <r>
    <d v="2025-12-02T00:00:00"/>
    <x v="2"/>
    <s v="INFY.NS"/>
    <n v="1533.8093151456651"/>
    <n v="1546.436103666339"/>
    <n v="1523.1401645511501"/>
    <n v="1527.936401367188"/>
    <n v="6335969"/>
    <n v="-0.7"/>
    <n v="18.5"/>
    <x v="3"/>
    <s v="Q4-2025"/>
  </r>
  <r>
    <d v="2025-12-02T00:00:00"/>
    <x v="3"/>
    <s v="HDFCBANK.NS"/>
    <n v="971.92491627398431"/>
    <n v="978.22081019381142"/>
    <n v="968.97372725695811"/>
    <n v="973.69561767578125"/>
    <n v="27316662"/>
    <n v="-0.3"/>
    <n v="4.53"/>
    <x v="3"/>
    <s v="Q4-2025"/>
  </r>
  <r>
    <d v="2025-12-02T00:00:00"/>
    <x v="4"/>
    <s v="ICICIBANK.NS"/>
    <n v="1370.2482089901271"/>
    <n v="1370.2482089901271"/>
    <n v="1359.1417682907791"/>
    <n v="1361.521728515625"/>
    <n v="12126396"/>
    <n v="-0.81"/>
    <n v="8.73"/>
    <x v="3"/>
    <s v="Q4-2025"/>
  </r>
  <r>
    <d v="2025-12-02T00:00:00"/>
    <x v="5"/>
    <s v="WIPRO.NS"/>
    <n v="240.95616195066569"/>
    <n v="242.3537047486202"/>
    <n v="239.8670353924737"/>
    <n v="241.12001037597659"/>
    <n v="8535708"/>
    <n v="-0.45"/>
    <n v="1.23"/>
    <x v="3"/>
    <s v="Q4-2025"/>
  </r>
  <r>
    <d v="2025-12-02T00:00:00"/>
    <x v="6"/>
    <s v="HCLTECH.NS"/>
    <n v="1592.080516174932"/>
    <n v="1593.9127341336759"/>
    <n v="1566.044069211441"/>
    <n v="1577.133666992188"/>
    <n v="2326220"/>
    <n v="-1.64"/>
    <n v="16.78"/>
    <x v="3"/>
    <s v="Q4-2025"/>
  </r>
  <r>
    <d v="2025-12-02T00:00:00"/>
    <x v="7"/>
    <s v="BAJFINANCE.NS"/>
    <n v="1008.301764210627"/>
    <n v="1029.6704068232721"/>
    <n v="1007.7054542630819"/>
    <n v="1019.234558105469"/>
    <n v="6706145"/>
    <n v="-0.06"/>
    <n v="10.44"/>
    <x v="3"/>
    <s v="Q4-2025"/>
  </r>
  <r>
    <d v="2025-12-02T00:00:00"/>
    <x v="8"/>
    <s v="MARUTI.NS"/>
    <n v="15966.64586598765"/>
    <n v="16099.313475961129"/>
    <n v="15934.964048680549"/>
    <n v="16077.5322265625"/>
    <n v="383165"/>
    <n v="-0.2"/>
    <n v="21.78"/>
    <x v="3"/>
    <s v="Q4-2025"/>
  </r>
  <r>
    <d v="2025-12-02T00:00:00"/>
    <x v="9"/>
    <s v="TMPV.NS"/>
    <n v="361.00535388411367"/>
    <n v="361.00535388411367"/>
    <n v="356.64155895639863"/>
    <n v="358.77386474609381"/>
    <n v="8576018"/>
    <n v="-1.21"/>
    <n v="2.23"/>
    <x v="3"/>
    <s v="Q4-2025"/>
  </r>
  <r>
    <d v="2025-12-02T00:00:00"/>
    <x v="10"/>
    <s v="SUNPHARMA.NS"/>
    <n v="1787.6720391623539"/>
    <n v="1798.4734077162379"/>
    <n v="1772.411400000803"/>
    <n v="1783.212768554688"/>
    <n v="2948688"/>
    <n v="-0.85"/>
    <n v="15.26"/>
    <x v="3"/>
    <s v="Q4-2025"/>
  </r>
  <r>
    <d v="2025-12-02T00:00:00"/>
    <x v="11"/>
    <s v="ASIANPAINT.NS"/>
    <n v="2842.339893028985"/>
    <n v="2936.5227635688361"/>
    <n v="2836.5897325247311"/>
    <n v="2928.988037109375"/>
    <n v="2102147"/>
    <n v="-0.2"/>
    <n v="7.53"/>
    <x v="3"/>
    <s v="Q4-2025"/>
  </r>
  <r>
    <d v="2025-12-02T00:00:00"/>
    <x v="12"/>
    <s v="HINDUNILVR.NS"/>
    <n v="2446.1192516279079"/>
    <n v="2459.3842290026469"/>
    <n v="2435.2300117380219"/>
    <n v="2452.850830078125"/>
    <n v="2179406"/>
    <n v="-0.45"/>
    <n v="6.53"/>
    <x v="3"/>
    <s v="Q4-2025"/>
  </r>
  <r>
    <d v="2025-12-02T00:00:00"/>
    <x v="13"/>
    <s v="LT.NS"/>
    <n v="4027.1652037915478"/>
    <n v="4049.0515296938338"/>
    <n v="3984.8782844351058"/>
    <n v="3991.513427734375"/>
    <n v="1490917"/>
    <n v="-1.05"/>
    <n v="57.54"/>
    <x v="3"/>
    <s v="Q4-2025"/>
  </r>
  <r>
    <d v="2025-12-02T00:00:00"/>
    <x v="14"/>
    <s v="AXISBANK.NS"/>
    <n v="1269.7206814849601"/>
    <n v="1280.0127925417951"/>
    <n v="1254.1327280787621"/>
    <n v="1257.030517578125"/>
    <n v="8115347"/>
    <n v="-1.23"/>
    <n v="22.98"/>
    <x v="3"/>
    <s v="Q4-2025"/>
  </r>
  <r>
    <d v="2025-12-03T00:00:00"/>
    <x v="0"/>
    <s v="RELIANCE.NS"/>
    <n v="1538.0884656023029"/>
    <n v="1545.2554018922649"/>
    <n v="1525.944662359143"/>
    <n v="1531.718017578125"/>
    <n v="6090883"/>
    <n v="-0.79"/>
    <n v="13.54"/>
    <x v="3"/>
    <s v="Q4-2025"/>
  </r>
  <r>
    <d v="2025-12-03T00:00:00"/>
    <x v="1"/>
    <s v="TCS.NS"/>
    <n v="3026.0895166936912"/>
    <n v="3095.3810901757679"/>
    <n v="3025.1257939176739"/>
    <n v="3064.638427734375"/>
    <n v="3952112"/>
    <n v="-0.03"/>
    <n v="30.74"/>
    <x v="3"/>
    <s v="Q4-2025"/>
  </r>
  <r>
    <d v="2025-12-03T00:00:00"/>
    <x v="2"/>
    <s v="INFY.NS"/>
    <n v="1522.161370598096"/>
    <n v="1552.4069009511541"/>
    <n v="1521.182551618934"/>
    <n v="1545.261474609375"/>
    <n v="12895312"/>
    <n v="-0.06"/>
    <n v="7.15"/>
    <x v="3"/>
    <s v="Q4-2025"/>
  </r>
  <r>
    <d v="2025-12-03T00:00:00"/>
    <x v="3"/>
    <s v="HDFCBANK.NS"/>
    <n v="969.95741692142201"/>
    <n v="985.9921979107919"/>
    <n v="969.95741692142201"/>
    <n v="984.22149658203125"/>
    <n v="15448777"/>
    <n v="0"/>
    <n v="1.77"/>
    <x v="3"/>
    <s v="Q4-2025"/>
  </r>
  <r>
    <d v="2025-12-03T00:00:00"/>
    <x v="4"/>
    <s v="ICICIBANK.NS"/>
    <n v="1355.5718853340879"/>
    <n v="1382.5444450203011"/>
    <n v="1355.5718853340879"/>
    <n v="1379.867065429688"/>
    <n v="7955933"/>
    <n v="0"/>
    <n v="2.68"/>
    <x v="3"/>
    <s v="Q4-2025"/>
  </r>
  <r>
    <d v="2025-12-03T00:00:00"/>
    <x v="5"/>
    <s v="WIPRO.NS"/>
    <n v="241.5344621919815"/>
    <n v="247.82823595438219"/>
    <n v="241.48626801831779"/>
    <n v="245.47650146484381"/>
    <n v="17215454"/>
    <n v="-0.02"/>
    <n v="2.35"/>
    <x v="3"/>
    <s v="Q4-2025"/>
  </r>
  <r>
    <d v="2025-12-03T00:00:00"/>
    <x v="6"/>
    <s v="HCLTECH.NS"/>
    <n v="1577.133636037448"/>
    <n v="1595.5519875776961"/>
    <n v="1570.672787151497"/>
    <n v="1581.955200195312"/>
    <n v="2371611"/>
    <n v="-0.41"/>
    <n v="13.6"/>
    <x v="3"/>
    <s v="Q4-2025"/>
  </r>
  <r>
    <d v="2025-12-03T00:00:00"/>
    <x v="7"/>
    <s v="BAJFINANCE.NS"/>
    <n v="1014.762026536847"/>
    <n v="1020.029693813608"/>
    <n v="1008.0035844279161"/>
    <n v="1015.159606933594"/>
    <n v="5895670"/>
    <n v="-0.67"/>
    <n v="4.87"/>
    <x v="3"/>
    <s v="Q4-2025"/>
  </r>
  <r>
    <d v="2025-12-03T00:00:00"/>
    <x v="8"/>
    <s v="MARUTI.NS"/>
    <n v="16057.73153409091"/>
    <n v="16086.44318181818"/>
    <n v="15850.80965909091"/>
    <n v="15922.09375"/>
    <n v="264397"/>
    <n v="-1.29"/>
    <n v="164.35"/>
    <x v="3"/>
    <s v="Q4-2025"/>
  </r>
  <r>
    <d v="2025-12-03T00:00:00"/>
    <x v="9"/>
    <s v="TMPV.NS"/>
    <n v="358.72428944891197"/>
    <n v="358.72428944891197"/>
    <n v="351.18680894772098"/>
    <n v="353.9141845703125"/>
    <n v="9504331"/>
    <n v="-2.1"/>
    <n v="4.8099999999999996"/>
    <x v="3"/>
    <s v="Q4-2025"/>
  </r>
  <r>
    <d v="2025-12-03T00:00:00"/>
    <x v="10"/>
    <s v="SUNPHARMA.NS"/>
    <n v="1788.662969243037"/>
    <n v="1799.563408390778"/>
    <n v="1766.366616440838"/>
    <n v="1790.347534179688"/>
    <n v="2114510"/>
    <n v="-1.25"/>
    <n v="9.2200000000000006"/>
    <x v="3"/>
    <s v="Q4-2025"/>
  </r>
  <r>
    <d v="2025-12-03T00:00:00"/>
    <x v="11"/>
    <s v="ASIANPAINT.NS"/>
    <n v="2943.462626521632"/>
    <n v="2943.6608578458299"/>
    <n v="2907.3758120528332"/>
    <n v="2928.095947265625"/>
    <n v="1252456"/>
    <n v="-1.23"/>
    <n v="15.56"/>
    <x v="3"/>
    <s v="Q4-2025"/>
  </r>
  <r>
    <d v="2025-12-03T00:00:00"/>
    <x v="12"/>
    <s v="HINDUNILVR.NS"/>
    <n v="2453.2466947597759"/>
    <n v="2459.8791834173931"/>
    <n v="2378.9030295817388"/>
    <n v="2423.350830078125"/>
    <n v="3535932"/>
    <n v="-3.03"/>
    <n v="36.53"/>
    <x v="3"/>
    <s v="Q4-2025"/>
  </r>
  <r>
    <d v="2025-12-03T00:00:00"/>
    <x v="13"/>
    <s v="LT.NS"/>
    <n v="3992.998953892929"/>
    <n v="4007.754731291664"/>
    <n v="3931.6978017836359"/>
    <n v="3949.424560546875"/>
    <n v="1123990"/>
    <n v="-1.54"/>
    <n v="58.33"/>
    <x v="3"/>
    <s v="Q4-2025"/>
  </r>
  <r>
    <d v="2025-12-03T00:00:00"/>
    <x v="14"/>
    <s v="AXISBANK.NS"/>
    <n v="1254.032850912055"/>
    <n v="1271.919080909953"/>
    <n v="1254.032850912055"/>
    <n v="1269.720703125"/>
    <n v="3582794"/>
    <n v="0"/>
    <n v="2.2000000000000002"/>
    <x v="3"/>
    <s v="Q4-2025"/>
  </r>
  <r>
    <d v="2025-12-04T00:00:00"/>
    <x v="0"/>
    <s v="RELIANCE.NS"/>
    <n v="1528.930898233534"/>
    <n v="1553.318142378535"/>
    <n v="1510.615555880076"/>
    <n v="1528.53271484375"/>
    <n v="11867930"/>
    <n v="-1.2"/>
    <n v="24.79"/>
    <x v="3"/>
    <s v="Q4-2025"/>
  </r>
  <r>
    <d v="2025-12-04T00:00:00"/>
    <x v="1"/>
    <s v="TCS.NS"/>
    <n v="3078.13047294951"/>
    <n v="3132.098947115187"/>
    <n v="3071.7698086664341"/>
    <n v="3112.053466796875"/>
    <n v="5025905"/>
    <n v="-0.21"/>
    <n v="20.05"/>
    <x v="3"/>
    <s v="Q4-2025"/>
  </r>
  <r>
    <d v="2025-12-04T00:00:00"/>
    <x v="2"/>
    <s v="INFY.NS"/>
    <n v="1534.7880917871571"/>
    <n v="1565.131478805909"/>
    <n v="1534.7880917871571"/>
    <n v="1563.761108398438"/>
    <n v="12609619"/>
    <n v="0"/>
    <n v="1.37"/>
    <x v="3"/>
    <s v="Q4-2025"/>
  </r>
  <r>
    <d v="2025-12-04T00:00:00"/>
    <x v="3"/>
    <s v="HDFCBANK.NS"/>
    <n v="983.72965074021658"/>
    <n v="988.35319210711418"/>
    <n v="976.84354318503506"/>
    <n v="980.9752197265625"/>
    <n v="14528169"/>
    <n v="-0.7"/>
    <n v="7.38"/>
    <x v="3"/>
    <s v="Q4-2025"/>
  </r>
  <r>
    <d v="2025-12-04T00:00:00"/>
    <x v="4"/>
    <s v="ICICIBANK.NS"/>
    <n v="1375.404596065827"/>
    <n v="1379.9661155774991"/>
    <n v="1368.3639767054419"/>
    <n v="1375.107055664062"/>
    <n v="7373909"/>
    <n v="-0.51"/>
    <n v="4.8600000000000003"/>
    <x v="3"/>
    <s v="Q4-2025"/>
  </r>
  <r>
    <d v="2025-12-04T00:00:00"/>
    <x v="5"/>
    <s v="WIPRO.NS"/>
    <n v="246.73910243420841"/>
    <n v="249.43779960164531"/>
    <n v="246.25719012476659"/>
    <n v="247.63545227050781"/>
    <n v="10687381"/>
    <n v="-0.2"/>
    <n v="1.8"/>
    <x v="3"/>
    <s v="Q4-2025"/>
  </r>
  <r>
    <d v="2025-12-04T00:00:00"/>
    <x v="6"/>
    <s v="HCLTECH.NS"/>
    <n v="1591.116186430718"/>
    <n v="1612.3310689164609"/>
    <n v="1586.3910299706449"/>
    <n v="1595.552001953125"/>
    <n v="3935708"/>
    <n v="-0.3"/>
    <n v="16.78"/>
    <x v="3"/>
    <s v="Q4-2025"/>
  </r>
  <r>
    <d v="2025-12-04T00:00:00"/>
    <x v="7"/>
    <s v="BAJFINANCE.NS"/>
    <n v="1011.780341756553"/>
    <n v="1025.9930218061161"/>
    <n v="1009.7925611244179"/>
    <n v="1022.8125"/>
    <n v="5404918"/>
    <n v="-0.2"/>
    <n v="3.18"/>
    <x v="3"/>
    <s v="Q4-2025"/>
  </r>
  <r>
    <d v="2025-12-04T00:00:00"/>
    <x v="8"/>
    <s v="MARUTI.NS"/>
    <n v="15898.33238636364"/>
    <n v="15974.56676136364"/>
    <n v="15729.03267045455"/>
    <n v="15834.96875"/>
    <n v="248812"/>
    <n v="-1.06"/>
    <n v="139.6"/>
    <x v="3"/>
    <s v="Q4-2025"/>
  </r>
  <r>
    <d v="2025-12-04T00:00:00"/>
    <x v="9"/>
    <s v="TMPV.NS"/>
    <n v="354.06294959809611"/>
    <n v="356.54238201825081"/>
    <n v="351.38515047772529"/>
    <n v="353.51748657226563"/>
    <n v="9173145"/>
    <n v="-0.76"/>
    <n v="3.02"/>
    <x v="3"/>
    <s v="Q4-2025"/>
  </r>
  <r>
    <d v="2025-12-04T00:00:00"/>
    <x v="10"/>
    <s v="SUNPHARMA.NS"/>
    <n v="1792.0323532822399"/>
    <n v="1806.6983271918571"/>
    <n v="1782.023791695749"/>
    <n v="1801.8427734375"/>
    <n v="1713961"/>
    <n v="-0.56000000000000005"/>
    <n v="4.8600000000000003"/>
    <x v="3"/>
    <s v="Q4-2025"/>
  </r>
  <r>
    <d v="2025-12-04T00:00:00"/>
    <x v="11"/>
    <s v="ASIANPAINT.NS"/>
    <n v="2924.6258944441001"/>
    <n v="2960.0187763517802"/>
    <n v="2908.7635167115218"/>
    <n v="2931.763916015625"/>
    <n v="1466098"/>
    <n v="-0.54"/>
    <n v="28.25"/>
    <x v="3"/>
    <s v="Q4-2025"/>
  </r>
  <r>
    <d v="2025-12-04T00:00:00"/>
    <x v="12"/>
    <s v="HINDUNILVR.NS"/>
    <n v="2415.431298091029"/>
    <n v="2457.9983250655841"/>
    <n v="2398.800411308689"/>
    <n v="2437.40771484375"/>
    <n v="2587753"/>
    <n v="-0.69"/>
    <n v="20.59"/>
    <x v="3"/>
    <s v="Q4-2025"/>
  </r>
  <r>
    <d v="2025-12-04T00:00:00"/>
    <x v="13"/>
    <s v="LT.NS"/>
    <n v="3951.4051354105268"/>
    <n v="3970.4193674055591"/>
    <n v="3923.378830079243"/>
    <n v="3945.067138671875"/>
    <n v="1026968"/>
    <n v="-0.71"/>
    <n v="25.35"/>
    <x v="3"/>
    <s v="Q4-2025"/>
  </r>
  <r>
    <d v="2025-12-04T00:00:00"/>
    <x v="14"/>
    <s v="AXISBANK.NS"/>
    <n v="1269.7206681913931"/>
    <n v="1281.8114407353801"/>
    <n v="1268.4217432406149"/>
    <n v="1279.013549804688"/>
    <n v="3216108"/>
    <n v="-0.1"/>
    <n v="2.8"/>
    <x v="3"/>
    <s v="Q4-2025"/>
  </r>
  <r>
    <d v="2025-12-05T00:00:00"/>
    <x v="0"/>
    <s v="RELIANCE.NS"/>
    <n v="1523.3566358085279"/>
    <n v="1538.6857844027049"/>
    <n v="1513.6016899280951"/>
    <n v="1533.509643554688"/>
    <n v="10183266"/>
    <n v="-0.64"/>
    <n v="5.18"/>
    <x v="3"/>
    <s v="Q4-2025"/>
  </r>
  <r>
    <d v="2025-12-05T00:00:00"/>
    <x v="1"/>
    <s v="TCS.NS"/>
    <n v="3112.8245710631909"/>
    <n v="3152.9155327173712"/>
    <n v="3105.500183841255"/>
    <n v="3120.72705078125"/>
    <n v="5244013"/>
    <n v="-0.24"/>
    <n v="32.19"/>
    <x v="3"/>
    <s v="Q4-2025"/>
  </r>
  <r>
    <d v="2025-12-05T00:00:00"/>
    <x v="2"/>
    <s v="INFY.NS"/>
    <n v="1575.898533298187"/>
    <n v="1597.2368345243181"/>
    <n v="1566.110343650372"/>
    <n v="1581.967163085938"/>
    <n v="10344725"/>
    <n v="-0.62"/>
    <n v="15.27"/>
    <x v="3"/>
    <s v="Q4-2025"/>
  </r>
  <r>
    <d v="2025-12-05T00:00:00"/>
    <x v="3"/>
    <s v="HDFCBANK.NS"/>
    <n v="975.85981904076675"/>
    <n v="991.59949354142429"/>
    <n v="974.0891176678615"/>
    <n v="986.9759521484375"/>
    <n v="12843366"/>
    <n v="-0.18"/>
    <n v="4.62"/>
    <x v="3"/>
    <s v="Q4-2025"/>
  </r>
  <r>
    <d v="2025-12-05T00:00:00"/>
    <x v="4"/>
    <s v="ICICIBANK.NS"/>
    <n v="1369.454783052345"/>
    <n v="1383.635282882582"/>
    <n v="1369.454783052345"/>
    <n v="1380.858642578125"/>
    <n v="4942638"/>
    <n v="0"/>
    <n v="2.78"/>
    <x v="3"/>
    <s v="Q4-2025"/>
  </r>
  <r>
    <d v="2025-12-05T00:00:00"/>
    <x v="5"/>
    <s v="WIPRO.NS"/>
    <n v="248.85952805167429"/>
    <n v="251.65461356024181"/>
    <n v="248.37761574283181"/>
    <n v="250.5076599121094"/>
    <n v="7886562"/>
    <n v="-0.19"/>
    <n v="1.1499999999999999"/>
    <x v="3"/>
    <s v="Q4-2025"/>
  </r>
  <r>
    <d v="2025-12-05T00:00:00"/>
    <x v="6"/>
    <s v="HCLTECH.NS"/>
    <n v="1603.3629998227741"/>
    <n v="1630.6531017754519"/>
    <n v="1592.080586062254"/>
    <n v="1622.938598632812"/>
    <n v="3391204"/>
    <n v="-0.7"/>
    <n v="7.71"/>
    <x v="3"/>
    <s v="Q4-2025"/>
  </r>
  <r>
    <d v="2025-12-05T00:00:00"/>
    <x v="7"/>
    <s v="BAJFINANCE.NS"/>
    <n v="1022.613765223776"/>
    <n v="1054.517619941071"/>
    <n v="1020.228404212544"/>
    <n v="1041.597045898438"/>
    <n v="13123572"/>
    <n v="-0.23"/>
    <n v="12.92"/>
    <x v="3"/>
    <s v="Q4-2025"/>
  </r>
  <r>
    <d v="2025-12-05T00:00:00"/>
    <x v="8"/>
    <s v="MARUTI.NS"/>
    <n v="15840.90943987225"/>
    <n v="16175.54865178955"/>
    <n v="15820.11824623242"/>
    <n v="16120.10546875"/>
    <n v="332032"/>
    <n v="-0.13"/>
    <n v="55.44"/>
    <x v="3"/>
    <s v="Q4-2025"/>
  </r>
  <r>
    <d v="2025-12-05T00:00:00"/>
    <x v="9"/>
    <s v="TMPV.NS"/>
    <n v="352.07939403276072"/>
    <n v="353.61662998461031"/>
    <n v="350.09584815088601"/>
    <n v="350.69091796875"/>
    <n v="5667381"/>
    <n v="-0.56000000000000005"/>
    <n v="2.93"/>
    <x v="3"/>
    <s v="Q4-2025"/>
  </r>
  <r>
    <d v="2025-12-05T00:00:00"/>
    <x v="10"/>
    <s v="SUNPHARMA.NS"/>
    <n v="1802.5362804345771"/>
    <n v="1803.725370881006"/>
    <n v="1783.9063903374699"/>
    <n v="1788.960327148438"/>
    <n v="1777401"/>
    <n v="-1.03"/>
    <n v="14.77"/>
    <x v="3"/>
    <s v="Q4-2025"/>
  </r>
  <r>
    <d v="2025-12-05T00:00:00"/>
    <x v="11"/>
    <s v="ASIANPAINT.NS"/>
    <n v="2929.582915534992"/>
    <n v="2947.923789963892"/>
    <n v="2915.7033348860959"/>
    <n v="2942.966796875"/>
    <n v="944978"/>
    <n v="-0.47"/>
    <n v="4.96"/>
    <x v="3"/>
    <s v="Q4-2025"/>
  </r>
  <r>
    <d v="2025-12-05T00:00:00"/>
    <x v="12"/>
    <s v="HINDUNILVR.NS"/>
    <n v="2397.612630294107"/>
    <n v="2397.612630294107"/>
    <n v="2263.6749317186641"/>
    <n v="2315.052490234375"/>
    <n v="4008271"/>
    <n v="-5.59"/>
    <n v="82.56"/>
    <x v="3"/>
    <s v="Q4-2025"/>
  </r>
  <r>
    <d v="2025-12-05T00:00:00"/>
    <x v="13"/>
    <s v="LT.NS"/>
    <n v="3960.3181413801681"/>
    <n v="4008.8441701192601"/>
    <n v="3936.6494199925291"/>
    <n v="3999.138916015625"/>
    <n v="1073758"/>
    <n v="-0.6"/>
    <n v="9.7100000000000009"/>
    <x v="3"/>
    <s v="Q4-2025"/>
  </r>
  <r>
    <d v="2025-12-05T00:00:00"/>
    <x v="14"/>
    <s v="AXISBANK.NS"/>
    <n v="1274.2172952640819"/>
    <n v="1284.009792275828"/>
    <n v="1266.323480503461"/>
    <n v="1281.51171875"/>
    <n v="2728214"/>
    <n v="-0.62"/>
    <n v="2.5"/>
    <x v="3"/>
    <s v="Q4-2025"/>
  </r>
  <r>
    <d v="2025-12-08T00:00:00"/>
    <x v="0"/>
    <s v="RELIANCE.NS"/>
    <n v="1532.1161217020069"/>
    <n v="1543.861863398969"/>
    <n v="1527.935499882281"/>
    <n v="1535.898681640625"/>
    <n v="11301491"/>
    <n v="-0.27"/>
    <n v="7.96"/>
    <x v="3"/>
    <s v="Q4-2025"/>
  </r>
  <r>
    <d v="2025-12-08T00:00:00"/>
    <x v="1"/>
    <s v="TCS.NS"/>
    <n v="3125.352820806741"/>
    <n v="3141.6396408688429"/>
    <n v="3092.2008529296158"/>
    <n v="3119.088623046875"/>
    <n v="2544725"/>
    <n v="-1.06"/>
    <n v="22.55"/>
    <x v="3"/>
    <s v="Q4-2025"/>
  </r>
  <r>
    <d v="2025-12-08T00:00:00"/>
    <x v="2"/>
    <s v="INFY.NS"/>
    <n v="1582.848128429338"/>
    <n v="1595.4749170068919"/>
    <n v="1566.3060639818279"/>
    <n v="1576.681640625"/>
    <n v="7550413"/>
    <n v="-1.05"/>
    <n v="18.79"/>
    <x v="3"/>
    <s v="Q4-2025"/>
  </r>
  <r>
    <d v="2025-12-08T00:00:00"/>
    <x v="3"/>
    <s v="HDFCBANK.NS"/>
    <n v="983.72963694698865"/>
    <n v="990.12387958714407"/>
    <n v="981.27031285462124"/>
    <n v="986.7791748046875"/>
    <n v="12901022"/>
    <n v="-0.25"/>
    <n v="3.34"/>
    <x v="3"/>
    <s v="Q4-2025"/>
  </r>
  <r>
    <d v="2025-12-08T00:00:00"/>
    <x v="4"/>
    <s v="ICICIBANK.NS"/>
    <n v="1375.4046703842359"/>
    <n v="1383.2386505394279"/>
    <n v="1371.7356508298089"/>
    <n v="1377.98291015625"/>
    <n v="7826227"/>
    <n v="-0.27"/>
    <n v="5.26"/>
    <x v="3"/>
    <s v="Q4-2025"/>
  </r>
  <r>
    <d v="2025-12-08T00:00:00"/>
    <x v="5"/>
    <s v="WIPRO.NS"/>
    <n v="250.60404922775919"/>
    <n v="253.5533502162169"/>
    <n v="250.31488419317731"/>
    <n v="251.92448425292969"/>
    <n v="9684253"/>
    <n v="-0.12"/>
    <n v="1.63"/>
    <x v="3"/>
    <s v="Q4-2025"/>
  </r>
  <r>
    <d v="2025-12-08T00:00:00"/>
    <x v="6"/>
    <s v="HCLTECH.NS"/>
    <n v="1622.9384947355279"/>
    <n v="1634.8959973839189"/>
    <n v="1617.0562100086329"/>
    <n v="1628.338623046875"/>
    <n v="2702407"/>
    <n v="-0.36"/>
    <n v="6.56"/>
    <x v="3"/>
    <s v="Q4-2025"/>
  </r>
  <r>
    <d v="2025-12-08T00:00:00"/>
    <x v="7"/>
    <s v="BAJFINANCE.NS"/>
    <n v="1041.597096857867"/>
    <n v="1043.3861480349451"/>
    <n v="1016.749837867937"/>
    <n v="1020.129089355469"/>
    <n v="5189635"/>
    <n v="-2.39"/>
    <n v="23.26"/>
    <x v="3"/>
    <s v="Q4-2025"/>
  </r>
  <r>
    <d v="2025-12-08T00:00:00"/>
    <x v="8"/>
    <s v="MARUTI.NS"/>
    <n v="16038.920543395159"/>
    <n v="16094.363725520479"/>
    <n v="15933.974520086531"/>
    <n v="16026.0498046875"/>
    <n v="220513"/>
    <n v="-0.65"/>
    <n v="68.31"/>
    <x v="3"/>
    <s v="Q4-2025"/>
  </r>
  <r>
    <d v="2025-12-08T00:00:00"/>
    <x v="9"/>
    <s v="TMPV.NS"/>
    <n v="351.03805070507639"/>
    <n v="353.26953986130349"/>
    <n v="342.95507688153589"/>
    <n v="345.43450927734381"/>
    <n v="7186158"/>
    <n v="-2.2999999999999998"/>
    <n v="7.84"/>
    <x v="3"/>
    <s v="Q4-2025"/>
  </r>
  <r>
    <d v="2025-12-08T00:00:00"/>
    <x v="10"/>
    <s v="SUNPHARMA.NS"/>
    <n v="1788.960360038591"/>
    <n v="1789.6539759841839"/>
    <n v="1769.5376619764729"/>
    <n v="1779.942626953125"/>
    <n v="2410074"/>
    <n v="-1.0900000000000001"/>
    <n v="9.7100000000000009"/>
    <x v="3"/>
    <s v="Q4-2025"/>
  </r>
  <r>
    <d v="2025-12-08T00:00:00"/>
    <x v="11"/>
    <s v="ASIANPAINT.NS"/>
    <n v="2944.4538217557529"/>
    <n v="2948.9151154250799"/>
    <n v="2889.728667820144"/>
    <n v="2903.112548828125"/>
    <n v="983544"/>
    <n v="-1.86"/>
    <n v="45.8"/>
    <x v="3"/>
    <s v="Q4-2025"/>
  </r>
  <r>
    <d v="2025-12-08T00:00:00"/>
    <x v="12"/>
    <s v="HINDUNILVR.NS"/>
    <n v="2326.4365509724239"/>
    <n v="2331.3862051452252"/>
    <n v="2278.8207811571551"/>
    <n v="2290.699951171875"/>
    <n v="1898154"/>
    <n v="-2.0499999999999998"/>
    <n v="40.69"/>
    <x v="3"/>
    <s v="Q4-2025"/>
  </r>
  <r>
    <d v="2025-12-08T00:00:00"/>
    <x v="13"/>
    <s v="LT.NS"/>
    <n v="4007.8537848272408"/>
    <n v="4008.7449825080839"/>
    <n v="3938.4317582128701"/>
    <n v="3958.040283203125"/>
    <n v="1127841"/>
    <n v="-1.73"/>
    <n v="50.7"/>
    <x v="3"/>
    <s v="Q4-2025"/>
  </r>
  <r>
    <d v="2025-12-08T00:00:00"/>
    <x v="14"/>
    <s v="AXISBANK.NS"/>
    <n v="1283.010572718465"/>
    <n v="1287.8069227153881"/>
    <n v="1264.1251123229199"/>
    <n v="1272.818481445312"/>
    <n v="2969478"/>
    <n v="-1.47"/>
    <n v="14.99"/>
    <x v="3"/>
    <s v="Q4-2025"/>
  </r>
  <r>
    <d v="2025-12-09T00:00:00"/>
    <x v="0"/>
    <s v="RELIANCE.NS"/>
    <n v="1533.211064854301"/>
    <n v="1535.400891103689"/>
    <n v="1513.103959209948"/>
    <n v="1522.361206054688"/>
    <n v="11503971"/>
    <n v="-1.31"/>
    <n v="13.04"/>
    <x v="3"/>
    <s v="Q4-2025"/>
  </r>
  <r>
    <d v="2025-12-09T00:00:00"/>
    <x v="1"/>
    <s v="TCS.NS"/>
    <n v="3112.8248484517808"/>
    <n v="3116.3905759892018"/>
    <n v="3065.795125666069"/>
    <n v="3091.912109375"/>
    <n v="2734893"/>
    <n v="-1.51"/>
    <n v="24.48"/>
    <x v="3"/>
    <s v="Q4-2025"/>
  </r>
  <r>
    <d v="2025-12-09T00:00:00"/>
    <x v="2"/>
    <s v="INFY.NS"/>
    <n v="1567.284823579573"/>
    <n v="1572.864163173753"/>
    <n v="1548.883099378693"/>
    <n v="1565.131469726562"/>
    <n v="6957599"/>
    <n v="-1.17"/>
    <n v="7.73"/>
    <x v="3"/>
    <s v="Q4-2025"/>
  </r>
  <r>
    <d v="2025-12-09T00:00:00"/>
    <x v="3"/>
    <s v="HDFCBANK.NS"/>
    <n v="978.71267381190376"/>
    <n v="986.48410218847755"/>
    <n v="977.82729309106003"/>
    <n v="980.8768310546875"/>
    <n v="15294322"/>
    <n v="-0.09"/>
    <n v="5.61"/>
    <x v="3"/>
    <s v="Q4-2025"/>
  </r>
  <r>
    <d v="2025-12-09T00:00:00"/>
    <x v="4"/>
    <s v="ICICIBANK.NS"/>
    <n v="1368.364027589085"/>
    <n v="1372.7272676950299"/>
    <n v="1361.9183677427461"/>
    <n v="1363.703247070312"/>
    <n v="10492030"/>
    <n v="-0.47"/>
    <n v="9.02"/>
    <x v="3"/>
    <s v="Q4-2025"/>
  </r>
  <r>
    <d v="2025-12-09T00:00:00"/>
    <x v="5"/>
    <s v="WIPRO.NS"/>
    <n v="251.92448366960389"/>
    <n v="252.3485688551342"/>
    <n v="247.7511065969066"/>
    <n v="248.09809875488281"/>
    <n v="8560580"/>
    <n v="-1.66"/>
    <n v="4.25"/>
    <x v="3"/>
    <s v="Q4-2025"/>
  </r>
  <r>
    <d v="2025-12-09T00:00:00"/>
    <x v="6"/>
    <s v="HCLTECH.NS"/>
    <n v="1626.795767438671"/>
    <n v="1626.795767438671"/>
    <n v="1597.287817962128"/>
    <n v="1598.444946289062"/>
    <n v="2817704"/>
    <n v="-1.81"/>
    <n v="28.35"/>
    <x v="3"/>
    <s v="Q4-2025"/>
  </r>
  <r>
    <d v="2025-12-09T00:00:00"/>
    <x v="7"/>
    <s v="BAJFINANCE.NS"/>
    <n v="1018.737620150018"/>
    <n v="1019.73151051114"/>
    <n v="1007.50667120179"/>
    <n v="1010.488342285156"/>
    <n v="5968501"/>
    <n v="-1.1000000000000001"/>
    <n v="9.24"/>
    <x v="3"/>
    <s v="Q4-2025"/>
  </r>
  <r>
    <d v="2025-12-09T00:00:00"/>
    <x v="8"/>
    <s v="MARUTI.NS"/>
    <n v="15891.40172178576"/>
    <n v="16064.66166205817"/>
    <n v="15826.05797288302"/>
    <n v="15860.7099609375"/>
    <n v="276388"/>
    <n v="-0.41"/>
    <n v="203.95"/>
    <x v="3"/>
    <s v="Q4-2025"/>
  </r>
  <r>
    <d v="2025-12-09T00:00:00"/>
    <x v="9"/>
    <s v="TMPV.NS"/>
    <n v="345.63286071076652"/>
    <n v="345.78162059464319"/>
    <n v="338.88881699862281"/>
    <n v="341.8641357421875"/>
    <n v="9143402"/>
    <n v="-1.95"/>
    <n v="3.92"/>
    <x v="3"/>
    <s v="Q4-2025"/>
  </r>
  <r>
    <d v="2025-12-09T00:00:00"/>
    <x v="10"/>
    <s v="SUNPHARMA.NS"/>
    <n v="1779.7443949381509"/>
    <n v="1784.897281325733"/>
    <n v="1755.9616190592451"/>
    <n v="1759.925415039062"/>
    <n v="2401728"/>
    <n v="-1.34"/>
    <n v="24.97"/>
    <x v="3"/>
    <s v="Q4-2025"/>
  </r>
  <r>
    <d v="2025-12-09T00:00:00"/>
    <x v="11"/>
    <s v="ASIANPAINT.NS"/>
    <n v="2884.9701320664572"/>
    <n v="2888.4400274143031"/>
    <n v="2764.5151935626509"/>
    <n v="2771.95068359375"/>
    <n v="1839391"/>
    <n v="-4.18"/>
    <n v="116.49"/>
    <x v="3"/>
    <s v="Q4-2025"/>
  </r>
  <r>
    <d v="2025-12-09T00:00:00"/>
    <x v="12"/>
    <s v="HINDUNILVR.NS"/>
    <n v="2294.6598401850069"/>
    <n v="2306.9348867468789"/>
    <n v="2274.960311827886"/>
    <n v="2283.275634765625"/>
    <n v="1471488"/>
    <n v="-0.86"/>
    <n v="23.66"/>
    <x v="3"/>
    <s v="Q4-2025"/>
  </r>
  <r>
    <d v="2025-12-09T00:00:00"/>
    <x v="13"/>
    <s v="LT.NS"/>
    <n v="3951.4053100814958"/>
    <n v="3981.0159950168372"/>
    <n v="3910.9010265469319"/>
    <n v="3958.832763671875"/>
    <n v="1788464"/>
    <n v="-1.03"/>
    <n v="22.18"/>
    <x v="3"/>
    <s v="Q4-2025"/>
  </r>
  <r>
    <d v="2025-12-09T00:00:00"/>
    <x v="14"/>
    <s v="AXISBANK.NS"/>
    <n v="1271.019729198895"/>
    <n v="1280.412509454575"/>
    <n v="1262.2264621560801"/>
    <n v="1274.916748046875"/>
    <n v="4239279"/>
    <n v="-0.69"/>
    <n v="5.5"/>
    <x v="3"/>
    <s v="Q4-2025"/>
  </r>
  <r>
    <d v="2025-12-10T00:00:00"/>
    <x v="0"/>
    <s v="RELIANCE.NS"/>
    <n v="1526.9401045329789"/>
    <n v="1540.377973771047"/>
    <n v="1524.3520947592019"/>
    <n v="1529.826782226562"/>
    <n v="7991629"/>
    <n v="-0.17"/>
    <n v="10.55"/>
    <x v="3"/>
    <s v="Q4-2025"/>
  </r>
  <r>
    <d v="2025-12-10T00:00:00"/>
    <x v="1"/>
    <s v="TCS.NS"/>
    <n v="3108.006208086174"/>
    <n v="3108.006208086174"/>
    <n v="3062.8077002898922"/>
    <n v="3073.5048828125"/>
    <n v="1386849"/>
    <n v="-1.45"/>
    <n v="34.5"/>
    <x v="3"/>
    <s v="Q4-2025"/>
  </r>
  <r>
    <d v="2025-12-10T00:00:00"/>
    <x v="2"/>
    <s v="INFY.NS"/>
    <n v="1573.9408513587559"/>
    <n v="1573.9408513587559"/>
    <n v="1549.274661929863"/>
    <n v="1551.232299804688"/>
    <n v="5116140"/>
    <n v="-1.57"/>
    <n v="22.71"/>
    <x v="3"/>
    <s v="Q4-2025"/>
  </r>
  <r>
    <d v="2025-12-10T00:00:00"/>
    <x v="3"/>
    <s v="HDFCBANK.NS"/>
    <n v="981.27034816123421"/>
    <n v="982.25407783357628"/>
    <n v="969.2688341502419"/>
    <n v="973.69561767578125"/>
    <n v="15322830"/>
    <n v="-1.22"/>
    <n v="8.56"/>
    <x v="3"/>
    <s v="Q4-2025"/>
  </r>
  <r>
    <d v="2025-12-10T00:00:00"/>
    <x v="4"/>
    <s v="ICICIBANK.NS"/>
    <n v="1366.3806948465069"/>
    <n v="1367.86815475358"/>
    <n v="1346.5478960855439"/>
    <n v="1352.2001953125"/>
    <n v="8725381"/>
    <n v="-1.45"/>
    <n v="15.67"/>
    <x v="3"/>
    <s v="Q4-2025"/>
  </r>
  <r>
    <d v="2025-12-10T00:00:00"/>
    <x v="5"/>
    <s v="WIPRO.NS"/>
    <n v="248.67640501776219"/>
    <n v="250.95101705182341"/>
    <n v="247.94388887830809"/>
    <n v="248.6474914550781"/>
    <n v="7944200"/>
    <n v="-0.28999999999999998"/>
    <n v="2.2999999999999998"/>
    <x v="3"/>
    <s v="Q4-2025"/>
  </r>
  <r>
    <d v="2025-12-10T00:00:00"/>
    <x v="6"/>
    <s v="HCLTECH.NS"/>
    <n v="1603.941568474416"/>
    <n v="1611.3667301393209"/>
    <n v="1597.8663505929719"/>
    <n v="1606.545166015625"/>
    <n v="1482249"/>
    <n v="-0.38"/>
    <n v="4.82"/>
    <x v="3"/>
    <s v="Q4-2025"/>
  </r>
  <r>
    <d v="2025-12-10T00:00:00"/>
    <x v="7"/>
    <s v="BAJFINANCE.NS"/>
    <n v="1009.792567339999"/>
    <n v="1015.457754308904"/>
    <n v="1001.145709404539"/>
    <n v="1004.127380371094"/>
    <n v="4990527"/>
    <n v="-0.86"/>
    <n v="11.33"/>
    <x v="3"/>
    <s v="Q4-2025"/>
  </r>
  <r>
    <d v="2025-12-10T00:00:00"/>
    <x v="8"/>
    <s v="MARUTI.NS"/>
    <n v="15930.013758685969"/>
    <n v="15964.665746352481"/>
    <n v="15766.654388258179"/>
    <n v="15859.7197265625"/>
    <n v="293374"/>
    <n v="-1.03"/>
    <n v="104.95"/>
    <x v="3"/>
    <s v="Q4-2025"/>
  </r>
  <r>
    <d v="2025-12-10T00:00:00"/>
    <x v="9"/>
    <s v="TMPV.NS"/>
    <n v="344.14521781810691"/>
    <n v="344.64110429911278"/>
    <n v="339.13677646655071"/>
    <n v="340.5748291015625"/>
    <n v="8705054"/>
    <n v="-1.46"/>
    <n v="4.07"/>
    <x v="3"/>
    <s v="Q4-2025"/>
  </r>
  <r>
    <d v="2025-12-10T00:00:00"/>
    <x v="10"/>
    <s v="SUNPHARMA.NS"/>
    <n v="1771.717779383285"/>
    <n v="1775.483313084967"/>
    <n v="1751.898798957196"/>
    <n v="1769.339477539062"/>
    <n v="2321746"/>
    <n v="-1.1200000000000001"/>
    <n v="6.14"/>
    <x v="3"/>
    <s v="Q4-2025"/>
  </r>
  <r>
    <d v="2025-12-10T00:00:00"/>
    <x v="11"/>
    <s v="ASIANPAINT.NS"/>
    <n v="2785.8301338390311"/>
    <n v="2799.709714577019"/>
    <n v="2772.6444837298068"/>
    <n v="2780.37744140625"/>
    <n v="845073"/>
    <n v="-0.47"/>
    <n v="19.329999999999998"/>
    <x v="3"/>
    <s v="Q4-2025"/>
  </r>
  <r>
    <d v="2025-12-10T00:00:00"/>
    <x v="12"/>
    <s v="HINDUNILVR.NS"/>
    <n v="2283.2756424827389"/>
    <n v="2293.570827267341"/>
    <n v="2271.8914370248808"/>
    <n v="2278.52392578125"/>
    <n v="2857290"/>
    <n v="-0.5"/>
    <n v="15.05"/>
    <x v="3"/>
    <s v="Q4-2025"/>
  </r>
  <r>
    <d v="2025-12-10T00:00:00"/>
    <x v="13"/>
    <s v="LT.NS"/>
    <n v="3961.3084244204229"/>
    <n v="3991.0182376035768"/>
    <n v="3931.5986112372698"/>
    <n v="3952.692626953125"/>
    <n v="957277"/>
    <n v="-0.75"/>
    <n v="38.33"/>
    <x v="3"/>
    <s v="Q4-2025"/>
  </r>
  <r>
    <d v="2025-12-10T00:00:00"/>
    <x v="14"/>
    <s v="AXISBANK.NS"/>
    <n v="1272.018964052078"/>
    <n v="1283.0104869150571"/>
    <n v="1267.322634892028"/>
    <n v="1277.614624023438"/>
    <n v="2928746"/>
    <n v="-0.37"/>
    <n v="5.4"/>
    <x v="3"/>
    <s v="Q4-2025"/>
  </r>
  <r>
    <d v="2025-12-11T00:00:00"/>
    <x v="0"/>
    <s v="RELIANCE.NS"/>
    <n v="1529.8267074498351"/>
    <n v="1542.8663926602951"/>
    <n v="1516.9860531705101"/>
    <n v="1537.889404296875"/>
    <n v="4706197"/>
    <n v="-0.84"/>
    <n v="4.9800000000000004"/>
    <x v="3"/>
    <s v="Q4-2025"/>
  </r>
  <r>
    <d v="2025-12-11T00:00:00"/>
    <x v="1"/>
    <s v="TCS.NS"/>
    <n v="3088.7317973000199"/>
    <n v="3092.008360943345"/>
    <n v="3038.7146744775841"/>
    <n v="3076.10693359375"/>
    <n v="1914362"/>
    <n v="-1.62"/>
    <n v="15.9"/>
    <x v="3"/>
    <s v="Q4-2025"/>
  </r>
  <r>
    <d v="2025-12-11T00:00:00"/>
    <x v="2"/>
    <s v="INFY.NS"/>
    <n v="1564.152709960938"/>
    <n v="1573.3536321517729"/>
    <n v="1547.023378030827"/>
    <n v="1564.152709960938"/>
    <n v="5159319"/>
    <n v="-1.1000000000000001"/>
    <n v="9.1999999999999993"/>
    <x v="3"/>
    <s v="Q4-2025"/>
  </r>
  <r>
    <d v="2025-12-11T00:00:00"/>
    <x v="3"/>
    <s v="HDFCBANK.NS"/>
    <n v="973.892376646044"/>
    <n v="986.38575550638689"/>
    <n v="972.41678213597424"/>
    <n v="984.0247802734375"/>
    <n v="11844809"/>
    <n v="-0.15"/>
    <n v="2.36"/>
    <x v="3"/>
    <s v="Q4-2025"/>
  </r>
  <r>
    <d v="2025-12-11T00:00:00"/>
    <x v="4"/>
    <s v="ICICIBANK.NS"/>
    <n v="1352.2993905951871"/>
    <n v="1355.1751707435089"/>
    <n v="1341.4906116667039"/>
    <n v="1348.63037109375"/>
    <n v="6734750"/>
    <n v="-0.8"/>
    <n v="6.54"/>
    <x v="3"/>
    <s v="Q4-2025"/>
  </r>
  <r>
    <d v="2025-12-11T00:00:00"/>
    <x v="5"/>
    <s v="WIPRO.NS"/>
    <n v="248.96552354276989"/>
    <n v="250.57512352453219"/>
    <n v="248.39687057331619"/>
    <n v="249.87152099609381"/>
    <n v="6473376"/>
    <n v="-0.23"/>
    <n v="0.7"/>
    <x v="3"/>
    <s v="Q4-2025"/>
  </r>
  <r>
    <d v="2025-12-11T00:00:00"/>
    <x v="6"/>
    <s v="HCLTECH.NS"/>
    <n v="1607.991762188291"/>
    <n v="1617.5384834496249"/>
    <n v="1590.151973522333"/>
    <n v="1612.716918945312"/>
    <n v="1408684"/>
    <n v="-1.1100000000000001"/>
    <n v="4.82"/>
    <x v="3"/>
    <s v="Q4-2025"/>
  </r>
  <r>
    <d v="2025-12-11T00:00:00"/>
    <x v="7"/>
    <s v="BAJFINANCE.NS"/>
    <n v="1005.717678713742"/>
    <n v="1014.265111537743"/>
    <n v="993.98972394567818"/>
    <n v="1000.251281738281"/>
    <n v="4670539"/>
    <n v="-1.17"/>
    <n v="14.01"/>
    <x v="3"/>
    <s v="Q4-2025"/>
  </r>
  <r>
    <d v="2025-12-11T00:00:00"/>
    <x v="8"/>
    <s v="MARUTI.NS"/>
    <n v="15889.42205038216"/>
    <n v="16133.96608717227"/>
    <n v="15824.07829966092"/>
    <n v="16086.443359375"/>
    <n v="268701"/>
    <n v="-0.41"/>
    <n v="47.52"/>
    <x v="3"/>
    <s v="Q4-2025"/>
  </r>
  <r>
    <d v="2025-12-11T00:00:00"/>
    <x v="9"/>
    <s v="TMPV.NS"/>
    <n v="340.57483353463118"/>
    <n v="345.33536197415839"/>
    <n v="338.5912875847888"/>
    <n v="343.798095703125"/>
    <n v="6756893"/>
    <n v="-0.57999999999999996"/>
    <n v="1.54"/>
    <x v="3"/>
    <s v="Q4-2025"/>
  </r>
  <r>
    <d v="2025-12-11T00:00:00"/>
    <x v="10"/>
    <s v="SUNPHARMA.NS"/>
    <n v="1761.9073546284519"/>
    <n v="1794.113197724866"/>
    <n v="1759.0335782821419"/>
    <n v="1790.843017578125"/>
    <n v="1280916"/>
    <n v="-0.16"/>
    <n v="3.27"/>
    <x v="3"/>
    <s v="Q4-2025"/>
  </r>
  <r>
    <d v="2025-12-11T00:00:00"/>
    <x v="11"/>
    <s v="ASIANPAINT.NS"/>
    <n v="2775.9160719797628"/>
    <n v="2787.4163925228058"/>
    <n v="2739.4325551970369"/>
    <n v="2755.4931640625"/>
    <n v="777422"/>
    <n v="-1.31"/>
    <n v="31.92"/>
    <x v="3"/>
    <s v="Q4-2025"/>
  </r>
  <r>
    <d v="2025-12-11T00:00:00"/>
    <x v="12"/>
    <s v="HINDUNILVR.NS"/>
    <n v="2273.1783599753571"/>
    <n v="2289.7101575668448"/>
    <n v="2268.9216087951609"/>
    <n v="2282.384765625"/>
    <n v="1108032"/>
    <n v="-0.19"/>
    <n v="7.33"/>
    <x v="3"/>
    <s v="Q4-2025"/>
  </r>
  <r>
    <d v="2025-12-11T00:00:00"/>
    <x v="13"/>
    <s v="LT.NS"/>
    <n v="3954.5742024814099"/>
    <n v="3976.1633820273132"/>
    <n v="3946.057534327083"/>
    <n v="3965.170654296875"/>
    <n v="841371"/>
    <n v="-0.22"/>
    <n v="10.99"/>
    <x v="3"/>
    <s v="Q4-2025"/>
  </r>
  <r>
    <d v="2025-12-11T00:00:00"/>
    <x v="14"/>
    <s v="AXISBANK.NS"/>
    <n v="1276.4155672355309"/>
    <n v="1281.0119977463939"/>
    <n v="1270.0204751448259"/>
    <n v="1271.719116210938"/>
    <n v="2017404"/>
    <n v="-0.5"/>
    <n v="9.2899999999999991"/>
    <x v="3"/>
    <s v="Q4-2025"/>
  </r>
  <r>
    <d v="2025-12-12T00:00:00"/>
    <x v="0"/>
    <s v="RELIANCE.NS"/>
    <n v="1543.662829463156"/>
    <n v="1552.6214089239099"/>
    <n v="1538.9843872841"/>
    <n v="1549.336547851562"/>
    <n v="5106655"/>
    <n v="-0.3"/>
    <n v="3.28"/>
    <x v="3"/>
    <s v="Q4-2025"/>
  </r>
  <r>
    <d v="2025-12-12T00:00:00"/>
    <x v="1"/>
    <s v="TCS.NS"/>
    <n v="3081.696263178982"/>
    <n v="3106.0784963848541"/>
    <n v="3070.1315899066831"/>
    <n v="3103.669189453125"/>
    <n v="1146554"/>
    <n v="-0.38"/>
    <n v="2.41"/>
    <x v="3"/>
    <s v="Q4-2025"/>
  </r>
  <r>
    <d v="2025-12-12T00:00:00"/>
    <x v="2"/>
    <s v="INFY.NS"/>
    <n v="1567.480680983846"/>
    <n v="1567.8722324584339"/>
    <n v="1549.078837040812"/>
    <n v="1564.348388671875"/>
    <n v="4633912"/>
    <n v="-1.17"/>
    <n v="3.52"/>
    <x v="3"/>
    <s v="Q4-2025"/>
  </r>
  <r>
    <d v="2025-12-12T00:00:00"/>
    <x v="3"/>
    <s v="HDFCBANK.NS"/>
    <n v="986.6808557305643"/>
    <n v="988.35320817242473"/>
    <n v="981.95896533867733"/>
    <n v="985.20526123046875"/>
    <n v="11988618"/>
    <n v="-0.48"/>
    <n v="3.15"/>
    <x v="3"/>
    <s v="Q4-2025"/>
  </r>
  <r>
    <d v="2025-12-12T00:00:00"/>
    <x v="4"/>
    <s v="ICICIBANK.NS"/>
    <n v="1356.5634801370329"/>
    <n v="1359.2408596384359"/>
    <n v="1351.9028206939099"/>
    <n v="1354.580200195312"/>
    <n v="3890885"/>
    <n v="-0.34"/>
    <n v="4.66"/>
    <x v="3"/>
    <s v="Q4-2025"/>
  </r>
  <r>
    <d v="2025-12-12T00:00:00"/>
    <x v="5"/>
    <s v="WIPRO.NS"/>
    <n v="250.11248602204779"/>
    <n v="251.38474156512169"/>
    <n v="248.0498872403742"/>
    <n v="251.1726989746094"/>
    <n v="4008271"/>
    <n v="-0.82"/>
    <n v="0.21"/>
    <x v="3"/>
    <s v="Q4-2025"/>
  </r>
  <r>
    <d v="2025-12-12T00:00:00"/>
    <x v="6"/>
    <s v="HCLTECH.NS"/>
    <n v="1617.5383436416289"/>
    <n v="1618.0205000503861"/>
    <n v="1600.759277074083"/>
    <n v="1613.488159179688"/>
    <n v="1284337"/>
    <n v="-1.04"/>
    <n v="4.53"/>
    <x v="3"/>
    <s v="Q4-2025"/>
  </r>
  <r>
    <d v="2025-12-12T00:00:00"/>
    <x v="7"/>
    <s v="BAJFINANCE.NS"/>
    <n v="993.89036458681755"/>
    <n v="1014.563272037773"/>
    <n v="993.89036458681755"/>
    <n v="1011.084655761719"/>
    <n v="4381711"/>
    <n v="0"/>
    <n v="3.48"/>
    <x v="3"/>
    <s v="Q4-2025"/>
  </r>
  <r>
    <d v="2025-12-12T00:00:00"/>
    <x v="8"/>
    <s v="MARUTI.NS"/>
    <n v="16086.44318181818"/>
    <n v="16371.57954545455"/>
    <n v="16085.453125"/>
    <n v="16357.71875"/>
    <n v="404711"/>
    <n v="-0.01"/>
    <n v="13.86"/>
    <x v="3"/>
    <s v="Q4-2025"/>
  </r>
  <r>
    <d v="2025-12-12T00:00:00"/>
    <x v="9"/>
    <s v="TMPV.NS"/>
    <n v="345.13698523052909"/>
    <n v="346.47588476101822"/>
    <n v="341.91372315581867"/>
    <n v="344.59152221679688"/>
    <n v="7241621"/>
    <n v="-0.93"/>
    <n v="1.88"/>
    <x v="3"/>
    <s v="Q4-2025"/>
  </r>
  <r>
    <d v="2025-12-12T00:00:00"/>
    <x v="10"/>
    <s v="SUNPHARMA.NS"/>
    <n v="1791.6358508154451"/>
    <n v="1795.4015055252439"/>
    <n v="1774.789717262423"/>
    <n v="1777.26708984375"/>
    <n v="1442309"/>
    <n v="-0.94"/>
    <n v="18.13"/>
    <x v="3"/>
    <s v="Q4-2025"/>
  </r>
  <r>
    <d v="2025-12-12T00:00:00"/>
    <x v="11"/>
    <s v="ASIANPAINT.NS"/>
    <n v="2770.959233867517"/>
    <n v="2772.9420311726112"/>
    <n v="2722.380699892738"/>
    <n v="2741.01904296875"/>
    <n v="977696"/>
    <n v="-1.75"/>
    <n v="31.92"/>
    <x v="3"/>
    <s v="Q4-2025"/>
  </r>
  <r>
    <d v="2025-12-12T00:00:00"/>
    <x v="12"/>
    <s v="HINDUNILVR.NS"/>
    <n v="2283.6714979780422"/>
    <n v="2285.7504495422932"/>
    <n v="2222.0978442956589"/>
    <n v="2237.837890625"/>
    <n v="3203114"/>
    <n v="-2.7"/>
    <n v="47.91"/>
    <x v="3"/>
    <s v="Q4-2025"/>
  </r>
  <r>
    <d v="2025-12-12T00:00:00"/>
    <x v="13"/>
    <s v="LT.NS"/>
    <n v="4021.71851229608"/>
    <n v="4074.205850673743"/>
    <n v="4009.4385524816189"/>
    <n v="4034.69189453125"/>
    <n v="2207898"/>
    <n v="-0.31"/>
    <n v="39.51"/>
    <x v="3"/>
    <s v="Q4-2025"/>
  </r>
  <r>
    <d v="2025-12-12T00:00:00"/>
    <x v="14"/>
    <s v="AXISBANK.NS"/>
    <n v="1277.0151531013839"/>
    <n v="1290.0051350969379"/>
    <n v="1276.915254558206"/>
    <n v="1285.10888671875"/>
    <n v="2281078"/>
    <n v="-0.01"/>
    <n v="4.9000000000000004"/>
    <x v="3"/>
    <s v="Q4-2025"/>
  </r>
  <r>
    <d v="2025-12-15T00:00:00"/>
    <x v="0"/>
    <s v="RELIANCE.NS"/>
    <n v="1544.0608533300961"/>
    <n v="1551.4268205626299"/>
    <n v="1539.382532774727"/>
    <n v="1549.037841796875"/>
    <n v="5774543"/>
    <n v="-0.3"/>
    <n v="2.39"/>
    <x v="3"/>
    <s v="Q4-2025"/>
  </r>
  <r>
    <d v="2025-12-15T00:00:00"/>
    <x v="1"/>
    <s v="TCS.NS"/>
    <n v="3094.6103697191652"/>
    <n v="3120.7271163657538"/>
    <n v="3081.3109480545099"/>
    <n v="3113.017333984375"/>
    <n v="1562190"/>
    <n v="-0.43"/>
    <n v="7.71"/>
    <x v="3"/>
    <s v="Q4-2025"/>
  </r>
  <r>
    <d v="2025-12-15T00:00:00"/>
    <x v="2"/>
    <s v="INFY.NS"/>
    <n v="1551.4280562362139"/>
    <n v="1576.681633273575"/>
    <n v="1551.4280562362139"/>
    <n v="1572.766357421875"/>
    <n v="4190558"/>
    <n v="0"/>
    <n v="3.92"/>
    <x v="3"/>
    <s v="Q4-2025"/>
  </r>
  <r>
    <d v="2025-12-15T00:00:00"/>
    <x v="3"/>
    <s v="HDFCBANK.NS"/>
    <n v="975.85979891547254"/>
    <n v="985.50033733988835"/>
    <n v="975.85979891547254"/>
    <n v="979.89306640625"/>
    <n v="9790060"/>
    <n v="0"/>
    <n v="5.61"/>
    <x v="3"/>
    <s v="Q4-2025"/>
  </r>
  <r>
    <d v="2025-12-15T00:00:00"/>
    <x v="4"/>
    <s v="ICICIBANK.NS"/>
    <n v="1344.7629655399601"/>
    <n v="1358.546785603857"/>
    <n v="1344.7629655399601"/>
    <n v="1353.786865234375"/>
    <n v="5342530"/>
    <n v="0"/>
    <n v="4.76"/>
    <x v="3"/>
    <s v="Q4-2025"/>
  </r>
  <r>
    <d v="2025-12-15T00:00:00"/>
    <x v="5"/>
    <s v="WIPRO.NS"/>
    <n v="250.58474556730701"/>
    <n v="253.00395469887241"/>
    <n v="249.18721756093521"/>
    <n v="252.27143859863281"/>
    <n v="4023911"/>
    <n v="-0.56000000000000005"/>
    <n v="0.73"/>
    <x v="3"/>
    <s v="Q4-2025"/>
  </r>
  <r>
    <d v="2025-12-15T00:00:00"/>
    <x v="6"/>
    <s v="HCLTECH.NS"/>
    <n v="1613.48820621292"/>
    <n v="1627.760083413747"/>
    <n v="1600.759323736268"/>
    <n v="1623.90283203125"/>
    <n v="1689723"/>
    <n v="-0.79"/>
    <n v="3.86"/>
    <x v="3"/>
    <s v="Q4-2025"/>
  </r>
  <r>
    <d v="2025-12-15T00:00:00"/>
    <x v="7"/>
    <s v="BAJFINANCE.NS"/>
    <n v="1008.798691990159"/>
    <n v="1010.289527495563"/>
    <n v="1001.841459631606"/>
    <n v="1006.512756347656"/>
    <n v="3958977"/>
    <n v="-0.69"/>
    <n v="3.78"/>
    <x v="3"/>
    <s v="Q4-2025"/>
  </r>
  <r>
    <d v="2025-12-15T00:00:00"/>
    <x v="8"/>
    <s v="MARUTI.NS"/>
    <n v="16335.937053809401"/>
    <n v="16335.937053809401"/>
    <n v="16197.3291030498"/>
    <n v="16251.7822265625"/>
    <n v="225221"/>
    <n v="-0.85"/>
    <n v="84.15"/>
    <x v="3"/>
    <s v="Q4-2025"/>
  </r>
  <r>
    <d v="2025-12-15T00:00:00"/>
    <x v="9"/>
    <s v="TMPV.NS"/>
    <n v="344.59152587696298"/>
    <n v="345.8808186139384"/>
    <n v="340.22770065472002"/>
    <n v="344.29397583007813"/>
    <n v="8169383"/>
    <n v="-1.27"/>
    <n v="1.59"/>
    <x v="3"/>
    <s v="Q4-2025"/>
  </r>
  <r>
    <d v="2025-12-15T00:00:00"/>
    <x v="10"/>
    <s v="SUNPHARMA.NS"/>
    <n v="1762.8983194563341"/>
    <n v="1788.266590360535"/>
    <n v="1761.5109666251101"/>
    <n v="1780.83447265625"/>
    <n v="1396948"/>
    <n v="-0.08"/>
    <n v="7.43"/>
    <x v="3"/>
    <s v="Q4-2025"/>
  </r>
  <r>
    <d v="2025-12-15T00:00:00"/>
    <x v="11"/>
    <s v="ASIANPAINT.NS"/>
    <n v="2749.2475920214042"/>
    <n v="2777.8989151364121"/>
    <n v="2734.971306762036"/>
    <n v="2756.286376953125"/>
    <n v="1029674"/>
    <n v="-0.52"/>
    <n v="21.61"/>
    <x v="3"/>
    <s v="Q4-2025"/>
  </r>
  <r>
    <d v="2025-12-15T00:00:00"/>
    <x v="12"/>
    <s v="HINDUNILVR.NS"/>
    <n v="2237.8378645623202"/>
    <n v="2275.85111403065"/>
    <n v="2229.3243622431601"/>
    <n v="2270.406494140625"/>
    <n v="1274115"/>
    <n v="-0.38"/>
    <n v="5.44"/>
    <x v="3"/>
    <s v="Q4-2025"/>
  </r>
  <r>
    <d v="2025-12-15T00:00:00"/>
    <x v="13"/>
    <s v="LT.NS"/>
    <n v="4033.404441001805"/>
    <n v="4056.379982389994"/>
    <n v="4024.491496704562"/>
    <n v="4052.7158203125"/>
    <n v="1064975"/>
    <n v="-0.22"/>
    <n v="3.66"/>
    <x v="3"/>
    <s v="Q4-2025"/>
  </r>
  <r>
    <d v="2025-12-15T00:00:00"/>
    <x v="14"/>
    <s v="AXISBANK.NS"/>
    <n v="1284.0097336058759"/>
    <n v="1289.4055965703631"/>
    <n v="1279.013586782507"/>
    <n v="1283.809936523438"/>
    <n v="1634472"/>
    <n v="-0.39"/>
    <n v="5.6"/>
    <x v="3"/>
    <s v="Q4-2025"/>
  </r>
  <r>
    <d v="2025-12-16T00:00:00"/>
    <x v="0"/>
    <s v="RELIANCE.NS"/>
    <n v="1537.8894294536831"/>
    <n v="1544.5585453663571"/>
    <n v="1531.718012385491"/>
    <n v="1535.201904296875"/>
    <n v="11731856"/>
    <n v="-0.4"/>
    <n v="9.36"/>
    <x v="3"/>
    <s v="Q4-2025"/>
  </r>
  <r>
    <d v="2025-12-16T00:00:00"/>
    <x v="1"/>
    <s v="TCS.NS"/>
    <n v="3103.1875009997648"/>
    <n v="3103.1875009997648"/>
    <n v="3075.3360054304362"/>
    <n v="3088.828125"/>
    <n v="1734623"/>
    <n v="-0.9"/>
    <n v="14.36"/>
    <x v="3"/>
    <s v="Q4-2025"/>
  </r>
  <r>
    <d v="2025-12-16T00:00:00"/>
    <x v="2"/>
    <s v="INFY.NS"/>
    <n v="1566.1103574156471"/>
    <n v="1569.0468143358009"/>
    <n v="1552.015340301959"/>
    <n v="1559.160766601562"/>
    <n v="5499258"/>
    <n v="-0.9"/>
    <n v="9.89"/>
    <x v="3"/>
    <s v="Q4-2025"/>
  </r>
  <r>
    <d v="2025-12-16T00:00:00"/>
    <x v="3"/>
    <s v="HDFCBANK.NS"/>
    <n v="973.99069896463982"/>
    <n v="982.45080994963757"/>
    <n v="973.99069896463982"/>
    <n v="978.12237548828125"/>
    <n v="20049088"/>
    <n v="0"/>
    <n v="4.33"/>
    <x v="3"/>
    <s v="Q4-2025"/>
  </r>
  <r>
    <d v="2025-12-16T00:00:00"/>
    <x v="4"/>
    <s v="ICICIBANK.NS"/>
    <n v="1352.5969202535921"/>
    <n v="1357.2575796967151"/>
    <n v="1344.167980501278"/>
    <n v="1354.580200195312"/>
    <n v="12359741"/>
    <n v="-0.62"/>
    <n v="2.68"/>
    <x v="3"/>
    <s v="Q4-2025"/>
  </r>
  <r>
    <d v="2025-12-16T00:00:00"/>
    <x v="5"/>
    <s v="WIPRO.NS"/>
    <n v="252.27144831941541"/>
    <n v="252.28109597803001"/>
    <n v="249.43780156451169"/>
    <n v="249.8426208496094"/>
    <n v="2982041"/>
    <n v="-1.1200000000000001"/>
    <n v="2.44"/>
    <x v="3"/>
    <s v="Q4-2025"/>
  </r>
  <r>
    <d v="2025-12-16T00:00:00"/>
    <x v="6"/>
    <s v="HCLTECH.NS"/>
    <n v="1621.009906859395"/>
    <n v="1621.9742197129699"/>
    <n v="1586.6803928149229"/>
    <n v="1592.755493164062"/>
    <n v="1929309"/>
    <n v="-2.12"/>
    <n v="29.22"/>
    <x v="3"/>
    <s v="Q4-2025"/>
  </r>
  <r>
    <d v="2025-12-16T00:00:00"/>
    <x v="7"/>
    <s v="BAJFINANCE.NS"/>
    <n v="1001.344549011706"/>
    <n v="1004.42558489761"/>
    <n v="990.41175492820366"/>
    <n v="992.3001708984375"/>
    <n v="3861617"/>
    <n v="-1.0900000000000001"/>
    <n v="12.13"/>
    <x v="3"/>
    <s v="Q4-2025"/>
  </r>
  <r>
    <d v="2025-12-16T00:00:00"/>
    <x v="8"/>
    <s v="MARUTI.NS"/>
    <n v="16236.93128401309"/>
    <n v="16287.424180079221"/>
    <n v="16157.726741164241"/>
    <n v="16191.388671875"/>
    <n v="156134"/>
    <n v="-0.49"/>
    <n v="96.04"/>
    <x v="3"/>
    <s v="Q4-2025"/>
  </r>
  <r>
    <d v="2025-12-16T00:00:00"/>
    <x v="9"/>
    <s v="TMPV.NS"/>
    <n v="344.29396701455022"/>
    <n v="346.47587956980459"/>
    <n v="341.07070498813363"/>
    <n v="342.60797119140619"/>
    <n v="8391226"/>
    <n v="-0.94"/>
    <n v="3.87"/>
    <x v="3"/>
    <s v="Q4-2025"/>
  </r>
  <r>
    <d v="2025-12-16T00:00:00"/>
    <x v="10"/>
    <s v="SUNPHARMA.NS"/>
    <n v="1773.798820756818"/>
    <n v="1775.6816481674739"/>
    <n v="1762.2047651190619"/>
    <n v="1765.177612304688"/>
    <n v="1533979"/>
    <n v="-0.65"/>
    <n v="10.5"/>
    <x v="3"/>
    <s v="Q4-2025"/>
  </r>
  <r>
    <d v="2025-12-16T00:00:00"/>
    <x v="11"/>
    <s v="ASIANPAINT.NS"/>
    <n v="2768.976321009111"/>
    <n v="2783.847300176722"/>
    <n v="2752.22178129654"/>
    <n v="2766.894287109375"/>
    <n v="916244"/>
    <n v="-0.61"/>
    <n v="16.95"/>
    <x v="3"/>
    <s v="Q4-2025"/>
  </r>
  <r>
    <d v="2025-12-16T00:00:00"/>
    <x v="12"/>
    <s v="HINDUNILVR.NS"/>
    <n v="2270.3073037063291"/>
    <n v="2279.5137089031459"/>
    <n v="2253.0826036728008"/>
    <n v="2258.13134765625"/>
    <n v="1256042"/>
    <n v="-0.76"/>
    <n v="21.38"/>
    <x v="3"/>
    <s v="Q4-2025"/>
  </r>
  <r>
    <d v="2025-12-16T00:00:00"/>
    <x v="13"/>
    <s v="LT.NS"/>
    <n v="4044.198868331001"/>
    <n v="4064.1042986548382"/>
    <n v="4012.013236479414"/>
    <n v="4024.491455078125"/>
    <n v="2199214"/>
    <n v="-0.8"/>
    <n v="39.61"/>
    <x v="3"/>
    <s v="Q4-2025"/>
  </r>
  <r>
    <d v="2025-12-16T00:00:00"/>
    <x v="14"/>
    <s v="AXISBANK.NS"/>
    <n v="1276.1158469576919"/>
    <n v="1276.615461659499"/>
    <n v="1215.962285650746"/>
    <n v="1218.66015625"/>
    <n v="11542048"/>
    <n v="-4.71"/>
    <n v="57.96"/>
    <x v="3"/>
    <s v="Q4-2025"/>
  </r>
  <r>
    <d v="2025-12-17T00:00:00"/>
    <x v="0"/>
    <s v="RELIANCE.NS"/>
    <n v="1542.8664391614579"/>
    <n v="1542.8664391614579"/>
    <n v="1532.215732346134"/>
    <n v="1537.292236328125"/>
    <n v="7116649"/>
    <n v="-0.69"/>
    <n v="5.57"/>
    <x v="3"/>
    <s v="Q4-2025"/>
  </r>
  <r>
    <d v="2025-12-17T00:00:00"/>
    <x v="1"/>
    <s v="TCS.NS"/>
    <n v="3084.394687896739"/>
    <n v="3119.4741021848258"/>
    <n v="3084.394687896739"/>
    <n v="3101.067138671875"/>
    <n v="1376350"/>
    <n v="0"/>
    <n v="18.41"/>
    <x v="3"/>
    <s v="Q4-2025"/>
  </r>
  <r>
    <d v="2025-12-17T00:00:00"/>
    <x v="2"/>
    <s v="INFY.NS"/>
    <n v="1553.5814245843819"/>
    <n v="1572.864230023871"/>
    <n v="1552.406889611862"/>
    <n v="1568.067993164062"/>
    <n v="4817628"/>
    <n v="-0.08"/>
    <n v="4.8"/>
    <x v="3"/>
    <s v="Q4-2025"/>
  </r>
  <r>
    <d v="2025-12-17T00:00:00"/>
    <x v="3"/>
    <s v="HDFCBANK.NS"/>
    <n v="979.79474621284294"/>
    <n v="979.79474621284294"/>
    <n v="964.84204329836473"/>
    <n v="967.989990234375"/>
    <n v="19080922"/>
    <n v="-1.53"/>
    <n v="11.8"/>
    <x v="3"/>
    <s v="Q4-2025"/>
  </r>
  <r>
    <d v="2025-12-17T00:00:00"/>
    <x v="4"/>
    <s v="ICICIBANK.NS"/>
    <n v="1353.588511039176"/>
    <n v="1353.588511039176"/>
    <n v="1331.8715722565"/>
    <n v="1341.093872070312"/>
    <n v="9440391"/>
    <n v="-1.6"/>
    <n v="12.49"/>
    <x v="3"/>
    <s v="Q4-2025"/>
  </r>
  <r>
    <d v="2025-12-17T00:00:00"/>
    <x v="5"/>
    <s v="WIPRO.NS"/>
    <n v="249.63057745696059"/>
    <n v="252.64735323433351"/>
    <n v="248.96553611373679"/>
    <n v="251.69317626953119"/>
    <n v="4923276"/>
    <n v="-0.27"/>
    <n v="0.95"/>
    <x v="3"/>
    <s v="Q4-2025"/>
  </r>
  <r>
    <d v="2025-12-17T00:00:00"/>
    <x v="6"/>
    <s v="HCLTECH.NS"/>
    <n v="1592.080614570549"/>
    <n v="1605.098838856861"/>
    <n v="1587.5483909786831"/>
    <n v="1595.937866210938"/>
    <n v="1394918"/>
    <n v="-0.28000000000000003"/>
    <n v="9.16"/>
    <x v="3"/>
    <s v="Q4-2025"/>
  </r>
  <r>
    <d v="2025-12-17T00:00:00"/>
    <x v="7"/>
    <s v="BAJFINANCE.NS"/>
    <n v="993.89031720818991"/>
    <n v="1005.021900893372"/>
    <n v="989.21902058486125"/>
    <n v="993.49273681640625"/>
    <n v="4695550"/>
    <n v="-0.47"/>
    <n v="11.53"/>
    <x v="3"/>
    <s v="Q4-2025"/>
  </r>
  <r>
    <d v="2025-12-17T00:00:00"/>
    <x v="8"/>
    <s v="MARUTI.NS"/>
    <n v="16226.040660803719"/>
    <n v="16326.03639615921"/>
    <n v="16194.358843661381"/>
    <n v="16234.951171875"/>
    <n v="257406"/>
    <n v="-0.2"/>
    <n v="91.09"/>
    <x v="3"/>
    <s v="Q4-2025"/>
  </r>
  <r>
    <d v="2025-12-17T00:00:00"/>
    <x v="9"/>
    <s v="TMPV.NS"/>
    <n v="343.5997631859093"/>
    <n v="347.12054518042117"/>
    <n v="342.55838339046232"/>
    <n v="343.50057983398438"/>
    <n v="7045390"/>
    <n v="-0.3"/>
    <n v="3.62"/>
    <x v="3"/>
    <s v="Q4-2025"/>
  </r>
  <r>
    <d v="2025-12-17T00:00:00"/>
    <x v="10"/>
    <s v="SUNPHARMA.NS"/>
    <n v="1764.880289324816"/>
    <n v="1781.330019653223"/>
    <n v="1755.4662731829931"/>
    <n v="1776.672607421875"/>
    <n v="1910628"/>
    <n v="-0.53"/>
    <n v="4.66"/>
    <x v="3"/>
    <s v="Q4-2025"/>
  </r>
  <r>
    <d v="2025-12-17T00:00:00"/>
    <x v="11"/>
    <s v="ASIANPAINT.NS"/>
    <n v="2775.9160619679169"/>
    <n v="2782.3601528260569"/>
    <n v="2748.1569013482381"/>
    <n v="2761.739013671875"/>
    <n v="636499"/>
    <n v="-1"/>
    <n v="20.62"/>
    <x v="3"/>
    <s v="Q4-2025"/>
  </r>
  <r>
    <d v="2025-12-17T00:00:00"/>
    <x v="12"/>
    <s v="HINDUNILVR.NS"/>
    <n v="2258.2302353992141"/>
    <n v="2263.1798897121539"/>
    <n v="2245.4602239447649"/>
    <n v="2252.686767578125"/>
    <n v="808100"/>
    <n v="-0.56999999999999995"/>
    <n v="10.49"/>
    <x v="3"/>
    <s v="Q4-2025"/>
  </r>
  <r>
    <d v="2025-12-17T00:00:00"/>
    <x v="13"/>
    <s v="LT.NS"/>
    <n v="4039.5442629896529"/>
    <n v="4039.5442629896529"/>
    <n v="4000.9215058784498"/>
    <n v="4023.104736328125"/>
    <n v="1087334"/>
    <n v="-0.96"/>
    <n v="16.440000000000001"/>
    <x v="3"/>
    <s v="Q4-2025"/>
  </r>
  <r>
    <d v="2025-12-17T00:00:00"/>
    <x v="14"/>
    <s v="AXISBANK.NS"/>
    <n v="1219.6592876851389"/>
    <n v="1235.0474436599691"/>
    <n v="1219.359592073876"/>
    <n v="1223.756103515625"/>
    <n v="5147181"/>
    <n v="-0.02"/>
    <n v="11.29"/>
    <x v="3"/>
    <s v="Q4-2025"/>
  </r>
  <r>
    <d v="2025-12-18T00:00:00"/>
    <x v="0"/>
    <s v="RELIANCE.NS"/>
    <n v="1528.13450455832"/>
    <n v="1544.359535715485"/>
    <n v="1528.13450455832"/>
    <n v="1537.292236328125"/>
    <n v="6580829"/>
    <n v="0"/>
    <n v="7.07"/>
    <x v="3"/>
    <s v="Q4-2025"/>
  </r>
  <r>
    <d v="2025-12-18T00:00:00"/>
    <x v="1"/>
    <s v="TCS.NS"/>
    <n v="3110.8971285273719"/>
    <n v="3168.5277977297301"/>
    <n v="3104.1510690788919"/>
    <n v="3161.78173828125"/>
    <n v="2307422"/>
    <n v="-0.22"/>
    <n v="6.75"/>
    <x v="3"/>
    <s v="Q4-2025"/>
  </r>
  <r>
    <d v="2025-12-18T00:00:00"/>
    <x v="2"/>
    <s v="INFY.NS"/>
    <n v="1576.387976179632"/>
    <n v="1595.474946397268"/>
    <n v="1572.668416240761"/>
    <n v="1592.3427734375"/>
    <n v="6577293"/>
    <n v="-0.24"/>
    <n v="3.13"/>
    <x v="3"/>
    <s v="Q4-2025"/>
  </r>
  <r>
    <d v="2025-12-18T00:00:00"/>
    <x v="3"/>
    <s v="HDFCBANK.NS"/>
    <n v="957.46405496266595"/>
    <n v="971.33467903301801"/>
    <n v="957.46405496266595"/>
    <n v="963.75994873046875"/>
    <n v="14912404"/>
    <n v="0"/>
    <n v="7.57"/>
    <x v="3"/>
    <s v="Q4-2025"/>
  </r>
  <r>
    <d v="2025-12-18T00:00:00"/>
    <x v="4"/>
    <s v="ICICIBANK.NS"/>
    <n v="1335.0449336848069"/>
    <n v="1358.050932459528"/>
    <n v="1334.2515732926579"/>
    <n v="1345.457153320312"/>
    <n v="7314573"/>
    <n v="-0.06"/>
    <n v="12.59"/>
    <x v="3"/>
    <s v="Q4-2025"/>
  </r>
  <r>
    <d v="2025-12-18T00:00:00"/>
    <x v="5"/>
    <s v="WIPRO.NS"/>
    <n v="251.7317204507516"/>
    <n v="255.40389009327299"/>
    <n v="251.55823906927691"/>
    <n v="254.3051452636719"/>
    <n v="9008412"/>
    <n v="-7.0000000000000007E-2"/>
    <n v="1.1000000000000001"/>
    <x v="3"/>
    <s v="Q4-2025"/>
  </r>
  <r>
    <d v="2025-12-18T00:00:00"/>
    <x v="6"/>
    <s v="HCLTECH.NS"/>
    <n v="1597.8663749636389"/>
    <n v="1614.163285493087"/>
    <n v="1592.2733134092589"/>
    <n v="1602.109375"/>
    <n v="1822056"/>
    <n v="-0.35"/>
    <n v="12.05"/>
    <x v="3"/>
    <s v="Q4-2025"/>
  </r>
  <r>
    <d v="2025-12-18T00:00:00"/>
    <x v="7"/>
    <s v="BAJFINANCE.NS"/>
    <n v="995.97746700892708"/>
    <n v="1003.531069850426"/>
    <n v="988.92086999047831"/>
    <n v="994.1884765625"/>
    <n v="3103997"/>
    <n v="-0.71"/>
    <n v="9.34"/>
    <x v="3"/>
    <s v="Q4-2025"/>
  </r>
  <r>
    <d v="2025-12-18T00:00:00"/>
    <x v="8"/>
    <s v="MARUTI.NS"/>
    <n v="16276.53400152719"/>
    <n v="16322.07661491346"/>
    <n v="16059.711559536039"/>
    <n v="16166.6376953125"/>
    <n v="213981"/>
    <n v="-1.33"/>
    <n v="155.44"/>
    <x v="3"/>
    <s v="Q4-2025"/>
  </r>
  <r>
    <d v="2025-12-18T00:00:00"/>
    <x v="9"/>
    <s v="TMPV.NS"/>
    <n v="343.50057141396081"/>
    <n v="344.59152772537351"/>
    <n v="334.92174134666283"/>
    <n v="342.955078125"/>
    <n v="15417506"/>
    <n v="-2.5"/>
    <n v="1.64"/>
    <x v="3"/>
    <s v="Q4-2025"/>
  </r>
  <r>
    <d v="2025-12-18T00:00:00"/>
    <x v="10"/>
    <s v="SUNPHARMA.NS"/>
    <n v="1768.8439824804391"/>
    <n v="1768.8439824804391"/>
    <n v="1720.287481000584"/>
    <n v="1730.097900390625"/>
    <n v="3461351"/>
    <n v="-2.75"/>
    <n v="38.75"/>
    <x v="3"/>
    <s v="Q4-2025"/>
  </r>
  <r>
    <d v="2025-12-18T00:00:00"/>
    <x v="11"/>
    <s v="ASIANPAINT.NS"/>
    <n v="2756.088086314156"/>
    <n v="2769.769435294641"/>
    <n v="2731.6005894949672"/>
    <n v="2735.962646484375"/>
    <n v="417994"/>
    <n v="-0.89"/>
    <n v="33.81"/>
    <x v="3"/>
    <s v="Q4-2025"/>
  </r>
  <r>
    <d v="2025-12-18T00:00:00"/>
    <x v="12"/>
    <s v="HINDUNILVR.NS"/>
    <n v="2247.143165657415"/>
    <n v="2255.3596405467301"/>
    <n v="2232.5912296171609"/>
    <n v="2242.6884765625"/>
    <n v="1057295"/>
    <n v="-0.65"/>
    <n v="12.67"/>
    <x v="3"/>
    <s v="Q4-2025"/>
  </r>
  <r>
    <d v="2025-12-18T00:00:00"/>
    <x v="13"/>
    <s v="LT.NS"/>
    <n v="4027.66031216277"/>
    <n v="4032.4139305944109"/>
    <n v="3984.4819539290602"/>
    <n v="3992.107666015625"/>
    <n v="1004303"/>
    <n v="-1.07"/>
    <n v="40.31"/>
    <x v="3"/>
    <s v="Q4-2025"/>
  </r>
  <r>
    <d v="2025-12-18T00:00:00"/>
    <x v="14"/>
    <s v="AXISBANK.NS"/>
    <n v="1225.155073166701"/>
    <n v="1237.5455414162579"/>
    <n v="1219.259595647226"/>
    <n v="1228.852294921875"/>
    <n v="3441592"/>
    <n v="-0.48"/>
    <n v="8.69"/>
    <x v="3"/>
    <s v="Q4-2025"/>
  </r>
  <r>
    <d v="2025-12-19T00:00:00"/>
    <x v="0"/>
    <s v="RELIANCE.NS"/>
    <n v="1547.246144246333"/>
    <n v="1566.954944974083"/>
    <n v="1543.8617679066681"/>
    <n v="1557.896850585938"/>
    <n v="13937275"/>
    <n v="-0.22"/>
    <n v="9.06"/>
    <x v="3"/>
    <s v="Q4-2025"/>
  </r>
  <r>
    <d v="2025-12-19T00:00:00"/>
    <x v="1"/>
    <s v="TCS.NS"/>
    <n v="3179.3215200364921"/>
    <n v="3197.5357868591868"/>
    <n v="3159.8543665159009"/>
    <n v="3162.938232421875"/>
    <n v="3902511"/>
    <n v="-0.61"/>
    <n v="34.6"/>
    <x v="3"/>
    <s v="Q4-2025"/>
  </r>
  <r>
    <d v="2025-12-19T00:00:00"/>
    <x v="2"/>
    <s v="INFY.NS"/>
    <n v="1615.0513027562849"/>
    <n v="1619.8475396129329"/>
    <n v="1595.279207328558"/>
    <n v="1603.990600585938"/>
    <n v="13149023"/>
    <n v="-1.22"/>
    <n v="15.86"/>
    <x v="3"/>
    <s v="Q4-2025"/>
  </r>
  <r>
    <d v="2025-12-19T00:00:00"/>
    <x v="3"/>
    <s v="HDFCBANK.NS"/>
    <n v="970.94117065615478"/>
    <n v="971.92490031234138"/>
    <n v="962.77622651822492"/>
    <n v="969.465576171875"/>
    <n v="25952384"/>
    <n v="-0.84"/>
    <n v="2.46"/>
    <x v="3"/>
    <s v="Q4-2025"/>
  </r>
  <r>
    <d v="2025-12-19T00:00:00"/>
    <x v="4"/>
    <s v="ICICIBANK.NS"/>
    <n v="1342.680523298608"/>
    <n v="1349.0270433350911"/>
    <n v="1339.507323805268"/>
    <n v="1342.779663085938"/>
    <n v="14318512"/>
    <n v="-0.24"/>
    <n v="6.25"/>
    <x v="3"/>
    <s v="Q4-2025"/>
  </r>
  <r>
    <d v="2025-12-19T00:00:00"/>
    <x v="5"/>
    <s v="WIPRO.NS"/>
    <n v="257.3411791797771"/>
    <n v="257.3411791797771"/>
    <n v="253.77501624218539"/>
    <n v="254.88343811035159"/>
    <n v="12750745"/>
    <n v="-1.39"/>
    <n v="2.46"/>
    <x v="3"/>
    <s v="Q4-2025"/>
  </r>
  <r>
    <d v="2025-12-19T00:00:00"/>
    <x v="6"/>
    <s v="HCLTECH.NS"/>
    <n v="1615.2240514930979"/>
    <n v="1621.009928692476"/>
    <n v="1574.2407546641689"/>
    <n v="1583.787475585938"/>
    <n v="3487150"/>
    <n v="-2.54"/>
    <n v="37.22"/>
    <x v="3"/>
    <s v="Q4-2025"/>
  </r>
  <r>
    <d v="2025-12-19T00:00:00"/>
    <x v="7"/>
    <s v="BAJFINANCE.NS"/>
    <n v="997.07083181287794"/>
    <n v="1007.804835681771"/>
    <n v="996.3750964210808"/>
    <n v="1002.1396484375"/>
    <n v="5126009"/>
    <n v="-7.0000000000000007E-2"/>
    <n v="5.67"/>
    <x v="3"/>
    <s v="Q4-2025"/>
  </r>
  <r>
    <d v="2025-12-19T00:00:00"/>
    <x v="8"/>
    <s v="MARUTI.NS"/>
    <n v="16166.63813736559"/>
    <n v="16311.186435978811"/>
    <n v="16166.63813736559"/>
    <n v="16250.79296875"/>
    <n v="360190"/>
    <n v="0"/>
    <n v="60.39"/>
    <x v="3"/>
    <s v="Q4-2025"/>
  </r>
  <r>
    <d v="2025-12-19T00:00:00"/>
    <x v="9"/>
    <s v="TMPV.NS"/>
    <n v="344.54191037102299"/>
    <n v="351.8810240112735"/>
    <n v="344.14520725170013"/>
    <n v="349.74871826171881"/>
    <n v="74052760"/>
    <n v="-0.12"/>
    <n v="2.13"/>
    <x v="3"/>
    <s v="Q4-2025"/>
  </r>
  <r>
    <d v="2025-12-19T00:00:00"/>
    <x v="10"/>
    <s v="SUNPHARMA.NS"/>
    <n v="1731.187902299818"/>
    <n v="1744.0702392946071"/>
    <n v="1725.440349715961"/>
    <n v="1729.10693359375"/>
    <n v="2768986"/>
    <n v="-0.33"/>
    <n v="14.96"/>
    <x v="3"/>
    <s v="Q4-2025"/>
  </r>
  <r>
    <d v="2025-12-19T00:00:00"/>
    <x v="11"/>
    <s v="ASIANPAINT.NS"/>
    <n v="2742.605040818567"/>
    <n v="2788.2093772598628"/>
    <n v="2735.9627184841661"/>
    <n v="2775.81689453125"/>
    <n v="3895542"/>
    <n v="-0.24"/>
    <n v="12.39"/>
    <x v="3"/>
    <s v="Q4-2025"/>
  </r>
  <r>
    <d v="2025-12-19T00:00:00"/>
    <x v="12"/>
    <s v="HINDUNILVR.NS"/>
    <n v="2240.9065582587532"/>
    <n v="2261.7941971851551"/>
    <n v="2240.9065582587532"/>
    <n v="2257.04248046875"/>
    <n v="1237214"/>
    <n v="0"/>
    <n v="4.75"/>
    <x v="3"/>
    <s v="Q4-2025"/>
  </r>
  <r>
    <d v="2025-12-19T00:00:00"/>
    <x v="13"/>
    <s v="LT.NS"/>
    <n v="4001.0205839248588"/>
    <n v="4051.9232997779568"/>
    <n v="4001.0205839248588"/>
    <n v="4034.097412109375"/>
    <n v="1327935"/>
    <n v="0"/>
    <n v="17.829999999999998"/>
    <x v="3"/>
    <s v="Q4-2025"/>
  </r>
  <r>
    <d v="2025-12-19T00:00:00"/>
    <x v="14"/>
    <s v="AXISBANK.NS"/>
    <n v="1235.746885956047"/>
    <n v="1240.543235617233"/>
    <n v="1228.1527673060341"/>
    <n v="1229.651611328125"/>
    <n v="5055047"/>
    <n v="-0.61"/>
    <n v="10.89"/>
    <x v="3"/>
    <s v="Q4-2025"/>
  </r>
  <r>
    <d v="2025-12-22T00:00:00"/>
    <x v="0"/>
    <s v="RELIANCE.NS"/>
    <n v="1566.258256230959"/>
    <n v="1570.2398469681209"/>
    <n v="1558.0960438231809"/>
    <n v="1568.149536132812"/>
    <n v="10184852"/>
    <n v="-0.52"/>
    <n v="2.09"/>
    <x v="3"/>
    <s v="Q4-2025"/>
  </r>
  <r>
    <d v="2025-12-22T00:00:00"/>
    <x v="1"/>
    <s v="TCS.NS"/>
    <n v="3189.922606193355"/>
    <n v="3207.847945163468"/>
    <n v="3171.6118722001002"/>
    <n v="3204.281982421875"/>
    <n v="2632816"/>
    <n v="-0.56999999999999995"/>
    <n v="3.57"/>
    <x v="3"/>
    <s v="Q4-2025"/>
  </r>
  <r>
    <d v="2025-12-22T00:00:00"/>
    <x v="2"/>
    <s v="INFY.NS"/>
    <n v="1628.7547583833571"/>
    <n v="1657.3362243784011"/>
    <n v="1628.7547583833571"/>
    <n v="1653.8125"/>
    <n v="23098923"/>
    <n v="0"/>
    <n v="3.52"/>
    <x v="3"/>
    <s v="Q4-2025"/>
  </r>
  <r>
    <d v="2025-12-22T00:00:00"/>
    <x v="3"/>
    <s v="HDFCBANK.NS"/>
    <n v="971.92492867439262"/>
    <n v="976.74522814720694"/>
    <n v="967.89166098316889"/>
    <n v="971.62982177734375"/>
    <n v="13540411"/>
    <n v="-0.41"/>
    <n v="5.12"/>
    <x v="3"/>
    <s v="Q4-2025"/>
  </r>
  <r>
    <d v="2025-12-22T00:00:00"/>
    <x v="4"/>
    <s v="ICICIBANK.NS"/>
    <n v="1346.6471062779731"/>
    <n v="1359.835966563503"/>
    <n v="1343.4739067302289"/>
    <n v="1357.059326171875"/>
    <n v="9375294"/>
    <n v="-0.24"/>
    <n v="2.78"/>
    <x v="3"/>
    <s v="Q4-2025"/>
  </r>
  <r>
    <d v="2025-12-22T00:00:00"/>
    <x v="5"/>
    <s v="WIPRO.NS"/>
    <n v="257.83275237583138"/>
    <n v="263.22052886625852"/>
    <n v="257.14841566776698"/>
    <n v="262.80609130859381"/>
    <n v="14651313"/>
    <n v="-0.27"/>
    <n v="0.41"/>
    <x v="3"/>
    <s v="Q4-2025"/>
  </r>
  <r>
    <d v="2025-12-22T00:00:00"/>
    <x v="6"/>
    <s v="HCLTECH.NS"/>
    <n v="1592.9483927863671"/>
    <n v="1613.777526441746"/>
    <n v="1585.3302978609081"/>
    <n v="1610.691772460938"/>
    <n v="1339691"/>
    <n v="-0.48"/>
    <n v="3.09"/>
    <x v="3"/>
    <s v="Q4-2025"/>
  </r>
  <r>
    <d v="2025-12-22T00:00:00"/>
    <x v="7"/>
    <s v="BAJFINANCE.NS"/>
    <n v="1002.139645379043"/>
    <n v="1009.196303385373"/>
    <n v="998.85981929887089"/>
    <n v="1001.642700195312"/>
    <n v="3921237"/>
    <n v="-0.33"/>
    <n v="7.55"/>
    <x v="3"/>
    <s v="Q4-2025"/>
  </r>
  <r>
    <d v="2025-12-22T00:00:00"/>
    <x v="8"/>
    <s v="MARUTI.NS"/>
    <n v="16300.29457662622"/>
    <n v="16527.017575778758"/>
    <n v="16250.79173838331"/>
    <n v="16483.455078125"/>
    <n v="271590"/>
    <n v="-0.3"/>
    <n v="43.56"/>
    <x v="3"/>
    <s v="Q4-2025"/>
  </r>
  <r>
    <d v="2025-12-22T00:00:00"/>
    <x v="9"/>
    <s v="TMPV.NS"/>
    <n v="353.31911594275192"/>
    <n v="357.9804609474071"/>
    <n v="350.69092365991798"/>
    <n v="356.19525146484381"/>
    <n v="10798315"/>
    <n v="-0.74"/>
    <n v="1.79"/>
    <x v="3"/>
    <s v="Q4-2025"/>
  </r>
  <r>
    <d v="2025-12-22T00:00:00"/>
    <x v="10"/>
    <s v="SUNPHARMA.NS"/>
    <n v="1729.1069615291831"/>
    <n v="1757.150746091643"/>
    <n v="1727.323204914904"/>
    <n v="1753.781616210938"/>
    <n v="1467257"/>
    <n v="-0.1"/>
    <n v="3.37"/>
    <x v="3"/>
    <s v="Q4-2025"/>
  </r>
  <r>
    <d v="2025-12-22T00:00:00"/>
    <x v="11"/>
    <s v="ASIANPAINT.NS"/>
    <n v="2761.838388902383"/>
    <n v="2798.8176067054642"/>
    <n v="2756.3856963642552"/>
    <n v="2783.450927734375"/>
    <n v="463953"/>
    <n v="-0.2"/>
    <n v="15.37"/>
    <x v="3"/>
    <s v="Q4-2025"/>
  </r>
  <r>
    <d v="2025-12-22T00:00:00"/>
    <x v="12"/>
    <s v="HINDUNILVR.NS"/>
    <n v="2257.0424338692951"/>
    <n v="2271.8913972500141"/>
    <n v="2257.0424338692951"/>
    <n v="2266.44677734375"/>
    <n v="790773"/>
    <n v="0"/>
    <n v="5.44"/>
    <x v="3"/>
    <s v="Q4-2025"/>
  </r>
  <r>
    <d v="2025-12-22T00:00:00"/>
    <x v="13"/>
    <s v="LT.NS"/>
    <n v="4041.524966562853"/>
    <n v="4058.8556911192982"/>
    <n v="4029.1458775939641"/>
    <n v="4033.008056640625"/>
    <n v="764774"/>
    <n v="-0.31"/>
    <n v="25.85"/>
    <x v="3"/>
    <s v="Q4-2025"/>
  </r>
  <r>
    <d v="2025-12-22T00:00:00"/>
    <x v="14"/>
    <s v="AXISBANK.NS"/>
    <n v="1234.048295479854"/>
    <n v="1235.946855714303"/>
    <n v="1225.854663280121"/>
    <n v="1232.249633789062"/>
    <n v="2405809"/>
    <n v="-0.66"/>
    <n v="3.7"/>
    <x v="3"/>
    <s v="Q4-2025"/>
  </r>
  <r>
    <d v="2025-12-23T00:00:00"/>
    <x v="0"/>
    <s v="RELIANCE.NS"/>
    <n v="1573.6241984599119"/>
    <n v="1573.6241984599119"/>
    <n v="1560.8830596994951"/>
    <n v="1563.471069335938"/>
    <n v="7506564"/>
    <n v="-0.81"/>
    <n v="10.15"/>
    <x v="3"/>
    <s v="Q4-2025"/>
  </r>
  <r>
    <d v="2025-12-23T00:00:00"/>
    <x v="1"/>
    <s v="TCS.NS"/>
    <n v="3199.4631245744908"/>
    <n v="3199.4631245744908"/>
    <n v="3174.0209376032622"/>
    <n v="3189.92236328125"/>
    <n v="2365420"/>
    <n v="-0.8"/>
    <n v="9.5399999999999991"/>
    <x v="3"/>
    <s v="Q4-2025"/>
  </r>
  <r>
    <d v="2025-12-23T00:00:00"/>
    <x v="2"/>
    <s v="INFY.NS"/>
    <n v="1643.4370603643281"/>
    <n v="1643.4370603643281"/>
    <n v="1621.315775408247"/>
    <n v="1632.963745117188"/>
    <n v="6593060"/>
    <n v="-1.35"/>
    <n v="10.47"/>
    <x v="3"/>
    <s v="Q4-2025"/>
  </r>
  <r>
    <d v="2025-12-23T00:00:00"/>
    <x v="3"/>
    <s v="HDFCBANK.NS"/>
    <n v="974.38422186053242"/>
    <n v="982.64757496735297"/>
    <n v="971.62979083895652"/>
    <n v="980.38494873046875"/>
    <n v="17927849"/>
    <n v="-0.28000000000000003"/>
    <n v="2.2599999999999998"/>
    <x v="3"/>
    <s v="Q4-2025"/>
  </r>
  <r>
    <d v="2025-12-23T00:00:00"/>
    <x v="4"/>
    <s v="ICICIBANK.NS"/>
    <n v="1349.7210845323891"/>
    <n v="1353.588504469403"/>
    <n v="1345.6553850292901"/>
    <n v="1351.605224609375"/>
    <n v="9105467"/>
    <n v="-0.3"/>
    <n v="1.98"/>
    <x v="3"/>
    <s v="Q4-2025"/>
  </r>
  <r>
    <d v="2025-12-23T00:00:00"/>
    <x v="5"/>
    <s v="WIPRO.NS"/>
    <n v="262.16030139763541"/>
    <n v="262.62294781252501"/>
    <n v="260.43504706071968"/>
    <n v="261.58200073242188"/>
    <n v="7572420"/>
    <n v="-0.66"/>
    <n v="1.04"/>
    <x v="3"/>
    <s v="Q4-2025"/>
  </r>
  <r>
    <d v="2025-12-23T00:00:00"/>
    <x v="6"/>
    <s v="HCLTECH.NS"/>
    <n v="1615.320591595942"/>
    <n v="1626.699531439363"/>
    <n v="1597.0950533817099"/>
    <n v="1619.949340820312"/>
    <n v="1614314"/>
    <n v="-1.1299999999999999"/>
    <n v="6.75"/>
    <x v="3"/>
    <s v="Q4-2025"/>
  </r>
  <r>
    <d v="2025-12-23T00:00:00"/>
    <x v="7"/>
    <s v="BAJFINANCE.NS"/>
    <n v="1007.307848551227"/>
    <n v="1011.7803550322139"/>
    <n v="999.55551611663259"/>
    <n v="1005.220703125"/>
    <n v="4712043"/>
    <n v="-0.77"/>
    <n v="6.56"/>
    <x v="3"/>
    <s v="Q4-2025"/>
  </r>
  <r>
    <d v="2025-12-23T00:00:00"/>
    <x v="8"/>
    <s v="MARUTI.NS"/>
    <n v="16542.858838346961"/>
    <n v="16553.74946299367"/>
    <n v="16393.36026365127"/>
    <n v="16420.091796875"/>
    <n v="215650"/>
    <n v="-0.9"/>
    <n v="133.66"/>
    <x v="3"/>
    <s v="Q4-2025"/>
  </r>
  <r>
    <d v="2025-12-23T00:00:00"/>
    <x v="9"/>
    <s v="TMPV.NS"/>
    <n v="358.03004643544608"/>
    <n v="363.732741080886"/>
    <n v="354.70760089306179"/>
    <n v="360.26153564453119"/>
    <n v="11885576"/>
    <n v="-0.93"/>
    <n v="3.47"/>
    <x v="3"/>
    <s v="Q4-2025"/>
  </r>
  <r>
    <d v="2025-12-23T00:00:00"/>
    <x v="10"/>
    <s v="SUNPHARMA.NS"/>
    <n v="1755.9617016652769"/>
    <n v="1758.5381449802719"/>
    <n v="1735.8453877351851"/>
    <n v="1740.007446289062"/>
    <n v="1124853"/>
    <n v="-1.1499999999999999"/>
    <n v="18.53"/>
    <x v="3"/>
    <s v="Q4-2025"/>
  </r>
  <r>
    <d v="2025-12-23T00:00:00"/>
    <x v="11"/>
    <s v="ASIANPAINT.NS"/>
    <n v="2773.9334147715081"/>
    <n v="2794.7527863620012"/>
    <n v="2759.161671745002"/>
    <n v="2783.649169921875"/>
    <n v="431068"/>
    <n v="-0.53"/>
    <n v="11.1"/>
    <x v="3"/>
    <s v="Q4-2025"/>
  </r>
  <r>
    <d v="2025-12-23T00:00:00"/>
    <x v="12"/>
    <s v="HINDUNILVR.NS"/>
    <n v="2266.2486667249432"/>
    <n v="2286.740186291609"/>
    <n v="2257.735165029454"/>
    <n v="2279.414794921875"/>
    <n v="1128801"/>
    <n v="-0.38"/>
    <n v="7.33"/>
    <x v="3"/>
    <s v="Q4-2025"/>
  </r>
  <r>
    <d v="2025-12-23T00:00:00"/>
    <x v="13"/>
    <s v="LT.NS"/>
    <n v="4049.447625827489"/>
    <n v="4055.3895885946608"/>
    <n v="4014.092995718634"/>
    <n v="4019.539794921875"/>
    <n v="1867147"/>
    <n v="-0.87"/>
    <n v="35.85"/>
    <x v="3"/>
    <s v="Q4-2025"/>
  </r>
  <r>
    <d v="2025-12-23T00:00:00"/>
    <x v="14"/>
    <s v="AXISBANK.NS"/>
    <n v="1238.045242047991"/>
    <n v="1238.045242047991"/>
    <n v="1222.5571861547351"/>
    <n v="1224.056030273438"/>
    <n v="2920318"/>
    <n v="-1.25"/>
    <n v="13.99"/>
    <x v="3"/>
    <s v="Q4-2025"/>
  </r>
  <r>
    <d v="2025-12-24T00:00:00"/>
    <x v="0"/>
    <s v="RELIANCE.NS"/>
    <n v="1565.461953536234"/>
    <n v="1568.4481467112951"/>
    <n v="1546.4498812900461"/>
    <n v="1551.028686523438"/>
    <n v="8815745"/>
    <n v="-1.21"/>
    <n v="17.420000000000002"/>
    <x v="3"/>
    <s v="Q4-2025"/>
  </r>
  <r>
    <d v="2025-12-24T00:00:00"/>
    <x v="1"/>
    <s v="TCS.NS"/>
    <n v="3184.2365717756061"/>
    <n v="3206.4021959958859"/>
    <n v="3176.5267894381182"/>
    <n v="3198.595947265625"/>
    <n v="1367708"/>
    <n v="-0.24"/>
    <n v="7.81"/>
    <x v="3"/>
    <s v="Q4-2025"/>
  </r>
  <r>
    <d v="2025-12-24T00:00:00"/>
    <x v="2"/>
    <s v="INFY.NS"/>
    <n v="1625.8182910699561"/>
    <n v="1632.2784723030879"/>
    <n v="1617.498329917581"/>
    <n v="1628.16748046875"/>
    <n v="4271167"/>
    <n v="-0.51"/>
    <n v="4.1100000000000003"/>
    <x v="3"/>
    <s v="Q4-2025"/>
  </r>
  <r>
    <d v="2025-12-24T00:00:00"/>
    <x v="3"/>
    <s v="HDFCBANK.NS"/>
    <n v="976.84354318503506"/>
    <n v="983.13943696660965"/>
    <n v="976.84354318503506"/>
    <n v="980.9752197265625"/>
    <n v="13699996"/>
    <n v="0"/>
    <n v="2.16"/>
    <x v="3"/>
    <s v="Q4-2025"/>
  </r>
  <r>
    <d v="2025-12-24T00:00:00"/>
    <x v="4"/>
    <s v="ICICIBANK.NS"/>
    <n v="1352.398688931213"/>
    <n v="1356.7618081188291"/>
    <n v="1346.2504482626371"/>
    <n v="1348.43212890625"/>
    <n v="8955140"/>
    <n v="-0.45"/>
    <n v="8.33"/>
    <x v="3"/>
    <s v="Q4-2025"/>
  </r>
  <r>
    <d v="2025-12-24T00:00:00"/>
    <x v="5"/>
    <s v="WIPRO.NS"/>
    <n v="261.13864307878782"/>
    <n v="261.17720429912561"/>
    <n v="257.53394843742052"/>
    <n v="258.36282348632813"/>
    <n v="4694861"/>
    <n v="-1.38"/>
    <n v="2.81"/>
    <x v="3"/>
    <s v="Q4-2025"/>
  </r>
  <r>
    <d v="2025-12-24T00:00:00"/>
    <x v="6"/>
    <s v="HCLTECH.NS"/>
    <n v="1616.188346180832"/>
    <n v="1620.045597603699"/>
    <n v="1605.6773125107279"/>
    <n v="1614.934692382812"/>
    <n v="989858"/>
    <n v="-0.65"/>
    <n v="5.1100000000000003"/>
    <x v="3"/>
    <s v="Q4-2025"/>
  </r>
  <r>
    <d v="2025-12-24T00:00:00"/>
    <x v="7"/>
    <s v="BAJFINANCE.NS"/>
    <n v="1004.823124499229"/>
    <n v="1031.061853498828"/>
    <n v="999.85367284493032"/>
    <n v="1005.518859863281"/>
    <n v="5984816"/>
    <n v="-0.49"/>
    <n v="25.54"/>
    <x v="3"/>
    <s v="Q4-2025"/>
  </r>
  <r>
    <d v="2025-12-24T00:00:00"/>
    <x v="8"/>
    <s v="MARUTI.NS"/>
    <n v="16474.544393222779"/>
    <n v="16553.748933574811"/>
    <n v="16377.518831291531"/>
    <n v="16536.91796875"/>
    <n v="258486"/>
    <n v="-0.59"/>
    <n v="16.829999999999998"/>
    <x v="3"/>
    <s v="Q4-2025"/>
  </r>
  <r>
    <d v="2025-12-24T00:00:00"/>
    <x v="9"/>
    <s v="TMPV.NS"/>
    <n v="361.00534040607067"/>
    <n v="361.89792997465241"/>
    <n v="355.60016592250872"/>
    <n v="356.24484252929688"/>
    <n v="9212351"/>
    <n v="-1.5"/>
    <n v="5.65"/>
    <x v="3"/>
    <s v="Q4-2025"/>
  </r>
  <r>
    <d v="2025-12-24T00:00:00"/>
    <x v="10"/>
    <s v="SUNPHARMA.NS"/>
    <n v="1740.007526394154"/>
    <n v="1743.0794443713571"/>
    <n v="1703.441480883663"/>
    <n v="1721.278564453125"/>
    <n v="2224786"/>
    <n v="-2.1"/>
    <n v="21.8"/>
    <x v="3"/>
    <s v="Q4-2025"/>
  </r>
  <r>
    <d v="2025-12-24T00:00:00"/>
    <x v="11"/>
    <s v="ASIANPAINT.NS"/>
    <n v="2783.6490084418192"/>
    <n v="2800.4035477907219"/>
    <n v="2758.070876420582"/>
    <n v="2761.540771484375"/>
    <n v="512144"/>
    <n v="-0.92"/>
    <n v="38.86"/>
    <x v="3"/>
    <s v="Q4-2025"/>
  </r>
  <r>
    <d v="2025-12-24T00:00:00"/>
    <x v="12"/>
    <s v="HINDUNILVR.NS"/>
    <n v="2279.414949884213"/>
    <n v="2281.790687332576"/>
    <n v="2255.1616432292681"/>
    <n v="2259.22021484375"/>
    <n v="519380"/>
    <n v="-1.06"/>
    <n v="22.57"/>
    <x v="3"/>
    <s v="Q4-2025"/>
  </r>
  <r>
    <d v="2025-12-24T00:00:00"/>
    <x v="13"/>
    <s v="LT.NS"/>
    <n v="4025.6797692492919"/>
    <n v="4041.2278567796279"/>
    <n v="4008.9433375229642"/>
    <n v="4014.39013671875"/>
    <n v="1021436"/>
    <n v="-0.42"/>
    <n v="26.84"/>
    <x v="3"/>
    <s v="Q4-2025"/>
  </r>
  <r>
    <d v="2025-12-24T00:00:00"/>
    <x v="14"/>
    <s v="AXISBANK.NS"/>
    <n v="1229.0520802122271"/>
    <n v="1234.4479430084059"/>
    <n v="1223.756115954151"/>
    <n v="1225.35498046875"/>
    <n v="3155506"/>
    <n v="-0.43"/>
    <n v="9.09"/>
    <x v="3"/>
    <s v="Q4-2025"/>
  </r>
  <r>
    <d v="2025-12-26T00:00:00"/>
    <x v="0"/>
    <s v="RELIANCE.NS"/>
    <n v="1547.544758194015"/>
    <n v="1553.8158123179851"/>
    <n v="1547.146696320151"/>
    <n v="1552.024047851562"/>
    <n v="2311495"/>
    <n v="-0.03"/>
    <n v="1.79"/>
    <x v="3"/>
    <s v="Q4-2025"/>
  </r>
  <r>
    <d v="2025-12-26T00:00:00"/>
    <x v="1"/>
    <s v="TCS.NS"/>
    <n v="3192.9100605591038"/>
    <n v="3199.559653677592"/>
    <n v="3153.1082623888078"/>
    <n v="3161.0107421875"/>
    <n v="1176664"/>
    <n v="-1.25"/>
    <n v="38.549999999999997"/>
    <x v="3"/>
    <s v="Q4-2025"/>
  </r>
  <r>
    <d v="2025-12-26T00:00:00"/>
    <x v="2"/>
    <s v="INFY.NS"/>
    <n v="1628.167521100225"/>
    <n v="1633.453167508233"/>
    <n v="1616.7152673020839"/>
    <n v="1621.022094726562"/>
    <n v="2006491"/>
    <n v="-0.7"/>
    <n v="12.43"/>
    <x v="3"/>
    <s v="Q4-2025"/>
  </r>
  <r>
    <d v="2025-12-26T00:00:00"/>
    <x v="3"/>
    <s v="HDFCBANK.NS"/>
    <n v="979.7947606844748"/>
    <n v="980.97524830817622"/>
    <n v="971.62981635385643"/>
    <n v="975.95819091796875"/>
    <n v="9360853"/>
    <n v="-0.83"/>
    <n v="5.0199999999999996"/>
    <x v="3"/>
    <s v="Q4-2025"/>
  </r>
  <r>
    <d v="2025-12-26T00:00:00"/>
    <x v="4"/>
    <s v="ICICIBANK.NS"/>
    <n v="1345.159575111433"/>
    <n v="1350.6135947672481"/>
    <n v="1337.226455612066"/>
    <n v="1339.110595703125"/>
    <n v="2812144"/>
    <n v="-0.59"/>
    <n v="11.5"/>
    <x v="3"/>
    <s v="Q4-2025"/>
  </r>
  <r>
    <d v="2025-12-26T00:00:00"/>
    <x v="5"/>
    <s v="WIPRO.NS"/>
    <n v="257.53393903985591"/>
    <n v="259.1531572718402"/>
    <n v="256.12673397801041"/>
    <n v="256.66647338867188"/>
    <n v="2899112"/>
    <n v="-0.55000000000000004"/>
    <n v="2.4900000000000002"/>
    <x v="3"/>
    <s v="Q4-2025"/>
  </r>
  <r>
    <d v="2025-12-26T00:00:00"/>
    <x v="6"/>
    <s v="HCLTECH.NS"/>
    <n v="1608.473917383925"/>
    <n v="1616.574169287647"/>
    <n v="1591.598441631995"/>
    <n v="1601.627319335938"/>
    <n v="921138"/>
    <n v="-1.05"/>
    <n v="14.95"/>
    <x v="3"/>
    <s v="Q4-2025"/>
  </r>
  <r>
    <d v="2025-12-26T00:00:00"/>
    <x v="7"/>
    <s v="BAJFINANCE.NS"/>
    <n v="1005.518848698612"/>
    <n v="1005.518848698612"/>
    <n v="991.90253918457029"/>
    <n v="993.89031982421875"/>
    <n v="5211460"/>
    <n v="-1.35"/>
    <n v="11.63"/>
    <x v="3"/>
    <s v="Q4-2025"/>
  </r>
  <r>
    <d v="2025-12-26T00:00:00"/>
    <x v="8"/>
    <s v="MARUTI.NS"/>
    <n v="16536.918497986149"/>
    <n v="16536.918497986149"/>
    <n v="16351.77787898816"/>
    <n v="16430.982421875"/>
    <n v="212925"/>
    <n v="-1.1200000000000001"/>
    <n v="105.94"/>
    <x v="3"/>
    <s v="Q4-2025"/>
  </r>
  <r>
    <d v="2025-12-26T00:00:00"/>
    <x v="9"/>
    <s v="TMPV.NS"/>
    <n v="356.24484739758071"/>
    <n v="357.43495674978402"/>
    <n v="351.78186922717589"/>
    <n v="355.84811401367188"/>
    <n v="8589856"/>
    <n v="-1.25"/>
    <n v="1.59"/>
    <x v="3"/>
    <s v="Q4-2025"/>
  </r>
  <r>
    <d v="2025-12-26T00:00:00"/>
    <x v="10"/>
    <s v="SUNPHARMA.NS"/>
    <n v="1721.27837469218"/>
    <n v="1721.27837469218"/>
    <n v="1692.540854331746"/>
    <n v="1703.936767578125"/>
    <n v="2507337"/>
    <n v="-1.67"/>
    <n v="17.34"/>
    <x v="3"/>
    <s v="Q4-2025"/>
  </r>
  <r>
    <d v="2025-12-26T00:00:00"/>
    <x v="11"/>
    <s v="ASIANPAINT.NS"/>
    <n v="2761.0453138867078"/>
    <n v="2770.364364628972"/>
    <n v="2719.406569476208"/>
    <n v="2722.87646484375"/>
    <n v="532078"/>
    <n v="-1.51"/>
    <n v="47.49"/>
    <x v="3"/>
    <s v="Q4-2025"/>
  </r>
  <r>
    <d v="2025-12-26T00:00:00"/>
    <x v="12"/>
    <s v="HINDUNILVR.NS"/>
    <n v="2259.3192987304969"/>
    <n v="2266.9417181800491"/>
    <n v="2252.092754960529"/>
    <n v="2262.387939453125"/>
    <n v="533626"/>
    <n v="-0.32"/>
    <n v="4.55"/>
    <x v="3"/>
    <s v="Q4-2025"/>
  </r>
  <r>
    <d v="2025-12-26T00:00:00"/>
    <x v="13"/>
    <s v="LT.NS"/>
    <n v="4012.8053678724982"/>
    <n v="4022.2134752256052"/>
    <n v="3991.2161889590279"/>
    <n v="4008.15087890625"/>
    <n v="594330"/>
    <n v="-0.54"/>
    <n v="14.06"/>
    <x v="3"/>
    <s v="Q4-2025"/>
  </r>
  <r>
    <d v="2025-12-26T00:00:00"/>
    <x v="14"/>
    <s v="AXISBANK.NS"/>
    <n v="1224.055932893727"/>
    <n v="1228.952181020549"/>
    <n v="1221.058244894803"/>
    <n v="1227.25341796875"/>
    <n v="1665983"/>
    <n v="-0.24"/>
    <n v="1.7"/>
    <x v="3"/>
    <s v="Q4-2025"/>
  </r>
  <r>
    <d v="2025-12-29T00:00:00"/>
    <x v="0"/>
    <s v="RELIANCE.NS"/>
    <n v="1547.74394175102"/>
    <n v="1550.929165857011"/>
    <n v="1536.4958988925659"/>
    <n v="1538.486694335938"/>
    <n v="5972105"/>
    <n v="-0.73"/>
    <n v="12.44"/>
    <x v="3"/>
    <s v="Q4-2025"/>
  </r>
  <r>
    <d v="2025-12-29T00:00:00"/>
    <x v="1"/>
    <s v="TCS.NS"/>
    <n v="3161.010777477703"/>
    <n v="3168.7205598617952"/>
    <n v="3125.2565675579222"/>
    <n v="3133.544677734375"/>
    <n v="2079473"/>
    <n v="-1.1299999999999999"/>
    <n v="35.18"/>
    <x v="3"/>
    <s v="Q4-2025"/>
  </r>
  <r>
    <d v="2025-12-29T00:00:00"/>
    <x v="2"/>
    <s v="INFY.NS"/>
    <n v="1622.8818655924699"/>
    <n v="1637.6620082639461"/>
    <n v="1602.4245250544591"/>
    <n v="1609.863525390625"/>
    <n v="4062817"/>
    <n v="-1.26"/>
    <n v="27.8"/>
    <x v="3"/>
    <s v="Q4-2025"/>
  </r>
  <r>
    <d v="2025-12-29T00:00:00"/>
    <x v="3"/>
    <s v="HDFCBANK.NS"/>
    <n v="976.94188273816133"/>
    <n v="981.17196822933852"/>
    <n v="971.13791387986578"/>
    <n v="975.564697265625"/>
    <n v="13545749"/>
    <n v="-0.59"/>
    <n v="5.61"/>
    <x v="3"/>
    <s v="Q4-2025"/>
  </r>
  <r>
    <d v="2025-12-29T00:00:00"/>
    <x v="4"/>
    <s v="ICICIBANK.NS"/>
    <n v="1340.7964277815031"/>
    <n v="1344.36630759282"/>
    <n v="1330.285067928814"/>
    <n v="1332.070068359375"/>
    <n v="6057201"/>
    <n v="-0.78"/>
    <n v="12.3"/>
    <x v="3"/>
    <s v="Q4-2025"/>
  </r>
  <r>
    <d v="2025-12-29T00:00:00"/>
    <x v="5"/>
    <s v="WIPRO.NS"/>
    <n v="256.36770814493627"/>
    <n v="257.71708618004158"/>
    <n v="254.06418253635491"/>
    <n v="254.68101501464841"/>
    <n v="3755074"/>
    <n v="-0.9"/>
    <n v="3.04"/>
    <x v="3"/>
    <s v="Q4-2025"/>
  </r>
  <r>
    <d v="2025-12-29T00:00:00"/>
    <x v="6"/>
    <s v="HCLTECH.NS"/>
    <n v="1600.4699875803431"/>
    <n v="1601.530825884877"/>
    <n v="1567.394127504959"/>
    <n v="1572.601440429688"/>
    <n v="1516288"/>
    <n v="-2.0699999999999998"/>
    <n v="28.93"/>
    <x v="3"/>
    <s v="Q4-2025"/>
  </r>
  <r>
    <d v="2025-12-29T00:00:00"/>
    <x v="7"/>
    <s v="BAJFINANCE.NS"/>
    <n v="996.87203973376438"/>
    <n v="997.76656533043104"/>
    <n v="983.55388452924922"/>
    <n v="991.902587890625"/>
    <n v="6715489"/>
    <n v="-1.34"/>
    <n v="5.86"/>
    <x v="3"/>
    <s v="Q4-2025"/>
  </r>
  <r>
    <d v="2025-12-29T00:00:00"/>
    <x v="8"/>
    <s v="MARUTI.NS"/>
    <n v="16434.942825459439"/>
    <n v="16516.12748279002"/>
    <n v="16334.947088991281"/>
    <n v="16377.51953125"/>
    <n v="251796"/>
    <n v="-0.61"/>
    <n v="138.61000000000001"/>
    <x v="3"/>
    <s v="Q4-2025"/>
  </r>
  <r>
    <d v="2025-12-29T00:00:00"/>
    <x v="9"/>
    <s v="TMPV.NS"/>
    <n v="355.55059692671142"/>
    <n v="359.8152084373603"/>
    <n v="354.90595057275402"/>
    <n v="355.6497802734375"/>
    <n v="10050266"/>
    <n v="-0.18"/>
    <n v="4.17"/>
    <x v="3"/>
    <s v="Q4-2025"/>
  </r>
  <r>
    <d v="2025-12-29T00:00:00"/>
    <x v="10"/>
    <s v="SUNPHARMA.NS"/>
    <n v="1703.9369461180261"/>
    <n v="1711.864538772254"/>
    <n v="1694.8202629518501"/>
    <n v="1701.65771484375"/>
    <n v="1800816"/>
    <n v="-0.54"/>
    <n v="10.210000000000001"/>
    <x v="3"/>
    <s v="Q4-2025"/>
  </r>
  <r>
    <d v="2025-12-29T00:00:00"/>
    <x v="11"/>
    <s v="ASIANPAINT.NS"/>
    <n v="2722.876265059987"/>
    <n v="2769.7694674230961"/>
    <n v="2711.4751811174451"/>
    <n v="2751.527587890625"/>
    <n v="815529"/>
    <n v="-0.42"/>
    <n v="18.239999999999998"/>
    <x v="3"/>
    <s v="Q4-2025"/>
  </r>
  <r>
    <d v="2025-12-29T00:00:00"/>
    <x v="12"/>
    <s v="HINDUNILVR.NS"/>
    <n v="2265.8526552878379"/>
    <n v="2275.5540260801649"/>
    <n v="2257.0423672814741"/>
    <n v="2270.20849609375"/>
    <n v="1086695"/>
    <n v="-0.39"/>
    <n v="5.35"/>
    <x v="3"/>
    <s v="Q4-2025"/>
  </r>
  <r>
    <d v="2025-12-29T00:00:00"/>
    <x v="13"/>
    <s v="LT.NS"/>
    <n v="4013.7957591696299"/>
    <n v="4021.8175054369672"/>
    <n v="3994.3852511874029"/>
    <n v="3999.634033203125"/>
    <n v="952143"/>
    <n v="-0.48"/>
    <n v="22.18"/>
    <x v="3"/>
    <s v="Q4-2025"/>
  </r>
  <r>
    <d v="2025-12-29T00:00:00"/>
    <x v="14"/>
    <s v="AXISBANK.NS"/>
    <n v="1227.2534168570171"/>
    <n v="1232.9490972355541"/>
    <n v="1218.0605557924739"/>
    <n v="1231.050537109375"/>
    <n v="2209655"/>
    <n v="-0.75"/>
    <n v="1.9"/>
    <x v="3"/>
    <s v="Q4-2025"/>
  </r>
  <r>
    <d v="2025-12-30T00:00:00"/>
    <x v="0"/>
    <s v="RELIANCE.NS"/>
    <n v="1539.8801935176691"/>
    <n v="1546.4497938295531"/>
    <n v="1530.7225835688"/>
    <n v="1532.71337890625"/>
    <n v="8815884"/>
    <n v="-0.59"/>
    <n v="13.74"/>
    <x v="3"/>
    <s v="Q4-2025"/>
  </r>
  <r>
    <d v="2025-12-30T00:00:00"/>
    <x v="1"/>
    <s v="TCS.NS"/>
    <n v="3132.0990025259998"/>
    <n v="3148.9641510011402"/>
    <n v="3121.979913440915"/>
    <n v="3129.01513671875"/>
    <n v="2807593"/>
    <n v="-0.32"/>
    <n v="19.95"/>
    <x v="3"/>
    <s v="Q4-2025"/>
  </r>
  <r>
    <d v="2025-12-30T00:00:00"/>
    <x v="2"/>
    <s v="INFY.NS"/>
    <n v="1612.1148331917741"/>
    <n v="1612.995794156039"/>
    <n v="1582.5545482823341"/>
    <n v="1587.252807617188"/>
    <n v="9395937"/>
    <n v="-1.83"/>
    <n v="25.74"/>
    <x v="3"/>
    <s v="Q4-2025"/>
  </r>
  <r>
    <d v="2025-12-30T00:00:00"/>
    <x v="3"/>
    <s v="HDFCBANK.NS"/>
    <n v="974.08914820668224"/>
    <n v="978.81103869649758"/>
    <n v="966.21931070962501"/>
    <n v="974.77777099609375"/>
    <n v="33155849"/>
    <n v="-0.81"/>
    <n v="4.03"/>
    <x v="3"/>
    <s v="Q4-2025"/>
  </r>
  <r>
    <d v="2025-12-30T00:00:00"/>
    <x v="4"/>
    <s v="ICICIBANK.NS"/>
    <n v="1332.069971695204"/>
    <n v="1335.8381308143371"/>
    <n v="1326.913371408785"/>
    <n v="1331.276611328125"/>
    <n v="18621277"/>
    <n v="-0.39"/>
    <n v="4.5599999999999996"/>
    <x v="3"/>
    <s v="Q4-2025"/>
  </r>
  <r>
    <d v="2025-12-30T00:00:00"/>
    <x v="5"/>
    <s v="WIPRO.NS"/>
    <n v="254.44971023637029"/>
    <n v="255.14366516810421"/>
    <n v="253.50515148068979"/>
    <n v="254.11236572265619"/>
    <n v="5117699"/>
    <n v="-0.37"/>
    <n v="1.03"/>
    <x v="3"/>
    <s v="Q4-2025"/>
  </r>
  <r>
    <d v="2025-12-30T00:00:00"/>
    <x v="6"/>
    <s v="HCLTECH.NS"/>
    <n v="1572.601480459547"/>
    <n v="1577.326519366326"/>
    <n v="1553.6044462320301"/>
    <n v="1557.55810546875"/>
    <n v="3323273"/>
    <n v="-1.21"/>
    <n v="19.77"/>
    <x v="3"/>
    <s v="Q4-2025"/>
  </r>
  <r>
    <d v="2025-12-30T00:00:00"/>
    <x v="7"/>
    <s v="BAJFINANCE.NS"/>
    <n v="988.02633764797724"/>
    <n v="991.50495374967238"/>
    <n v="981.06910544458708"/>
    <n v="983.25567626953125"/>
    <n v="7473887"/>
    <n v="-0.7"/>
    <n v="8.25"/>
    <x v="3"/>
    <s v="Q4-2025"/>
  </r>
  <r>
    <d v="2025-12-30T00:00:00"/>
    <x v="8"/>
    <s v="MARUTI.NS"/>
    <n v="16410.192468519101"/>
    <n v="16650.776285704629"/>
    <n v="16318.11718046044"/>
    <n v="16481.4765625"/>
    <n v="1055843"/>
    <n v="-0.56000000000000005"/>
    <n v="169.3"/>
    <x v="3"/>
    <s v="Q4-2025"/>
  </r>
  <r>
    <d v="2025-12-30T00:00:00"/>
    <x v="9"/>
    <s v="TMPV.NS"/>
    <n v="355.64978600616757"/>
    <n v="360.95577734320551"/>
    <n v="355.50102611693461"/>
    <n v="358.77386474609381"/>
    <n v="13807060"/>
    <n v="-0.04"/>
    <n v="2.1800000000000002"/>
    <x v="3"/>
    <s v="Q4-2025"/>
  </r>
  <r>
    <d v="2025-12-30T00:00:00"/>
    <x v="10"/>
    <s v="SUNPHARMA.NS"/>
    <n v="1707.504269578114"/>
    <n v="1707.504269578114"/>
    <n v="1691.550014199669"/>
    <n v="1704.630493164062"/>
    <n v="2639497"/>
    <n v="-0.93"/>
    <n v="2.87"/>
    <x v="3"/>
    <s v="Q4-2025"/>
  </r>
  <r>
    <d v="2025-12-30T00:00:00"/>
    <x v="11"/>
    <s v="ASIANPAINT.NS"/>
    <n v="2746.4717350000169"/>
    <n v="2768.3814999924339"/>
    <n v="2717.4237060781661"/>
    <n v="2734.574951171875"/>
    <n v="4833527"/>
    <n v="-1.06"/>
    <n v="33.81"/>
    <x v="3"/>
    <s v="Q4-2025"/>
  </r>
  <r>
    <d v="2025-12-30T00:00:00"/>
    <x v="12"/>
    <s v="HINDUNILVR.NS"/>
    <n v="2270.208530832208"/>
    <n v="2274.8611576222952"/>
    <n v="2260.0121944524371"/>
    <n v="2267.1396484375"/>
    <n v="1556717"/>
    <n v="-0.45"/>
    <n v="7.72"/>
    <x v="3"/>
    <s v="Q4-2025"/>
  </r>
  <r>
    <d v="2025-12-30T00:00:00"/>
    <x v="13"/>
    <s v="LT.NS"/>
    <n v="3999.931167587476"/>
    <n v="4024.5902157317319"/>
    <n v="3967.448390264869"/>
    <n v="4012.805419921875"/>
    <n v="1362208"/>
    <n v="-0.81"/>
    <n v="11.78"/>
    <x v="3"/>
    <s v="Q4-2025"/>
  </r>
  <r>
    <d v="2025-12-30T00:00:00"/>
    <x v="14"/>
    <s v="AXISBANK.NS"/>
    <n v="1232.0498131128991"/>
    <n v="1251.135069683146"/>
    <n v="1231.050583742978"/>
    <n v="1245.039794921875"/>
    <n v="5673233"/>
    <n v="-0.08"/>
    <n v="6.1"/>
    <x v="3"/>
    <s v="Q4-2025"/>
  </r>
  <r>
    <d v="2025-12-31T00:00:00"/>
    <x v="0"/>
    <s v="RELIANCE.NS"/>
    <n v="1533.9078900841739"/>
    <n v="1569.742208087438"/>
    <n v="1533.9078900841739"/>
    <n v="1563.172607421875"/>
    <n v="5771830"/>
    <n v="0"/>
    <n v="6.57"/>
    <x v="3"/>
    <s v="Q4-2025"/>
  </r>
  <r>
    <d v="2025-12-31T00:00:00"/>
    <x v="1"/>
    <s v="TCS.NS"/>
    <n v="3122.4618165716679"/>
    <n v="3128.2441532690232"/>
    <n v="3082.46732108163"/>
    <n v="3089.887939453125"/>
    <n v="3362634"/>
    <n v="-1.28"/>
    <n v="38.36"/>
    <x v="3"/>
    <s v="Q4-2025"/>
  </r>
  <r>
    <d v="2025-12-31T00:00:00"/>
    <x v="2"/>
    <s v="INFY.NS"/>
    <n v="1586.6655664923121"/>
    <n v="1594.1045668429531"/>
    <n v="1575.115454735055"/>
    <n v="1581.184204101562"/>
    <n v="6538656"/>
    <n v="-0.73"/>
    <n v="12.92"/>
    <x v="3"/>
    <s v="Q4-2025"/>
  </r>
  <r>
    <d v="2025-12-31T00:00:00"/>
    <x v="3"/>
    <s v="HDFCBANK.NS"/>
    <n v="974.87611803110383"/>
    <n v="981.36870993657192"/>
    <n v="971.53141308459305"/>
    <n v="975.0728759765625"/>
    <n v="10963454"/>
    <n v="-0.34"/>
    <n v="6.3"/>
    <x v="3"/>
    <s v="Q4-2025"/>
  </r>
  <r>
    <d v="2025-12-31T00:00:00"/>
    <x v="4"/>
    <s v="ICICIBANK.NS"/>
    <n v="1331.5742000567161"/>
    <n v="1338.7139594203711"/>
    <n v="1328.3017397359899"/>
    <n v="1331.67333984375"/>
    <n v="6150634"/>
    <n v="-0.25"/>
    <n v="7.04"/>
    <x v="3"/>
    <s v="Q4-2025"/>
  </r>
  <r>
    <d v="2025-12-31T00:00:00"/>
    <x v="5"/>
    <s v="WIPRO.NS"/>
    <n v="254.44970748771411"/>
    <n v="255.02800816017771"/>
    <n v="251.8088373602296"/>
    <n v="253.75575256347659"/>
    <n v="5705044"/>
    <n v="-1.04"/>
    <n v="1.27"/>
    <x v="3"/>
    <s v="Q4-2025"/>
  </r>
  <r>
    <d v="2025-12-31T00:00:00"/>
    <x v="6"/>
    <s v="HCLTECH.NS"/>
    <n v="1566.5261468314891"/>
    <n v="1573.4691519202249"/>
    <n v="1559.1009853417579"/>
    <n v="1565.369018554688"/>
    <n v="1359963"/>
    <n v="-0.47"/>
    <n v="8.1"/>
    <x v="3"/>
    <s v="Q4-2025"/>
  </r>
  <r>
    <d v="2025-12-31T00:00:00"/>
    <x v="7"/>
    <s v="BAJFINANCE.NS"/>
    <n v="983.95145738137285"/>
    <n v="988.12580902998695"/>
    <n v="972.42235345877532"/>
    <n v="980.77099609375"/>
    <n v="9895270"/>
    <n v="-1.17"/>
    <n v="7.35"/>
    <x v="3"/>
    <s v="Q4-2025"/>
  </r>
  <r>
    <d v="2025-12-31T00:00:00"/>
    <x v="8"/>
    <s v="MARUTI.NS"/>
    <n v="16416.131925949459"/>
    <n v="16609.193003421271"/>
    <n v="16416.131925949459"/>
    <n v="16530.978515625"/>
    <n v="314427"/>
    <n v="0"/>
    <n v="78.209999999999994"/>
    <x v="3"/>
    <s v="Q4-2025"/>
  </r>
  <r>
    <d v="2025-12-31T00:00:00"/>
    <x v="9"/>
    <s v="TMPV.NS"/>
    <n v="358.77385488470242"/>
    <n v="365.46832211475561"/>
    <n v="357.68289861613289"/>
    <n v="364.32778930664063"/>
    <n v="10439184"/>
    <n v="-0.3"/>
    <n v="1.1399999999999999"/>
    <x v="3"/>
    <s v="Q4-2025"/>
  </r>
  <r>
    <d v="2025-12-31T00:00:00"/>
    <x v="10"/>
    <s v="SUNPHARMA.NS"/>
    <n v="1704.630484283899"/>
    <n v="1709.981633274351"/>
    <n v="1699.973072198306"/>
    <n v="1704.135009765625"/>
    <n v="1428439"/>
    <n v="-0.27"/>
    <n v="5.85"/>
    <x v="3"/>
    <s v="Q4-2025"/>
  </r>
  <r>
    <d v="2025-12-31T00:00:00"/>
    <x v="11"/>
    <s v="ASIANPAINT.NS"/>
    <n v="2731.3031868660009"/>
    <n v="2772.7436974196899"/>
    <n v="2731.2039501881382"/>
    <n v="2745.678466796875"/>
    <n v="1274705"/>
    <n v="0"/>
    <n v="27.07"/>
    <x v="3"/>
    <s v="Q4-2025"/>
  </r>
  <r>
    <d v="2025-12-31T00:00:00"/>
    <x v="12"/>
    <s v="HINDUNILVR.NS"/>
    <n v="2266.9416976265679"/>
    <n v="2302.0842435941422"/>
    <n v="2263.7739671715931"/>
    <n v="2292.580810546875"/>
    <n v="1324220"/>
    <n v="-0.14000000000000001"/>
    <n v="9.5"/>
    <x v="3"/>
    <s v="Q4-2025"/>
  </r>
  <r>
    <d v="2025-12-31T00:00:00"/>
    <x v="13"/>
    <s v="LT.NS"/>
    <n v="4018.7473912496562"/>
    <n v="4054.894330574597"/>
    <n v="4008.844120201727"/>
    <n v="4044.000732421875"/>
    <n v="1160164"/>
    <n v="-0.25"/>
    <n v="10.89"/>
    <x v="3"/>
    <s v="Q4-2025"/>
  </r>
  <r>
    <d v="2025-12-31T00:00:00"/>
    <x v="14"/>
    <s v="AXISBANK.NS"/>
    <n v="1245.039761898465"/>
    <n v="1270.520110155617"/>
    <n v="1244.040532555048"/>
    <n v="1268.421752929688"/>
    <n v="3711090"/>
    <n v="-0.08"/>
    <n v="2.1"/>
    <x v="3"/>
    <s v="Q4-2025"/>
  </r>
  <r>
    <d v="2026-01-01T00:00:00"/>
    <x v="0"/>
    <s v="RELIANCE.NS"/>
    <n v="1566.457230908256"/>
    <n v="1585.17075530426"/>
    <n v="1563.869221323745"/>
    <n v="1568.348510742188"/>
    <n v="6408128"/>
    <n v="-0.17"/>
    <n v="16.82"/>
    <x v="4"/>
    <s v="Q1-2026"/>
  </r>
  <r>
    <d v="2026-01-01T00:00:00"/>
    <x v="1"/>
    <s v="TCS.NS"/>
    <n v="3098.3687791379812"/>
    <n v="3116.7759785957142"/>
    <n v="3082.1781891606702"/>
    <n v="3110.31884765625"/>
    <n v="1255735"/>
    <n v="-0.52"/>
    <n v="6.46"/>
    <x v="4"/>
    <s v="Q1-2026"/>
  </r>
  <r>
    <d v="2026-01-01T00:00:00"/>
    <x v="2"/>
    <s v="INFY.NS"/>
    <n v="1581.184158007412"/>
    <n v="1604.8715288376809"/>
    <n v="1579.911645576683"/>
    <n v="1595.279174804688"/>
    <n v="3658165"/>
    <n v="-0.08"/>
    <n v="9.59"/>
    <x v="4"/>
    <s v="Q1-2026"/>
  </r>
  <r>
    <d v="2026-01-01T00:00:00"/>
    <x v="3"/>
    <s v="HDFCBANK.NS"/>
    <n v="977.33542233691458"/>
    <n v="981.31951547239566"/>
    <n v="973.40050367627271"/>
    <n v="975.023681640625"/>
    <n v="7132074"/>
    <n v="-0.4"/>
    <n v="6.3"/>
    <x v="4"/>
    <s v="Q1-2026"/>
  </r>
  <r>
    <d v="2026-01-01T00:00:00"/>
    <x v="4"/>
    <s v="ICICIBANK.NS"/>
    <n v="1332.665031313395"/>
    <n v="1337.127411350574"/>
    <n v="1324.831051038163"/>
    <n v="1326.814331054688"/>
    <n v="4179311"/>
    <n v="-0.59"/>
    <n v="10.31"/>
    <x v="4"/>
    <s v="Q1-2026"/>
  </r>
  <r>
    <d v="2026-01-01T00:00:00"/>
    <x v="5"/>
    <s v="WIPRO.NS"/>
    <n v="254.93162167792451"/>
    <n v="258.35318744351378"/>
    <n v="254.2087531854541"/>
    <n v="257.67852783203119"/>
    <n v="3639755"/>
    <n v="-0.28000000000000003"/>
    <n v="0.67"/>
    <x v="4"/>
    <s v="Q1-2026"/>
  </r>
  <r>
    <d v="2026-01-01T00:00:00"/>
    <x v="6"/>
    <s v="HCLTECH.NS"/>
    <n v="1564.9833063028959"/>
    <n v="1586.969568071416"/>
    <n v="1560.643898592981"/>
    <n v="1576.169311523438"/>
    <n v="773806"/>
    <n v="-0.28000000000000003"/>
    <n v="10.8"/>
    <x v="4"/>
    <s v="Q1-2026"/>
  </r>
  <r>
    <d v="2026-01-01T00:00:00"/>
    <x v="7"/>
    <s v="BAJFINANCE.NS"/>
    <n v="982.16244357844607"/>
    <n v="982.95754371593785"/>
    <n v="963.07973696738497"/>
    <n v="967.1546630859375"/>
    <n v="7118751"/>
    <n v="-1.94"/>
    <n v="15.8"/>
    <x v="4"/>
    <s v="Q1-2026"/>
  </r>
  <r>
    <d v="2026-01-01T00:00:00"/>
    <x v="8"/>
    <s v="MARUTI.NS"/>
    <n v="16533.94868616456"/>
    <n v="16630.974253304928"/>
    <n v="16436.923119024199"/>
    <n v="16541.869140625"/>
    <n v="171293"/>
    <n v="-0.59"/>
    <n v="89.11"/>
    <x v="4"/>
    <s v="Q1-2026"/>
  </r>
  <r>
    <d v="2026-01-01T00:00:00"/>
    <x v="9"/>
    <s v="TMPV.NS"/>
    <n v="365.81544599714681"/>
    <n v="367.94775171252979"/>
    <n v="362.54257721554058"/>
    <n v="364.526123046875"/>
    <n v="7214281"/>
    <n v="-0.89"/>
    <n v="3.42"/>
    <x v="4"/>
    <s v="Q1-2026"/>
  </r>
  <r>
    <d v="2026-01-01T00:00:00"/>
    <x v="10"/>
    <s v="SUNPHARMA.NS"/>
    <n v="1704.432319135251"/>
    <n v="1710.3780132717691"/>
    <n v="1693.4328091757829"/>
    <n v="1705.522338867188"/>
    <n v="877515"/>
    <n v="-0.65"/>
    <n v="4.8600000000000003"/>
    <x v="4"/>
    <s v="Q1-2026"/>
  </r>
  <r>
    <d v="2026-01-01T00:00:00"/>
    <x v="11"/>
    <s v="ASIANPAINT.NS"/>
    <n v="2752.023432626801"/>
    <n v="2758.7649918963571"/>
    <n v="2722.479946307838"/>
    <n v="2728.3291015625"/>
    <n v="327945"/>
    <n v="-1.07"/>
    <n v="30.44"/>
    <x v="4"/>
    <s v="Q1-2026"/>
  </r>
  <r>
    <d v="2026-01-01T00:00:00"/>
    <x v="12"/>
    <s v="HINDUNILVR.NS"/>
    <n v="2298.6194441455009"/>
    <n v="2302.579167563496"/>
    <n v="2276.8409653465351"/>
    <n v="2299.609375"/>
    <n v="758866"/>
    <n v="-0.95"/>
    <n v="2.97"/>
    <x v="4"/>
    <s v="Q1-2026"/>
  </r>
  <r>
    <d v="2026-01-01T00:00:00"/>
    <x v="13"/>
    <s v="LT.NS"/>
    <n v="4050.4377101160808"/>
    <n v="4106.6880941829459"/>
    <n v="4048.754202455465"/>
    <n v="4100.35009765625"/>
    <n v="1360716"/>
    <n v="-0.04"/>
    <n v="6.34"/>
    <x v="4"/>
    <s v="Q1-2026"/>
  </r>
  <r>
    <d v="2026-01-01T00:00:00"/>
    <x v="14"/>
    <s v="AXISBANK.NS"/>
    <n v="1269.021335005127"/>
    <n v="1278.2141966729339"/>
    <n v="1262.8261615302461"/>
    <n v="1273.41796875"/>
    <n v="2022412"/>
    <n v="-0.49"/>
    <n v="4.8"/>
    <x v="4"/>
    <s v="Q1-2026"/>
  </r>
  <r>
    <d v="2026-01-02T00:00:00"/>
    <x v="0"/>
    <s v="RELIANCE.NS"/>
    <n v="1572.7283614795999"/>
    <n v="1587.2611435561271"/>
    <n v="1570.936597021346"/>
    <n v="1584.971801757812"/>
    <n v="6602230"/>
    <n v="-0.11"/>
    <n v="2.29"/>
    <x v="4"/>
    <s v="Q1-2026"/>
  </r>
  <r>
    <d v="2026-01-02T00:00:00"/>
    <x v="1"/>
    <s v="TCS.NS"/>
    <n v="3116.679557820592"/>
    <n v="3136.2431778593609"/>
    <n v="3102.7055771191699"/>
    <n v="3132.773681640625"/>
    <n v="1184324"/>
    <n v="-0.45"/>
    <n v="3.47"/>
    <x v="4"/>
    <s v="Q1-2026"/>
  </r>
  <r>
    <d v="2026-01-02T00:00:00"/>
    <x v="2"/>
    <s v="INFY.NS"/>
    <n v="1601.24997771874"/>
    <n v="1608.688977997504"/>
    <n v="1593.0278744696909"/>
    <n v="1605.654663085938"/>
    <n v="2524526"/>
    <n v="-0.51"/>
    <n v="3.03"/>
    <x v="4"/>
    <s v="Q1-2026"/>
  </r>
  <r>
    <d v="2026-01-02T00:00:00"/>
    <x v="3"/>
    <s v="HDFCBANK.NS"/>
    <n v="975.02366210589548"/>
    <n v="986.87759232516521"/>
    <n v="972.71186141382941"/>
    <n v="985.3035888671875"/>
    <n v="11751459"/>
    <n v="-0.24"/>
    <n v="1.57"/>
    <x v="4"/>
    <s v="Q1-2026"/>
  </r>
  <r>
    <d v="2026-01-02T00:00:00"/>
    <x v="4"/>
    <s v="ICICIBANK.NS"/>
    <n v="1326.8142878641991"/>
    <n v="1345.5563076202229"/>
    <n v="1325.1285483249501"/>
    <n v="1344.06884765625"/>
    <n v="8226205"/>
    <n v="-0.13"/>
    <n v="1.49"/>
    <x v="4"/>
    <s v="Q1-2026"/>
  </r>
  <r>
    <d v="2026-01-02T00:00:00"/>
    <x v="5"/>
    <s v="WIPRO.NS"/>
    <n v="257.6784942347598"/>
    <n v="262.54579635066949"/>
    <n v="256.52189303217222"/>
    <n v="259.268798828125"/>
    <n v="8286204"/>
    <n v="-0.45"/>
    <n v="3.28"/>
    <x v="4"/>
    <s v="Q1-2026"/>
  </r>
  <r>
    <d v="2026-01-02T00:00:00"/>
    <x v="6"/>
    <s v="HCLTECH.NS"/>
    <n v="1573.758696709966"/>
    <n v="1584.366138905928"/>
    <n v="1567.104913971521"/>
    <n v="1581.666015625"/>
    <n v="950573"/>
    <n v="-0.42"/>
    <n v="2.7"/>
    <x v="4"/>
    <s v="Q1-2026"/>
  </r>
  <r>
    <d v="2026-01-02T00:00:00"/>
    <x v="7"/>
    <s v="BAJFINANCE.NS"/>
    <n v="966.95591862049957"/>
    <n v="988.12577034844026"/>
    <n v="954.73101912906463"/>
    <n v="984.398681640625"/>
    <n v="6206869"/>
    <n v="-1.26"/>
    <n v="3.73"/>
    <x v="4"/>
    <s v="Q1-2026"/>
  </r>
  <r>
    <d v="2026-01-02T00:00:00"/>
    <x v="8"/>
    <s v="MARUTI.NS"/>
    <n v="16583.451353828859"/>
    <n v="16829.9754963425"/>
    <n v="16556.719820303289"/>
    <n v="16791.36328125"/>
    <n v="388562"/>
    <n v="-0.16"/>
    <n v="38.61"/>
    <x v="4"/>
    <s v="Q1-2026"/>
  </r>
  <r>
    <d v="2026-01-02T00:00:00"/>
    <x v="9"/>
    <s v="TMPV.NS"/>
    <n v="366.16259822389532"/>
    <n v="369.83214010904368"/>
    <n v="365.51792157034032"/>
    <n v="367.30313110351563"/>
    <n v="7077536"/>
    <n v="-0.18"/>
    <n v="2.5299999999999998"/>
    <x v="4"/>
    <s v="Q1-2026"/>
  </r>
  <r>
    <d v="2026-01-02T00:00:00"/>
    <x v="10"/>
    <s v="SUNPHARMA.NS"/>
    <n v="1705.5222910229741"/>
    <n v="1716.3236592610681"/>
    <n v="1703.8377261177329"/>
    <n v="1712.35986328125"/>
    <n v="974123"/>
    <n v="-0.1"/>
    <n v="3.96"/>
    <x v="4"/>
    <s v="Q1-2026"/>
  </r>
  <r>
    <d v="2026-01-02T00:00:00"/>
    <x v="11"/>
    <s v="ASIANPAINT.NS"/>
    <n v="2732.0964076433629"/>
    <n v="2774.9247802813702"/>
    <n v="2732.0964076433629"/>
    <n v="2748.751953125"/>
    <n v="508884"/>
    <n v="0"/>
    <n v="26.17"/>
    <x v="4"/>
    <s v="Q1-2026"/>
  </r>
  <r>
    <d v="2026-01-02T00:00:00"/>
    <x v="12"/>
    <s v="HINDUNILVR.NS"/>
    <n v="2302.5791870325138"/>
    <n v="2333.9599470489829"/>
    <n v="2298.6194635810398"/>
    <n v="2324.357666015625"/>
    <n v="973413"/>
    <n v="-0.17"/>
    <n v="9.6"/>
    <x v="4"/>
    <s v="Q1-2026"/>
  </r>
  <r>
    <d v="2026-01-02T00:00:00"/>
    <x v="13"/>
    <s v="LT.NS"/>
    <n v="4098.0728463975311"/>
    <n v="4132.3382622505906"/>
    <n v="4087.1792478265579"/>
    <n v="4123.1279296875"/>
    <n v="984027"/>
    <n v="-0.27"/>
    <n v="9.2100000000000009"/>
    <x v="4"/>
    <s v="Q1-2026"/>
  </r>
  <r>
    <d v="2026-01-02T00:00:00"/>
    <x v="14"/>
    <s v="AXISBANK.NS"/>
    <n v="1272.918311604941"/>
    <n v="1280.8122479783319"/>
    <n v="1263.325734102699"/>
    <n v="1265.923706054688"/>
    <n v="5860547"/>
    <n v="-0.75"/>
    <n v="14.89"/>
    <x v="4"/>
    <s v="Q1-2026"/>
  </r>
  <r>
    <d v="2026-01-05T00:00:00"/>
    <x v="0"/>
    <s v="RELIANCE.NS"/>
    <n v="1585.668485693036"/>
    <n v="1604.3820104615529"/>
    <n v="1568.049995566515"/>
    <n v="1570.837036132812"/>
    <n v="8704973"/>
    <n v="-1.1100000000000001"/>
    <n v="33.54"/>
    <x v="4"/>
    <s v="Q1-2026"/>
  </r>
  <r>
    <d v="2026-01-05T00:00:00"/>
    <x v="1"/>
    <s v="TCS.NS"/>
    <n v="3122.9436970105698"/>
    <n v="3129.2078951375779"/>
    <n v="3075.2394189664342"/>
    <n v="3099.428955078125"/>
    <n v="2341703"/>
    <n v="-1.53"/>
    <n v="29.78"/>
    <x v="4"/>
    <s v="Q1-2026"/>
  </r>
  <r>
    <d v="2026-01-05T00:00:00"/>
    <x v="2"/>
    <s v="INFY.NS"/>
    <n v="1602.3265912739639"/>
    <n v="1602.3265912739639"/>
    <n v="1549.568226955718"/>
    <n v="1572.374755859375"/>
    <n v="5917885"/>
    <n v="-3.29"/>
    <n v="29.95"/>
    <x v="4"/>
    <s v="Q1-2026"/>
  </r>
  <r>
    <d v="2026-01-05T00:00:00"/>
    <x v="3"/>
    <s v="HDFCBANK.NS"/>
    <n v="989.38612767680524"/>
    <n v="990.02557598694659"/>
    <n v="960.41527653333094"/>
    <n v="961.59576416015625"/>
    <n v="27647379"/>
    <n v="-2.93"/>
    <n v="28.43"/>
    <x v="4"/>
    <s v="Q1-2026"/>
  </r>
  <r>
    <d v="2026-01-05T00:00:00"/>
    <x v="4"/>
    <s v="ICICIBANK.NS"/>
    <n v="1342.8787602806369"/>
    <n v="1364.000739453267"/>
    <n v="1341.2921605842889"/>
    <n v="1360.0341796875"/>
    <n v="6920565"/>
    <n v="-0.12"/>
    <n v="3.97"/>
    <x v="4"/>
    <s v="Q1-2026"/>
  </r>
  <r>
    <d v="2026-01-05T00:00:00"/>
    <x v="5"/>
    <s v="WIPRO.NS"/>
    <n v="259.70255406352112"/>
    <n v="259.89530133820671"/>
    <n v="252.23291330341661"/>
    <n v="253.77500915527341"/>
    <n v="7006599"/>
    <n v="-2.88"/>
    <n v="6.12"/>
    <x v="4"/>
    <s v="Q1-2026"/>
  </r>
  <r>
    <d v="2026-01-05T00:00:00"/>
    <x v="6"/>
    <s v="HCLTECH.NS"/>
    <n v="1567.008437856103"/>
    <n v="1575.205097377197"/>
    <n v="1523.710765784238"/>
    <n v="1550.229370117188"/>
    <n v="3245802"/>
    <n v="-2.76"/>
    <n v="24.98"/>
    <x v="4"/>
    <s v="Q1-2026"/>
  </r>
  <r>
    <d v="2026-01-05T00:00:00"/>
    <x v="7"/>
    <s v="BAJFINANCE.NS"/>
    <n v="973.71441062358076"/>
    <n v="993.04559051213289"/>
    <n v="969.04311373772748"/>
    <n v="972.77020263671875"/>
    <n v="10564157"/>
    <n v="-0.48"/>
    <n v="20.28"/>
    <x v="4"/>
    <s v="Q1-2026"/>
  </r>
  <r>
    <d v="2026-01-05T00:00:00"/>
    <x v="8"/>
    <s v="MARUTI.NS"/>
    <n v="16855.716448488962"/>
    <n v="17197.286032907679"/>
    <n v="16811.163893999561"/>
    <n v="16984.423828125"/>
    <n v="305668"/>
    <n v="-0.26"/>
    <n v="212.86"/>
    <x v="4"/>
    <s v="Q1-2026"/>
  </r>
  <r>
    <d v="2026-01-05T00:00:00"/>
    <x v="9"/>
    <s v="TMPV.NS"/>
    <n v="367.30312081933312"/>
    <n v="371.91485901785268"/>
    <n v="366.06340462260692"/>
    <n v="370.47677612304688"/>
    <n v="9591926"/>
    <n v="-0.34"/>
    <n v="1.44"/>
    <x v="4"/>
    <s v="Q1-2026"/>
  </r>
  <r>
    <d v="2026-01-05T00:00:00"/>
    <x v="10"/>
    <s v="SUNPHARMA.NS"/>
    <n v="1712.359952719554"/>
    <n v="1730.197035560383"/>
    <n v="1707.801611297768"/>
    <n v="1713.251831054688"/>
    <n v="1416698"/>
    <n v="-0.27"/>
    <n v="16.95"/>
    <x v="4"/>
    <s v="Q1-2026"/>
  </r>
  <r>
    <d v="2026-01-05T00:00:00"/>
    <x v="11"/>
    <s v="ASIANPAINT.NS"/>
    <n v="2746.174205723587"/>
    <n v="2803.6753262766438"/>
    <n v="2745.182807093362"/>
    <n v="2791.382080078125"/>
    <n v="866733"/>
    <n v="-0.04"/>
    <n v="12.29"/>
    <x v="4"/>
    <s v="Q1-2026"/>
  </r>
  <r>
    <d v="2026-01-05T00:00:00"/>
    <x v="12"/>
    <s v="HINDUNILVR.NS"/>
    <n v="2317.9230873603751"/>
    <n v="2369.8944570321319"/>
    <n v="2312.874343347899"/>
    <n v="2360.09423828125"/>
    <n v="1344113"/>
    <n v="-0.22"/>
    <n v="9.8000000000000007"/>
    <x v="4"/>
    <s v="Q1-2026"/>
  </r>
  <r>
    <d v="2026-01-05T00:00:00"/>
    <x v="13"/>
    <s v="LT.NS"/>
    <n v="4122.6325064743169"/>
    <n v="4154.4221024682411"/>
    <n v="4092.8235646412832"/>
    <n v="4110.25341796875"/>
    <n v="1167460"/>
    <n v="-0.72"/>
    <n v="44.17"/>
    <x v="4"/>
    <s v="Q1-2026"/>
  </r>
  <r>
    <d v="2026-01-05T00:00:00"/>
    <x v="14"/>
    <s v="AXISBANK.NS"/>
    <n v="1273.218045545603"/>
    <n v="1288.7061011587009"/>
    <n v="1269.021330879649"/>
    <n v="1284.809204101562"/>
    <n v="6177100"/>
    <n v="-0.33"/>
    <n v="3.9"/>
    <x v="4"/>
    <s v="Q1-2026"/>
  </r>
  <r>
    <d v="2026-01-06T00:00:00"/>
    <x v="0"/>
    <s v="RELIANCE.NS"/>
    <n v="1561.77894010158"/>
    <n v="1561.77894010158"/>
    <n v="1489.4135782872729"/>
    <n v="1500.661499023438"/>
    <n v="27417125"/>
    <n v="-4.63"/>
    <n v="61.12"/>
    <x v="4"/>
    <s v="Q1-2026"/>
  </r>
  <r>
    <d v="2026-01-06T00:00:00"/>
    <x v="1"/>
    <s v="TCS.NS"/>
    <n v="3093.5501696679089"/>
    <n v="3144.8201752673099"/>
    <n v="3088.7315556964641"/>
    <n v="3137.688720703125"/>
    <n v="2912325"/>
    <n v="-0.16"/>
    <n v="7.13"/>
    <x v="4"/>
    <s v="Q1-2026"/>
  </r>
  <r>
    <d v="2026-01-06T00:00:00"/>
    <x v="2"/>
    <s v="INFY.NS"/>
    <n v="1566.2081943610219"/>
    <n v="1585.588857567396"/>
    <n v="1565.1315174017211"/>
    <n v="1578.051879882812"/>
    <n v="4466729"/>
    <n v="-7.0000000000000007E-2"/>
    <n v="7.54"/>
    <x v="4"/>
    <s v="Q1-2026"/>
  </r>
  <r>
    <d v="2026-01-06T00:00:00"/>
    <x v="3"/>
    <s v="HDFCBANK.NS"/>
    <n v="947.03654255755407"/>
    <n v="950.97146114298732"/>
    <n v="940.44554191853501"/>
    <n v="946.544677734375"/>
    <n v="31988783"/>
    <n v="-0.7"/>
    <n v="4.43"/>
    <x v="4"/>
    <s v="Q1-2026"/>
  </r>
  <r>
    <d v="2026-01-06T00:00:00"/>
    <x v="4"/>
    <s v="ICICIBANK.NS"/>
    <n v="1360.5299848190609"/>
    <n v="1401.78218172315"/>
    <n v="1354.5801452353039"/>
    <n v="1399.402221679688"/>
    <n v="17260416"/>
    <n v="-0.44"/>
    <n v="2.38"/>
    <x v="4"/>
    <s v="Q1-2026"/>
  </r>
  <r>
    <d v="2026-01-06T00:00:00"/>
    <x v="5"/>
    <s v="WIPRO.NS"/>
    <n v="253.7750070466501"/>
    <n v="256.47373359216181"/>
    <n v="253.43769196535479"/>
    <n v="255.9918212890625"/>
    <n v="4083654"/>
    <n v="-0.13"/>
    <n v="0.48"/>
    <x v="4"/>
    <s v="Q1-2026"/>
  </r>
  <r>
    <d v="2026-01-06T00:00:00"/>
    <x v="6"/>
    <s v="HCLTECH.NS"/>
    <n v="1543.1900118458429"/>
    <n v="1567.972806786333"/>
    <n v="1540.2970730879349"/>
    <n v="1558.619018554688"/>
    <n v="2112043"/>
    <n v="-0.19"/>
    <n v="9.35"/>
    <x v="4"/>
    <s v="Q1-2026"/>
  </r>
  <r>
    <d v="2026-01-06T00:00:00"/>
    <x v="7"/>
    <s v="BAJFINANCE.NS"/>
    <n v="972.0247761461352"/>
    <n v="980.96978942355361"/>
    <n v="967.35347930214368"/>
    <n v="971.37872314453125"/>
    <n v="8380183"/>
    <n v="-0.48"/>
    <n v="9.59"/>
    <x v="4"/>
    <s v="Q1-2026"/>
  </r>
  <r>
    <d v="2026-01-06T00:00:00"/>
    <x v="8"/>
    <s v="MARUTI.NS"/>
    <n v="16999.27556818182"/>
    <n v="17133.923295454551"/>
    <n v="16971.553977272732"/>
    <n v="17120.0625"/>
    <n v="192182"/>
    <n v="-0.16"/>
    <n v="13.86"/>
    <x v="4"/>
    <s v="Q1-2026"/>
  </r>
  <r>
    <d v="2026-01-06T00:00:00"/>
    <x v="9"/>
    <s v="TMPV.NS"/>
    <n v="368.44363637341303"/>
    <n v="368.44363637341303"/>
    <n v="357.03824789886602"/>
    <n v="365.86502075195313"/>
    <n v="17493345"/>
    <n v="-3.1"/>
    <n v="2.58"/>
    <x v="4"/>
    <s v="Q1-2026"/>
  </r>
  <r>
    <d v="2026-01-06T00:00:00"/>
    <x v="10"/>
    <s v="SUNPHARMA.NS"/>
    <n v="1710.080691113599"/>
    <n v="1746.646734480094"/>
    <n v="1710.080691113599"/>
    <n v="1744.268432617188"/>
    <n v="1658801"/>
    <n v="0"/>
    <n v="2.38"/>
    <x v="4"/>
    <s v="Q1-2026"/>
  </r>
  <r>
    <d v="2026-01-06T00:00:00"/>
    <x v="11"/>
    <s v="ASIANPAINT.NS"/>
    <n v="2795.744132599465"/>
    <n v="2823.8997568349032"/>
    <n v="2787.416480935653"/>
    <n v="2821.322265625"/>
    <n v="875891"/>
    <n v="-0.3"/>
    <n v="2.58"/>
    <x v="4"/>
    <s v="Q1-2026"/>
  </r>
  <r>
    <d v="2026-01-06T00:00:00"/>
    <x v="12"/>
    <s v="HINDUNILVR.NS"/>
    <n v="2374.6462868016629"/>
    <n v="2403.6513104537198"/>
    <n v="2343.9584289592331"/>
    <n v="2400.285400390625"/>
    <n v="1584720"/>
    <n v="-1.29"/>
    <n v="3.37"/>
    <x v="4"/>
    <s v="Q1-2026"/>
  </r>
  <r>
    <d v="2026-01-06T00:00:00"/>
    <x v="13"/>
    <s v="LT.NS"/>
    <n v="4112.8282987315142"/>
    <n v="4144.5187647944585"/>
    <n v="4089.9516468306979"/>
    <n v="4100.54833984375"/>
    <n v="1205337"/>
    <n v="-0.56000000000000005"/>
    <n v="43.97"/>
    <x v="4"/>
    <s v="Q1-2026"/>
  </r>
  <r>
    <d v="2026-01-06T00:00:00"/>
    <x v="14"/>
    <s v="AXISBANK.NS"/>
    <n v="1303.5945822822939"/>
    <n v="1303.5945822822939"/>
    <n v="1284.4094276018341"/>
    <n v="1292.802978515625"/>
    <n v="6751769"/>
    <n v="-1.47"/>
    <n v="10.79"/>
    <x v="4"/>
    <s v="Q1-2026"/>
  </r>
  <r>
    <d v="2026-01-07T00:00:00"/>
    <x v="0"/>
    <s v="RELIANCE.NS"/>
    <n v="1503.0504545946631"/>
    <n v="1513.0044311151571"/>
    <n v="1491.10568277007"/>
    <n v="1497.277099609375"/>
    <n v="11199340"/>
    <n v="-0.79"/>
    <n v="15.73"/>
    <x v="4"/>
    <s v="Q1-2026"/>
  </r>
  <r>
    <d v="2026-01-07T00:00:00"/>
    <x v="1"/>
    <s v="TCS.NS"/>
    <n v="3125.256542598303"/>
    <n v="3180.8635358265742"/>
    <n v="3106.2712506858779"/>
    <n v="3176.044921875"/>
    <n v="1989442"/>
    <n v="-0.61"/>
    <n v="4.82"/>
    <x v="4"/>
    <s v="Q1-2026"/>
  </r>
  <r>
    <d v="2026-01-07T00:00:00"/>
    <x v="2"/>
    <s v="INFY.NS"/>
    <n v="1580.7926463324391"/>
    <n v="1607.220758685984"/>
    <n v="1580.7926463324391"/>
    <n v="1604.284301757812"/>
    <n v="4508079"/>
    <n v="0"/>
    <n v="2.94"/>
    <x v="4"/>
    <s v="Q1-2026"/>
  </r>
  <r>
    <d v="2026-01-07T00:00:00"/>
    <x v="3"/>
    <s v="HDFCBANK.NS"/>
    <n v="940.44557587559768"/>
    <n v="940.88826624086187"/>
    <n v="930.60827905681526"/>
    <n v="933.608642578125"/>
    <n v="52884712"/>
    <n v="-1.05"/>
    <n v="7.28"/>
    <x v="4"/>
    <s v="Q1-2026"/>
  </r>
  <r>
    <d v="2026-01-07T00:00:00"/>
    <x v="4"/>
    <s v="ICICIBANK.NS"/>
    <n v="1396.2290239898059"/>
    <n v="1417.945962706425"/>
    <n v="1392.460743829005"/>
    <n v="1415.764282226562"/>
    <n v="15813795"/>
    <n v="-0.27"/>
    <n v="2.1800000000000002"/>
    <x v="4"/>
    <s v="Q1-2026"/>
  </r>
  <r>
    <d v="2026-01-07T00:00:00"/>
    <x v="5"/>
    <s v="WIPRO.NS"/>
    <n v="255.4135216542962"/>
    <n v="262.64220622941781"/>
    <n v="254.9316093492881"/>
    <n v="261.00369262695313"/>
    <n v="10242615"/>
    <n v="-0.19"/>
    <n v="1.64"/>
    <x v="4"/>
    <s v="Q1-2026"/>
  </r>
  <r>
    <d v="2026-01-07T00:00:00"/>
    <x v="6"/>
    <s v="HCLTECH.NS"/>
    <n v="1562.9583926368221"/>
    <n v="1595.455690223662"/>
    <n v="1559.004615582644"/>
    <n v="1588.898315429688"/>
    <n v="3816569"/>
    <n v="-0.25"/>
    <n v="6.56"/>
    <x v="4"/>
    <s v="Q1-2026"/>
  </r>
  <r>
    <d v="2026-01-07T00:00:00"/>
    <x v="7"/>
    <s v="BAJFINANCE.NS"/>
    <n v="967.10501553150732"/>
    <n v="970.48426706536486"/>
    <n v="959.15389254572892"/>
    <n v="962.8809814453125"/>
    <n v="7048491"/>
    <n v="-0.82"/>
    <n v="7.6"/>
    <x v="4"/>
    <s v="Q1-2026"/>
  </r>
  <r>
    <d v="2026-01-07T00:00:00"/>
    <x v="8"/>
    <s v="MARUTI.NS"/>
    <n v="17058.679159276649"/>
    <n v="17077.490239022809"/>
    <n v="16359.699038182671"/>
    <n v="16641.865234375"/>
    <n v="427979"/>
    <n v="-4.0999999999999996"/>
    <n v="435.63"/>
    <x v="4"/>
    <s v="Q1-2026"/>
  </r>
  <r>
    <d v="2026-01-07T00:00:00"/>
    <x v="9"/>
    <s v="TMPV.NS"/>
    <n v="364.03025963380031"/>
    <n v="364.22862633609412"/>
    <n v="356.24486596616811"/>
    <n v="360.3607177734375"/>
    <n v="10682229"/>
    <n v="-2.14"/>
    <n v="3.87"/>
    <x v="4"/>
    <s v="Q1-2026"/>
  </r>
  <r>
    <d v="2026-01-07T00:00:00"/>
    <x v="10"/>
    <s v="SUNPHARMA.NS"/>
    <n v="1739.115529492828"/>
    <n v="1790.248474713884"/>
    <n v="1732.6743608650761"/>
    <n v="1766.465698242188"/>
    <n v="3059500"/>
    <n v="-0.37"/>
    <n v="23.78"/>
    <x v="4"/>
    <s v="Q1-2026"/>
  </r>
  <r>
    <d v="2026-01-07T00:00:00"/>
    <x v="11"/>
    <s v="ASIANPAINT.NS"/>
    <n v="2821.322161393437"/>
    <n v="2830.1455120455671"/>
    <n v="2777.0066927411872"/>
    <n v="2785.235107421875"/>
    <n v="636748"/>
    <n v="-1.57"/>
    <n v="44.91"/>
    <x v="4"/>
    <s v="Q1-2026"/>
  </r>
  <r>
    <d v="2026-01-07T00:00:00"/>
    <x v="12"/>
    <s v="HINDUNILVR.NS"/>
    <n v="2391.6729390547889"/>
    <n v="2397.5134344101748"/>
    <n v="2358.015290078024"/>
    <n v="2375.239990234375"/>
    <n v="892690"/>
    <n v="-1.41"/>
    <n v="22.27"/>
    <x v="4"/>
    <s v="Q1-2026"/>
  </r>
  <r>
    <d v="2026-01-07T00:00:00"/>
    <x v="13"/>
    <s v="LT.NS"/>
    <n v="4066.2833534738088"/>
    <n v="4139.5675639358305"/>
    <n v="4054.3994274529409"/>
    <n v="4116.7900390625"/>
    <n v="1213160"/>
    <n v="-0.28999999999999998"/>
    <n v="22.78"/>
    <x v="4"/>
    <s v="Q1-2026"/>
  </r>
  <r>
    <d v="2026-01-07T00:00:00"/>
    <x v="14"/>
    <s v="AXISBANK.NS"/>
    <n v="1292.0036354433009"/>
    <n v="1297.9990119418781"/>
    <n v="1283.0105706954359"/>
    <n v="1294.501708984375"/>
    <n v="5440002"/>
    <n v="-0.7"/>
    <n v="3.5"/>
    <x v="4"/>
    <s v="Q1-2026"/>
  </r>
  <r>
    <d v="2026-01-08T00:00:00"/>
    <x v="0"/>
    <s v="RELIANCE.NS"/>
    <n v="1493.096502867274"/>
    <n v="1496.97857807643"/>
    <n v="1462.0401442110369"/>
    <n v="1463.831787109375"/>
    <n v="16518684"/>
    <n v="-2.08"/>
    <n v="33.15"/>
    <x v="4"/>
    <s v="Q1-2026"/>
  </r>
  <r>
    <d v="2026-01-08T00:00:00"/>
    <x v="1"/>
    <s v="TCS.NS"/>
    <n v="3167.6601287029762"/>
    <n v="3167.6601287029762"/>
    <n v="3066.565709027404"/>
    <n v="3087.671142578125"/>
    <n v="4159336"/>
    <n v="-3.19"/>
    <n v="79.989999999999995"/>
    <x v="4"/>
    <s v="Q1-2026"/>
  </r>
  <r>
    <d v="2026-01-08T00:00:00"/>
    <x v="2"/>
    <s v="INFY.NS"/>
    <n v="1604.1864033686149"/>
    <n v="1609.472049603195"/>
    <n v="1574.5281413468899"/>
    <n v="1579.128662109375"/>
    <n v="3942131"/>
    <n v="-1.85"/>
    <n v="30.34"/>
    <x v="4"/>
    <s v="Q1-2026"/>
  </r>
  <r>
    <d v="2026-01-08T00:00:00"/>
    <x v="3"/>
    <s v="HDFCBANK.NS"/>
    <n v="929.3294156929511"/>
    <n v="937.49435980878525"/>
    <n v="926.08311984473903"/>
    <n v="931.296875"/>
    <n v="21928849"/>
    <n v="-0.35"/>
    <n v="6.2"/>
    <x v="4"/>
    <s v="Q1-2026"/>
  </r>
  <r>
    <d v="2026-01-08T00:00:00"/>
    <x v="4"/>
    <s v="ICICIBANK.NS"/>
    <n v="1417.0535778936189"/>
    <n v="1430.1431776389841"/>
    <n v="1411.401278242168"/>
    <n v="1423.00341796875"/>
    <n v="14861699"/>
    <n v="-0.4"/>
    <n v="7.14"/>
    <x v="4"/>
    <s v="Q1-2026"/>
  </r>
  <r>
    <d v="2026-01-08T00:00:00"/>
    <x v="5"/>
    <s v="WIPRO.NS"/>
    <n v="261.10008508223967"/>
    <n v="261.10008508223967"/>
    <n v="251.8955716770777"/>
    <n v="252.71482849121091"/>
    <n v="9269522"/>
    <n v="-3.53"/>
    <n v="8.39"/>
    <x v="4"/>
    <s v="Q1-2026"/>
  </r>
  <r>
    <d v="2026-01-08T00:00:00"/>
    <x v="6"/>
    <s v="HCLTECH.NS"/>
    <n v="1594.2985190902191"/>
    <n v="1601.337932430645"/>
    <n v="1577.037295130752"/>
    <n v="1587.933959960938"/>
    <n v="3266398"/>
    <n v="-1.08"/>
    <n v="13.4"/>
    <x v="4"/>
    <s v="Q1-2026"/>
  </r>
  <r>
    <d v="2026-01-08T00:00:00"/>
    <x v="7"/>
    <s v="BAJFINANCE.NS"/>
    <n v="962.58278497772199"/>
    <n v="972.37258046711202"/>
    <n v="959.40232378804012"/>
    <n v="966.01171875"/>
    <n v="4410256"/>
    <n v="-0.33"/>
    <n v="6.36"/>
    <x v="4"/>
    <s v="Q1-2026"/>
  </r>
  <r>
    <d v="2026-01-08T00:00:00"/>
    <x v="8"/>
    <s v="MARUTI.NS"/>
    <n v="16640.874820908841"/>
    <n v="16640.874820908841"/>
    <n v="16376.529653299211"/>
    <n v="16498.306640625"/>
    <n v="238421"/>
    <n v="-1.59"/>
    <n v="142.57"/>
    <x v="4"/>
    <s v="Q1-2026"/>
  </r>
  <r>
    <d v="2026-01-08T00:00:00"/>
    <x v="9"/>
    <s v="TMPV.NS"/>
    <n v="360.3110994837254"/>
    <n v="362.34425218467129"/>
    <n v="355.05471497202768"/>
    <n v="356.4927978515625"/>
    <n v="7353203"/>
    <n v="-1.46"/>
    <n v="5.85"/>
    <x v="4"/>
    <s v="Q1-2026"/>
  </r>
  <r>
    <d v="2026-01-08T00:00:00"/>
    <x v="10"/>
    <s v="SUNPHARMA.NS"/>
    <n v="1750.0159942827249"/>
    <n v="1762.5019279197361"/>
    <n v="1741.79106891322"/>
    <n v="1744.763916015625"/>
    <n v="1910656"/>
    <n v="-0.47"/>
    <n v="17.739999999999998"/>
    <x v="4"/>
    <s v="Q1-2026"/>
  </r>
  <r>
    <d v="2026-01-08T00:00:00"/>
    <x v="11"/>
    <s v="ASIANPAINT.NS"/>
    <n v="2770.9591147468818"/>
    <n v="2780.5756328550419"/>
    <n v="2746.273386175963"/>
    <n v="2762.5322265625"/>
    <n v="620031"/>
    <n v="-0.89"/>
    <n v="18.04"/>
    <x v="4"/>
    <s v="Q1-2026"/>
  </r>
  <r>
    <d v="2026-01-08T00:00:00"/>
    <x v="12"/>
    <s v="HINDUNILVR.NS"/>
    <n v="2364.9448580967751"/>
    <n v="2393.751943204461"/>
    <n v="2344.2553995021431"/>
    <n v="2362.66796875"/>
    <n v="1163828"/>
    <n v="-0.87"/>
    <n v="31.08"/>
    <x v="4"/>
    <s v="Q1-2026"/>
  </r>
  <r>
    <d v="2026-01-08T00:00:00"/>
    <x v="13"/>
    <s v="LT.NS"/>
    <n v="4119.7607368484723"/>
    <n v="4129.5648784288614"/>
    <n v="3952.6926033998802"/>
    <n v="3989.43359375"/>
    <n v="2328813"/>
    <n v="-4.0599999999999996"/>
    <n v="140.13"/>
    <x v="4"/>
    <s v="Q1-2026"/>
  </r>
  <r>
    <d v="2026-01-08T00:00:00"/>
    <x v="14"/>
    <s v="AXISBANK.NS"/>
    <n v="1290.104962539207"/>
    <n v="1302.1956130273211"/>
    <n v="1282.8106616217649"/>
    <n v="1285.808349609375"/>
    <n v="3949654"/>
    <n v="-0.56999999999999995"/>
    <n v="16.39"/>
    <x v="4"/>
    <s v="Q1-2026"/>
  </r>
  <r>
    <d v="2026-01-09T00:00:00"/>
    <x v="0"/>
    <s v="RELIANCE.NS"/>
    <n v="1458.2576091430019"/>
    <n v="1473.089058957489"/>
    <n v="1458.2576091430019"/>
    <n v="1468.51025390625"/>
    <n v="8335311"/>
    <n v="0"/>
    <n v="4.58"/>
    <x v="4"/>
    <s v="Q1-2026"/>
  </r>
  <r>
    <d v="2026-01-09T00:00:00"/>
    <x v="1"/>
    <s v="TCS.NS"/>
    <n v="3075.239584998998"/>
    <n v="3112.5356118812542"/>
    <n v="3075.239584998998"/>
    <n v="3091.43017578125"/>
    <n v="1938673"/>
    <n v="0"/>
    <n v="21.11"/>
    <x v="4"/>
    <s v="Q1-2026"/>
  </r>
  <r>
    <d v="2026-01-09T00:00:00"/>
    <x v="2"/>
    <s v="INFY.NS"/>
    <n v="1575.8984873520981"/>
    <n v="1596.7473784879789"/>
    <n v="1572.962030543368"/>
    <n v="1579.91162109375"/>
    <n v="6816681"/>
    <n v="-0.19"/>
    <n v="16.84"/>
    <x v="4"/>
    <s v="Q1-2026"/>
  </r>
  <r>
    <d v="2026-01-09T00:00:00"/>
    <x v="3"/>
    <s v="HDFCBANK.NS"/>
    <n v="929.62454603883782"/>
    <n v="935.13340822074861"/>
    <n v="918.11489679374756"/>
    <n v="923.72216796875"/>
    <n v="38183839"/>
    <n v="-1.24"/>
    <n v="11.41"/>
    <x v="4"/>
    <s v="Q1-2026"/>
  </r>
  <r>
    <d v="2026-01-09T00:00:00"/>
    <x v="4"/>
    <s v="ICICIBANK.NS"/>
    <n v="1415.1693772847859"/>
    <n v="1417.549337423264"/>
    <n v="1389.783418257226"/>
    <n v="1392.56005859375"/>
    <n v="12555636"/>
    <n v="-1.79"/>
    <n v="24.99"/>
    <x v="4"/>
    <s v="Q1-2026"/>
  </r>
  <r>
    <d v="2026-01-09T00:00:00"/>
    <x v="5"/>
    <s v="WIPRO.NS"/>
    <n v="251.89557628471201"/>
    <n v="254.4015262387725"/>
    <n v="251.02813998888931"/>
    <n v="252.473876953125"/>
    <n v="4735387"/>
    <n v="-0.34"/>
    <n v="1.93"/>
    <x v="4"/>
    <s v="Q1-2026"/>
  </r>
  <r>
    <d v="2026-01-09T00:00:00"/>
    <x v="6"/>
    <s v="HCLTECH.NS"/>
    <n v="1588.3196543103199"/>
    <n v="1615.2240060736849"/>
    <n v="1588.3196543103199"/>
    <n v="1602.109375"/>
    <n v="3281306"/>
    <n v="0"/>
    <n v="13.11"/>
    <x v="4"/>
    <s v="Q1-2026"/>
  </r>
  <r>
    <d v="2026-01-09T00:00:00"/>
    <x v="7"/>
    <s v="BAJFINANCE.NS"/>
    <n v="964.17296988485828"/>
    <n v="976.99417920751739"/>
    <n v="947.87320512350743"/>
    <n v="953.73712158203125"/>
    <n v="7598970"/>
    <n v="-1.69"/>
    <n v="23.26"/>
    <x v="4"/>
    <s v="Q1-2026"/>
  </r>
  <r>
    <d v="2026-01-09T00:00:00"/>
    <x v="8"/>
    <s v="MARUTI.NS"/>
    <n v="16497.31694066363"/>
    <n v="16537.90927065026"/>
    <n v="16253.762960743859"/>
    <n v="16336.927734375"/>
    <n v="286302"/>
    <n v="-1.48"/>
    <n v="200.98"/>
    <x v="4"/>
    <s v="Q1-2026"/>
  </r>
  <r>
    <d v="2026-01-09T00:00:00"/>
    <x v="9"/>
    <s v="TMPV.NS"/>
    <n v="355.0547211249978"/>
    <n v="356.79032381206139"/>
    <n v="349.30245004019082"/>
    <n v="351.23638916015619"/>
    <n v="8018768"/>
    <n v="-1.62"/>
    <n v="5.55"/>
    <x v="4"/>
    <s v="Q1-2026"/>
  </r>
  <r>
    <d v="2026-01-09T00:00:00"/>
    <x v="10"/>
    <s v="SUNPHARMA.NS"/>
    <n v="1749.223226983451"/>
    <n v="1749.223226983451"/>
    <n v="1711.3690213932471"/>
    <n v="1714.242797851562"/>
    <n v="1585689"/>
    <n v="-2.16"/>
    <n v="34.979999999999997"/>
    <x v="4"/>
    <s v="Q1-2026"/>
  </r>
  <r>
    <d v="2026-01-09T00:00:00"/>
    <x v="11"/>
    <s v="ASIANPAINT.NS"/>
    <n v="2765.9028899511432"/>
    <n v="2832.1283656204942"/>
    <n v="2762.2347634960079"/>
    <n v="2801.19677734375"/>
    <n v="1657381"/>
    <n v="-0.13"/>
    <n v="30.93"/>
    <x v="4"/>
    <s v="Q1-2026"/>
  </r>
  <r>
    <d v="2026-01-09T00:00:00"/>
    <x v="12"/>
    <s v="HINDUNILVR.NS"/>
    <n v="2358.01521397547"/>
    <n v="2361.9749372567062"/>
    <n v="2337.2266667489871"/>
    <n v="2348.7099609375"/>
    <n v="1189464"/>
    <n v="-0.88"/>
    <n v="13.26"/>
    <x v="4"/>
    <s v="Q1-2026"/>
  </r>
  <r>
    <d v="2026-01-09T00:00:00"/>
    <x v="13"/>
    <s v="LT.NS"/>
    <n v="3990.027939824176"/>
    <n v="4054.3992021941358"/>
    <n v="3967.4484332832039"/>
    <n v="3986.2646484375"/>
    <n v="1718127"/>
    <n v="-0.56999999999999995"/>
    <n v="68.13"/>
    <x v="4"/>
    <s v="Q1-2026"/>
  </r>
  <r>
    <d v="2026-01-09T00:00:00"/>
    <x v="14"/>
    <s v="AXISBANK.NS"/>
    <n v="1285.808419052019"/>
    <n v="1294.3018688089539"/>
    <n v="1269.121215167356"/>
    <n v="1271.019775390625"/>
    <n v="5531427"/>
    <n v="-1.3"/>
    <n v="23.28"/>
    <x v="4"/>
    <s v="Q1-2026"/>
  </r>
  <r>
    <d v="2026-01-12T00:00:00"/>
    <x v="0"/>
    <s v="RELIANCE.NS"/>
    <n v="1468.5102348906721"/>
    <n v="1478.4642116159971"/>
    <n v="1444.322022844729"/>
    <n v="1476.373779296875"/>
    <n v="8883745"/>
    <n v="-1.65"/>
    <n v="2.09"/>
    <x v="4"/>
    <s v="Q1-2026"/>
  </r>
  <r>
    <d v="2026-01-12T00:00:00"/>
    <x v="1"/>
    <s v="TCS.NS"/>
    <n v="3086.8040681109819"/>
    <n v="3134.0264843886712"/>
    <n v="3059.1452713479689"/>
    <n v="3122.076416015625"/>
    <n v="2228342"/>
    <n v="-0.9"/>
    <n v="11.95"/>
    <x v="4"/>
    <s v="Q1-2026"/>
  </r>
  <r>
    <d v="2026-01-12T00:00:00"/>
    <x v="2"/>
    <s v="INFY.NS"/>
    <n v="1575.996349102621"/>
    <n v="1579.128641396901"/>
    <n v="1558.867017677559"/>
    <n v="1562.09716796875"/>
    <n v="6985362"/>
    <n v="-1.0900000000000001"/>
    <n v="17.03"/>
    <x v="4"/>
    <s v="Q1-2026"/>
  </r>
  <r>
    <d v="2026-01-12T00:00:00"/>
    <x v="3"/>
    <s v="HDFCBANK.NS"/>
    <n v="922.24654466888103"/>
    <n v="926.67332808329161"/>
    <n v="914.47505643563409"/>
    <n v="921.70550537109375"/>
    <n v="21071666"/>
    <n v="-0.84"/>
    <n v="4.97"/>
    <x v="4"/>
    <s v="Q1-2026"/>
  </r>
  <r>
    <d v="2026-01-12T00:00:00"/>
    <x v="4"/>
    <s v="ICICIBANK.NS"/>
    <n v="1388.196778146837"/>
    <n v="1412.392816926452"/>
    <n v="1380.065257997649"/>
    <n v="1401.286376953125"/>
    <n v="10923811"/>
    <n v="-0.59"/>
    <n v="11.11"/>
    <x v="4"/>
    <s v="Q1-2026"/>
  </r>
  <r>
    <d v="2026-01-12T00:00:00"/>
    <x v="5"/>
    <s v="WIPRO.NS"/>
    <n v="251.26908695640981"/>
    <n v="254.9316086997018"/>
    <n v="249.67875282306099"/>
    <n v="253.58226013183591"/>
    <n v="3802164"/>
    <n v="-0.63"/>
    <n v="1.35"/>
    <x v="4"/>
    <s v="Q1-2026"/>
  </r>
  <r>
    <d v="2026-01-12T00:00:00"/>
    <x v="6"/>
    <s v="HCLTECH.NS"/>
    <n v="1599.987883032742"/>
    <n v="1617.3455148686451"/>
    <n v="1582.9195921463611"/>
    <n v="1608.088134765625"/>
    <n v="4175707"/>
    <n v="-1.07"/>
    <n v="9.26"/>
    <x v="4"/>
    <s v="Q1-2026"/>
  </r>
  <r>
    <d v="2026-01-12T00:00:00"/>
    <x v="7"/>
    <s v="BAJFINANCE.NS"/>
    <n v="952.94203538892225"/>
    <n v="955.5261866418798"/>
    <n v="934.1078015204165"/>
    <n v="946.084228515625"/>
    <n v="5640136"/>
    <n v="-1.98"/>
    <n v="9.44"/>
    <x v="4"/>
    <s v="Q1-2026"/>
  </r>
  <r>
    <d v="2026-01-12T00:00:00"/>
    <x v="8"/>
    <s v="MARUTI.NS"/>
    <n v="16292.37394275419"/>
    <n v="16449.792966629859"/>
    <n v="16109.21344327622"/>
    <n v="16417.12109375"/>
    <n v="288686"/>
    <n v="-1.1200000000000001"/>
    <n v="32.67"/>
    <x v="4"/>
    <s v="Q1-2026"/>
  </r>
  <r>
    <d v="2026-01-12T00:00:00"/>
    <x v="9"/>
    <s v="TMPV.NS"/>
    <n v="350.04626432936749"/>
    <n v="351.23637367383282"/>
    <n v="344.78984969182972"/>
    <n v="347.66598510742188"/>
    <n v="9771562"/>
    <n v="-1.5"/>
    <n v="3.57"/>
    <x v="4"/>
    <s v="Q1-2026"/>
  </r>
  <r>
    <d v="2026-01-12T00:00:00"/>
    <x v="10"/>
    <s v="SUNPHARMA.NS"/>
    <n v="1716.422750266818"/>
    <n v="1728.5124007275131"/>
    <n v="1698.585668146688"/>
    <n v="1720.287475585938"/>
    <n v="2327272"/>
    <n v="-1.04"/>
    <n v="8.2200000000000006"/>
    <x v="4"/>
    <s v="Q1-2026"/>
  </r>
  <r>
    <d v="2026-01-12T00:00:00"/>
    <x v="11"/>
    <s v="ASIANPAINT.NS"/>
    <n v="2801.6924515836349"/>
    <n v="2875.0559481926898"/>
    <n v="2783.8472767327839"/>
    <n v="2871.48681640625"/>
    <n v="1743901"/>
    <n v="-0.64"/>
    <n v="3.57"/>
    <x v="4"/>
    <s v="Q1-2026"/>
  </r>
  <r>
    <d v="2026-01-12T00:00:00"/>
    <x v="12"/>
    <s v="HINDUNILVR.NS"/>
    <n v="2338.2167823092909"/>
    <n v="2389.594099269651"/>
    <n v="2337.2268514107691"/>
    <n v="2381.9716796875"/>
    <n v="1057665"/>
    <n v="-0.04"/>
    <n v="7.62"/>
    <x v="4"/>
    <s v="Q1-2026"/>
  </r>
  <r>
    <d v="2026-01-12T00:00:00"/>
    <x v="13"/>
    <s v="LT.NS"/>
    <n v="3987.0570458048878"/>
    <n v="3987.9482435148202"/>
    <n v="3906.1473672252209"/>
    <n v="3980.124755859375"/>
    <n v="1386513"/>
    <n v="-2.0299999999999998"/>
    <n v="7.82"/>
    <x v="4"/>
    <s v="Q1-2026"/>
  </r>
  <r>
    <d v="2026-01-12T00:00:00"/>
    <x v="14"/>
    <s v="AXISBANK.NS"/>
    <n v="1273.717632264347"/>
    <n v="1278.6138805845731"/>
    <n v="1265.5240002007999"/>
    <n v="1273.218017578125"/>
    <n v="6489750"/>
    <n v="-0.64"/>
    <n v="5.4"/>
    <x v="4"/>
    <s v="Q1-2026"/>
  </r>
  <r>
    <d v="2026-01-13T00:00:00"/>
    <x v="0"/>
    <s v="RELIANCE.NS"/>
    <n v="1478.1655255904841"/>
    <n v="1478.9618923221501"/>
    <n v="1438.0509512757719"/>
    <n v="1446.11376953125"/>
    <n v="13499760"/>
    <n v="-2.71"/>
    <n v="32.85"/>
    <x v="4"/>
    <s v="Q1-2026"/>
  </r>
  <r>
    <d v="2026-01-13T00:00:00"/>
    <x v="1"/>
    <s v="TCS.NS"/>
    <n v="3127.2804209827059"/>
    <n v="3161.0107182814409"/>
    <n v="3094.0319850739529"/>
    <n v="3149.446044921875"/>
    <n v="5645341"/>
    <n v="-1.06"/>
    <n v="11.56"/>
    <x v="4"/>
    <s v="Q1-2026"/>
  </r>
  <r>
    <d v="2026-01-13T00:00:00"/>
    <x v="2"/>
    <s v="INFY.NS"/>
    <n v="1583.7290294043639"/>
    <n v="1583.7290294043639"/>
    <n v="1552.7983751003351"/>
    <n v="1565.131469726562"/>
    <n v="8080618"/>
    <n v="-1.95"/>
    <n v="18.600000000000001"/>
    <x v="4"/>
    <s v="Q1-2026"/>
  </r>
  <r>
    <d v="2026-01-13T00:00:00"/>
    <x v="3"/>
    <s v="HDFCBANK.NS"/>
    <n v="932.28063731942257"/>
    <n v="932.28063731942257"/>
    <n v="917.42628300547051"/>
    <n v="922.0989990234375"/>
    <n v="32042827"/>
    <n v="-1.59"/>
    <n v="10.18"/>
    <x v="4"/>
    <s v="Q1-2026"/>
  </r>
  <r>
    <d v="2026-01-13T00:00:00"/>
    <x v="4"/>
    <s v="ICICIBANK.NS"/>
    <n v="1408.1288141663399"/>
    <n v="1429.7466148037461"/>
    <n v="1399.3031938675899"/>
    <n v="1424.986694335938"/>
    <n v="14295581"/>
    <n v="-0.63"/>
    <n v="4.76"/>
    <x v="4"/>
    <s v="Q1-2026"/>
  </r>
  <r>
    <d v="2026-01-13T00:00:00"/>
    <x v="5"/>
    <s v="WIPRO.NS"/>
    <n v="253.91960286282921"/>
    <n v="255.26895142131909"/>
    <n v="251.84735644009939"/>
    <n v="254.64247131347659"/>
    <n v="6931244"/>
    <n v="-0.82"/>
    <n v="0.63"/>
    <x v="4"/>
    <s v="Q1-2026"/>
  </r>
  <r>
    <d v="2026-01-13T00:00:00"/>
    <x v="6"/>
    <s v="HCLTECH.NS"/>
    <n v="1624.8670665294201"/>
    <n v="1637.0173842556301"/>
    <n v="1567.972611380912"/>
    <n v="1605.580810546875"/>
    <n v="7149266"/>
    <n v="-3.5"/>
    <n v="31.44"/>
    <x v="4"/>
    <s v="Q1-2026"/>
  </r>
  <r>
    <d v="2026-01-13T00:00:00"/>
    <x v="7"/>
    <s v="BAJFINANCE.NS"/>
    <n v="944.19585570645904"/>
    <n v="950.01009013196028"/>
    <n v="933.26306158775276"/>
    <n v="943.20196533203125"/>
    <n v="6765116"/>
    <n v="-1.1599999999999999"/>
    <n v="6.81"/>
    <x v="4"/>
    <s v="Q1-2026"/>
  </r>
  <r>
    <d v="2026-01-13T00:00:00"/>
    <x v="8"/>
    <s v="MARUTI.NS"/>
    <n v="16496.326254275809"/>
    <n v="16559.689888909921"/>
    <n v="16130.995298338479"/>
    <n v="16262.6728515625"/>
    <n v="312205"/>
    <n v="-2.21"/>
    <n v="297.02"/>
    <x v="4"/>
    <s v="Q1-2026"/>
  </r>
  <r>
    <d v="2026-01-13T00:00:00"/>
    <x v="9"/>
    <s v="TMPV.NS"/>
    <n v="347.76517871263741"/>
    <n v="349.00489489959722"/>
    <n v="342.75673742392348"/>
    <n v="346.87258911132813"/>
    <n v="7527115"/>
    <n v="-1.44"/>
    <n v="2.13"/>
    <x v="4"/>
    <s v="Q1-2026"/>
  </r>
  <r>
    <d v="2026-01-13T00:00:00"/>
    <x v="10"/>
    <s v="SUNPHARMA.NS"/>
    <n v="1727.2240857083741"/>
    <n v="1728.016893284783"/>
    <n v="1696.603737792743"/>
    <n v="1713.053466796875"/>
    <n v="1770082"/>
    <n v="-1.77"/>
    <n v="14.96"/>
    <x v="4"/>
    <s v="Q1-2026"/>
  </r>
  <r>
    <d v="2026-01-13T00:00:00"/>
    <x v="11"/>
    <s v="ASIANPAINT.NS"/>
    <n v="2875.0559895993028"/>
    <n v="2889.4312695473"/>
    <n v="2846.1071983880261"/>
    <n v="2861.473876953125"/>
    <n v="1051986"/>
    <n v="-1.01"/>
    <n v="27.96"/>
    <x v="4"/>
    <s v="Q1-2026"/>
  </r>
  <r>
    <d v="2026-01-13T00:00:00"/>
    <x v="12"/>
    <s v="HINDUNILVR.NS"/>
    <n v="2390.7820229613649"/>
    <n v="2397.8103867825121"/>
    <n v="2341.18639214614"/>
    <n v="2365.439697265625"/>
    <n v="1519683"/>
    <n v="-2.0699999999999998"/>
    <n v="32.369999999999997"/>
    <x v="4"/>
    <s v="Q1-2026"/>
  </r>
  <r>
    <d v="2026-01-13T00:00:00"/>
    <x v="13"/>
    <s v="LT.NS"/>
    <n v="3989.037699297673"/>
    <n v="3989.037699297673"/>
    <n v="3799.8852165355452"/>
    <n v="3849.797607421875"/>
    <n v="4978634"/>
    <n v="-4.74"/>
    <n v="139.24"/>
    <x v="4"/>
    <s v="Q1-2026"/>
  </r>
  <r>
    <d v="2026-01-13T00:00:00"/>
    <x v="14"/>
    <s v="AXISBANK.NS"/>
    <n v="1273.0182182686831"/>
    <n v="1283.010511975659"/>
    <n v="1257.729960106514"/>
    <n v="1261.027465820312"/>
    <n v="5163166"/>
    <n v="-1.2"/>
    <n v="21.98"/>
    <x v="4"/>
    <s v="Q1-2026"/>
  </r>
  <r>
    <d v="2026-01-14T00:00:00"/>
    <x v="0"/>
    <s v="RELIANCE.NS"/>
    <n v="1437.354247399061"/>
    <n v="1460.248393998907"/>
    <n v="1433.5716876182919"/>
    <n v="1452.086181640625"/>
    <n v="8321764"/>
    <n v="-0.26"/>
    <n v="8.16"/>
    <x v="4"/>
    <s v="Q1-2026"/>
  </r>
  <r>
    <d v="2026-01-14T00:00:00"/>
    <x v="1"/>
    <s v="TCS.NS"/>
    <n v="3141.7360987054622"/>
    <n v="3141.7360987054622"/>
    <n v="3067.5294485213149"/>
    <n v="3076.684814453125"/>
    <n v="3539511"/>
    <n v="-2.36"/>
    <n v="65.05"/>
    <x v="4"/>
    <s v="Q1-2026"/>
  </r>
  <r>
    <d v="2026-01-14T00:00:00"/>
    <x v="2"/>
    <s v="INFY.NS"/>
    <n v="1554.364439769924"/>
    <n v="1582.7501883551431"/>
    <n v="1549.568203180992"/>
    <n v="1565.91455078125"/>
    <n v="7557157"/>
    <n v="-0.31"/>
    <n v="16.84"/>
    <x v="4"/>
    <s v="Q1-2026"/>
  </r>
  <r>
    <d v="2026-01-14T00:00:00"/>
    <x v="3"/>
    <s v="HDFCBANK.NS"/>
    <n v="914.86859717015057"/>
    <n v="924.75506838921558"/>
    <n v="905.22805836967962"/>
    <n v="910.39263916015625"/>
    <n v="36688248"/>
    <n v="-1.05"/>
    <n v="14.36"/>
    <x v="4"/>
    <s v="Q1-2026"/>
  </r>
  <r>
    <d v="2026-01-14T00:00:00"/>
    <x v="4"/>
    <s v="ICICIBANK.NS"/>
    <n v="1413.6818734015881"/>
    <n v="1431.828932712564"/>
    <n v="1403.0713744699051"/>
    <n v="1406.542114257812"/>
    <n v="13832255"/>
    <n v="-0.75"/>
    <n v="25.29"/>
    <x v="4"/>
    <s v="Q1-2026"/>
  </r>
  <r>
    <d v="2026-01-14T00:00:00"/>
    <x v="5"/>
    <s v="WIPRO.NS"/>
    <n v="254.4497075731208"/>
    <n v="254.4497075731208"/>
    <n v="250.20888499628759"/>
    <n v="250.78718566894531"/>
    <n v="5625861"/>
    <n v="-1.67"/>
    <n v="3.66"/>
    <x v="4"/>
    <s v="Q1-2026"/>
  </r>
  <r>
    <d v="2026-01-14T00:00:00"/>
    <x v="6"/>
    <s v="HCLTECH.NS"/>
    <n v="1605.580837763031"/>
    <n v="1618.02049662543"/>
    <n v="1590.3446481929659"/>
    <n v="1608.955932617188"/>
    <n v="2470615"/>
    <n v="-0.95"/>
    <n v="9.06"/>
    <x v="4"/>
    <s v="Q1-2026"/>
  </r>
  <r>
    <d v="2026-01-14T00:00:00"/>
    <x v="7"/>
    <s v="BAJFINANCE.NS"/>
    <n v="941.21416600181499"/>
    <n v="948.07203371488151"/>
    <n v="937.38771240071094"/>
    <n v="940.17059326171875"/>
    <n v="4452202"/>
    <n v="-0.41"/>
    <n v="7.9"/>
    <x v="4"/>
    <s v="Q1-2026"/>
  </r>
  <r>
    <d v="2026-01-14T00:00:00"/>
    <x v="8"/>
    <s v="MARUTI.NS"/>
    <n v="16227.030979740321"/>
    <n v="16248.81222937755"/>
    <n v="15930.01393923256"/>
    <n v="15991.3974609375"/>
    <n v="240043"/>
    <n v="-1.83"/>
    <n v="257.41000000000003"/>
    <x v="4"/>
    <s v="Q1-2026"/>
  </r>
  <r>
    <d v="2026-01-14T00:00:00"/>
    <x v="9"/>
    <s v="TMPV.NS"/>
    <n v="346.12877388951517"/>
    <n v="351.08763884495238"/>
    <n v="344.24441125975102"/>
    <n v="346.92218017578119"/>
    <n v="6249594"/>
    <n v="-0.54"/>
    <n v="4.17"/>
    <x v="4"/>
    <s v="Q1-2026"/>
  </r>
  <r>
    <d v="2026-01-14T00:00:00"/>
    <x v="10"/>
    <s v="SUNPHARMA.NS"/>
    <n v="1721.377576575032"/>
    <n v="1721.377576575032"/>
    <n v="1673.9110927211291"/>
    <n v="1685.307006835938"/>
    <n v="2479677"/>
    <n v="-2.76"/>
    <n v="36.07"/>
    <x v="4"/>
    <s v="Q1-2026"/>
  </r>
  <r>
    <d v="2026-01-14T00:00:00"/>
    <x v="11"/>
    <s v="ASIANPAINT.NS"/>
    <n v="2859.193674606754"/>
    <n v="2859.193674606754"/>
    <n v="2783.1534474107511"/>
    <n v="2789.696533203125"/>
    <n v="958254"/>
    <n v="-2.66"/>
    <n v="69.5"/>
    <x v="4"/>
    <s v="Q1-2026"/>
  </r>
  <r>
    <d v="2026-01-14T00:00:00"/>
    <x v="12"/>
    <s v="HINDUNILVR.NS"/>
    <n v="2374.7450098298482"/>
    <n v="2374.7450098298482"/>
    <n v="2317.428110518576"/>
    <n v="2329.80224609375"/>
    <n v="1027639"/>
    <n v="-2.41"/>
    <n v="44.94"/>
    <x v="4"/>
    <s v="Q1-2026"/>
  </r>
  <r>
    <d v="2026-01-14T00:00:00"/>
    <x v="13"/>
    <s v="LT.NS"/>
    <n v="3862.2758783975341"/>
    <n v="3867.1283847126028"/>
    <n v="3819.2957768726428"/>
    <n v="3828.40673828125"/>
    <n v="1914244"/>
    <n v="-1.1100000000000001"/>
    <n v="38.72"/>
    <x v="4"/>
    <s v="Q1-2026"/>
  </r>
  <r>
    <d v="2026-01-14T00:00:00"/>
    <x v="14"/>
    <s v="AXISBANK.NS"/>
    <n v="1254.032897797603"/>
    <n v="1306.992056031286"/>
    <n v="1252.5340536966489"/>
    <n v="1297.799194335938"/>
    <n v="7776704"/>
    <n v="-0.12"/>
    <n v="9.19"/>
    <x v="4"/>
    <s v="Q1-2026"/>
  </r>
  <r>
    <d v="2026-01-16T00:00:00"/>
    <x v="0"/>
    <s v="RELIANCE.NS"/>
    <n v="1452.086189834373"/>
    <n v="1473.188572129035"/>
    <n v="1448.4031454989461"/>
    <n v="1451.190307617188"/>
    <n v="17167161"/>
    <n v="-0.25"/>
    <n v="22"/>
    <x v="4"/>
    <s v="Q1-2026"/>
  </r>
  <r>
    <d v="2026-01-16T00:00:00"/>
    <x v="1"/>
    <s v="TCS.NS"/>
    <n v="3159.011044440284"/>
    <n v="3161.4641499415152"/>
    <n v="3111.5190177608938"/>
    <n v="3146.54931640625"/>
    <n v="4293470"/>
    <n v="-1.5"/>
    <n v="14.91"/>
    <x v="4"/>
    <s v="Q1-2026"/>
  </r>
  <r>
    <d v="2026-01-16T00:00:00"/>
    <x v="2"/>
    <s v="INFY.NS"/>
    <n v="1628.4610307331891"/>
    <n v="1658.1192925556761"/>
    <n v="1618.3792672921979"/>
    <n v="1654.00830078125"/>
    <n v="19335957"/>
    <n v="-0.62"/>
    <n v="4.1100000000000003"/>
    <x v="4"/>
    <s v="Q1-2026"/>
  </r>
  <r>
    <d v="2026-01-16T00:00:00"/>
    <x v="3"/>
    <s v="HDFCBANK.NS"/>
    <n v="906.99876749754276"/>
    <n v="920.72180858035517"/>
    <n v="904.24433639425558"/>
    <n v="915.95068359375"/>
    <n v="37780235"/>
    <n v="-0.3"/>
    <n v="4.7699999999999996"/>
    <x v="4"/>
    <s v="Q1-2026"/>
  </r>
  <r>
    <d v="2026-01-16T00:00:00"/>
    <x v="4"/>
    <s v="ICICIBANK.NS"/>
    <n v="1406.0463569783969"/>
    <n v="1417.053536586569"/>
    <n v="1388.4942566385209"/>
    <n v="1399.005737304688"/>
    <n v="12530886"/>
    <n v="-1.25"/>
    <n v="18.05"/>
    <x v="4"/>
    <s v="Q1-2026"/>
  </r>
  <r>
    <d v="2026-01-16T00:00:00"/>
    <x v="5"/>
    <s v="WIPRO.NS"/>
    <n v="253.72682723776731"/>
    <n v="260.03986663437161"/>
    <n v="253.48587108654439"/>
    <n v="257.77490234375"/>
    <n v="12028289"/>
    <n v="-0.09"/>
    <n v="2.2599999999999998"/>
    <x v="4"/>
    <s v="Q1-2026"/>
  </r>
  <r>
    <d v="2026-01-16T00:00:00"/>
    <x v="6"/>
    <s v="HCLTECH.NS"/>
    <n v="1622.0685339254819"/>
    <n v="1652.0816820090629"/>
    <n v="1617.017829030963"/>
    <n v="1649.264892578125"/>
    <n v="3098089"/>
    <n v="-0.31"/>
    <n v="2.82"/>
    <x v="4"/>
    <s v="Q1-2026"/>
  </r>
  <r>
    <d v="2026-01-16T00:00:00"/>
    <x v="7"/>
    <s v="BAJFINANCE.NS"/>
    <n v="934.45568933653715"/>
    <n v="957.11637645983376"/>
    <n v="931.07643798963943"/>
    <n v="944.44427490234375"/>
    <n v="10710080"/>
    <n v="-0.36"/>
    <n v="12.67"/>
    <x v="4"/>
    <s v="Q1-2026"/>
  </r>
  <r>
    <d v="2026-01-16T00:00:00"/>
    <x v="8"/>
    <s v="MARUTI.NS"/>
    <n v="15840.908553502741"/>
    <n v="16035.949740067739"/>
    <n v="15613.19549304614"/>
    <n v="15701.310546875"/>
    <n v="703056"/>
    <n v="-1.44"/>
    <n v="334.64"/>
    <x v="4"/>
    <s v="Q1-2026"/>
  </r>
  <r>
    <d v="2026-01-16T00:00:00"/>
    <x v="9"/>
    <s v="TMPV.NS"/>
    <n v="346.82300955239589"/>
    <n v="356.74073896176952"/>
    <n v="346.77340274544417"/>
    <n v="350.69091796875"/>
    <n v="10735620"/>
    <n v="-0.01"/>
    <n v="6.05"/>
    <x v="4"/>
    <s v="Q1-2026"/>
  </r>
  <r>
    <d v="2026-01-16T00:00:00"/>
    <x v="10"/>
    <s v="SUNPHARMA.NS"/>
    <n v="1692.5410061961161"/>
    <n v="1692.5410061961161"/>
    <n v="1644.281835026241"/>
    <n v="1653.794921875"/>
    <n v="3697596"/>
    <n v="-2.85"/>
    <n v="38.75"/>
    <x v="4"/>
    <s v="Q1-2026"/>
  </r>
  <r>
    <d v="2026-01-16T00:00:00"/>
    <x v="11"/>
    <s v="ASIANPAINT.NS"/>
    <n v="2763.920124898385"/>
    <n v="2802.1882085714979"/>
    <n v="2726.8419132056979"/>
    <n v="2733.186767578125"/>
    <n v="1143463"/>
    <n v="-1.34"/>
    <n v="69"/>
    <x v="4"/>
    <s v="Q1-2026"/>
  </r>
  <r>
    <d v="2026-01-16T00:00:00"/>
    <x v="12"/>
    <s v="HINDUNILVR.NS"/>
    <n v="2346.136245865051"/>
    <n v="2349.0069488178542"/>
    <n v="2325.2486070875739"/>
    <n v="2336.6328125"/>
    <n v="1367606"/>
    <n v="-0.89"/>
    <n v="12.37"/>
    <x v="4"/>
    <s v="Q1-2026"/>
  </r>
  <r>
    <d v="2026-01-16T00:00:00"/>
    <x v="13"/>
    <s v="LT.NS"/>
    <n v="3852.3725000813511"/>
    <n v="3876.140350981595"/>
    <n v="3811.471941634697"/>
    <n v="3819.097412109375"/>
    <n v="1807300"/>
    <n v="-1.06"/>
    <n v="57.04"/>
    <x v="4"/>
    <s v="Q1-2026"/>
  </r>
  <r>
    <d v="2026-01-16T00:00:00"/>
    <x v="14"/>
    <s v="AXISBANK.NS"/>
    <n v="1297.799189525633"/>
    <n v="1307.9912805838401"/>
    <n v="1285.5086191528719"/>
    <n v="1293.20263671875"/>
    <n v="5175495"/>
    <n v="-0.95"/>
    <n v="14.79"/>
    <x v="4"/>
    <s v="Q1-2026"/>
  </r>
  <r>
    <d v="2026-01-19T00:00:00"/>
    <x v="0"/>
    <s v="RELIANCE.NS"/>
    <n v="1443.923829849143"/>
    <n v="1443.923829849143"/>
    <n v="1396.8415931572961"/>
    <n v="1407.094116210938"/>
    <n v="20392765"/>
    <n v="-3.26"/>
    <n v="36.83"/>
    <x v="4"/>
    <s v="Q1-2026"/>
  </r>
  <r>
    <d v="2026-01-19T00:00:00"/>
    <x v="1"/>
    <s v="TCS.NS"/>
    <n v="3128.2002715520312"/>
    <n v="3159.600023336744"/>
    <n v="3092.9737708429939"/>
    <n v="3104.258056640625"/>
    <n v="3387562"/>
    <n v="-1.1299999999999999"/>
    <n v="55.34"/>
    <x v="4"/>
    <s v="Q1-2026"/>
  </r>
  <r>
    <d v="2026-01-19T00:00:00"/>
    <x v="2"/>
    <s v="INFY.NS"/>
    <n v="1649.3098917471841"/>
    <n v="1649.3098917471841"/>
    <n v="1631.2017416004051"/>
    <n v="1645.59033203125"/>
    <n v="5104958"/>
    <n v="-1.1000000000000001"/>
    <n v="3.72"/>
    <x v="4"/>
    <s v="Q1-2026"/>
  </r>
  <r>
    <d v="2026-01-19T00:00:00"/>
    <x v="3"/>
    <s v="HDFCBANK.NS"/>
    <n v="920.67263286154821"/>
    <n v="920.91856528190419"/>
    <n v="904.53944206935682"/>
    <n v="912.80279541015625"/>
    <n v="38191942"/>
    <n v="-1.75"/>
    <n v="8.1199999999999992"/>
    <x v="4"/>
    <s v="Q1-2026"/>
  </r>
  <r>
    <d v="2026-01-19T00:00:00"/>
    <x v="4"/>
    <s v="ICICIBANK.NS"/>
    <n v="1388.196805129289"/>
    <n v="1388.295944915395"/>
    <n v="1348.630346489241"/>
    <n v="1369.05810546875"/>
    <n v="23302883"/>
    <n v="-2.85"/>
    <n v="19.239999999999998"/>
    <x v="4"/>
    <s v="Q1-2026"/>
  </r>
  <r>
    <d v="2026-01-19T00:00:00"/>
    <x v="5"/>
    <s v="WIPRO.NS"/>
    <n v="242.88379986846229"/>
    <n v="242.88379986846229"/>
    <n v="232.81183571210161"/>
    <n v="237.05265808105469"/>
    <n v="65833247"/>
    <n v="-4.1500000000000004"/>
    <n v="5.83"/>
    <x v="4"/>
    <s v="Q1-2026"/>
  </r>
  <r>
    <d v="2026-01-19T00:00:00"/>
    <x v="6"/>
    <s v="HCLTECH.NS"/>
    <n v="1649.264930539804"/>
    <n v="1669.6621999987769"/>
    <n v="1636.735155587377"/>
    <n v="1667.525390625"/>
    <n v="2087629"/>
    <n v="-0.76"/>
    <n v="2.14"/>
    <x v="4"/>
    <s v="Q1-2026"/>
  </r>
  <r>
    <d v="2026-01-19T00:00:00"/>
    <x v="7"/>
    <s v="BAJFINANCE.NS"/>
    <n v="944.69274394655224"/>
    <n v="966.9559112565895"/>
    <n v="943.05280066270211"/>
    <n v="963.5269775390625"/>
    <n v="7000442"/>
    <n v="-0.17"/>
    <n v="3.43"/>
    <x v="4"/>
    <s v="Q1-2026"/>
  </r>
  <r>
    <d v="2026-01-19T00:00:00"/>
    <x v="8"/>
    <s v="MARUTI.NS"/>
    <n v="15701.311166584081"/>
    <n v="16080.50293004973"/>
    <n v="15655.768552695259"/>
    <n v="16015.1591796875"/>
    <n v="385141"/>
    <n v="-0.28999999999999998"/>
    <n v="65.34"/>
    <x v="4"/>
    <s v="Q1-2026"/>
  </r>
  <r>
    <d v="2026-01-19T00:00:00"/>
    <x v="9"/>
    <s v="TMPV.NS"/>
    <n v="350.69091763465161"/>
    <n v="350.69091763465161"/>
    <n v="335.56638029976591"/>
    <n v="341.16989135742188"/>
    <n v="14364958"/>
    <n v="-4.3099999999999996"/>
    <n v="9.52"/>
    <x v="4"/>
    <s v="Q1-2026"/>
  </r>
  <r>
    <d v="2026-01-19T00:00:00"/>
    <x v="10"/>
    <s v="SUNPHARMA.NS"/>
    <n v="1635.065953596524"/>
    <n v="1672.0284020246179"/>
    <n v="1585.5185004572349"/>
    <n v="1660.236083984375"/>
    <n v="2975272"/>
    <n v="-3.03"/>
    <n v="11.79"/>
    <x v="4"/>
    <s v="Q1-2026"/>
  </r>
  <r>
    <d v="2026-01-19T00:00:00"/>
    <x v="11"/>
    <s v="ASIANPAINT.NS"/>
    <n v="2733.1867267262619"/>
    <n v="2762.3339910381019"/>
    <n v="2701.2637399433961"/>
    <n v="2730.311767578125"/>
    <n v="1342048"/>
    <n v="-1.17"/>
    <n v="32.020000000000003"/>
    <x v="4"/>
    <s v="Q1-2026"/>
  </r>
  <r>
    <d v="2026-01-19T00:00:00"/>
    <x v="12"/>
    <s v="HINDUNILVR.NS"/>
    <n v="2329.3073017458501"/>
    <n v="2400.9781989727871"/>
    <n v="2329.3073017458501"/>
    <n v="2389.593994140625"/>
    <n v="1505238"/>
    <n v="0"/>
    <n v="11.38"/>
    <x v="4"/>
    <s v="Q1-2026"/>
  </r>
  <r>
    <d v="2026-01-19T00:00:00"/>
    <x v="13"/>
    <s v="LT.NS"/>
    <n v="3783.0495812141048"/>
    <n v="3840.8845880477361"/>
    <n v="3771.6608193858428"/>
    <n v="3832.367919921875"/>
    <n v="1709380"/>
    <n v="-0.3"/>
    <n v="8.52"/>
    <x v="4"/>
    <s v="Q1-2026"/>
  </r>
  <r>
    <d v="2026-01-19T00:00:00"/>
    <x v="14"/>
    <s v="AXISBANK.NS"/>
    <n v="1305.9928169440129"/>
    <n v="1325.9774048084971"/>
    <n v="1296.1004215558451"/>
    <n v="1306.492431640625"/>
    <n v="8833223"/>
    <n v="-0.76"/>
    <n v="19.48"/>
    <x v="4"/>
    <s v="Q1-2026"/>
  </r>
  <r>
    <d v="2026-01-20T00:00:00"/>
    <x v="0"/>
    <s v="RELIANCE.NS"/>
    <n v="1404.207443054835"/>
    <n v="1409.483099303937"/>
    <n v="1383.602759909938"/>
    <n v="1387.584350585938"/>
    <n v="13189498"/>
    <n v="-1.47"/>
    <n v="21.9"/>
    <x v="4"/>
    <s v="Q1-2026"/>
  </r>
  <r>
    <d v="2026-01-20T00:00:00"/>
    <x v="1"/>
    <s v="TCS.NS"/>
    <n v="3092.4832014713102"/>
    <n v="3100.725540628287"/>
    <n v="3033.118044759914"/>
    <n v="3044.10791015625"/>
    <n v="4499273"/>
    <n v="-1.92"/>
    <n v="56.62"/>
    <x v="4"/>
    <s v="Q1-2026"/>
  </r>
  <r>
    <d v="2026-01-20T00:00:00"/>
    <x v="2"/>
    <s v="INFY.NS"/>
    <n v="1637.5641409981631"/>
    <n v="1644.6115898062919"/>
    <n v="1617.8899035477921"/>
    <n v="1623.762817382812"/>
    <n v="6406503"/>
    <n v="-1.2"/>
    <n v="20.85"/>
    <x v="4"/>
    <s v="Q1-2026"/>
  </r>
  <r>
    <d v="2026-01-20T00:00:00"/>
    <x v="3"/>
    <s v="HDFCBANK.NS"/>
    <n v="914.17996189302221"/>
    <n v="919.29536813827247"/>
    <n v="904.63777217359097"/>
    <n v="916.049072265625"/>
    <n v="36022727"/>
    <n v="-1.04"/>
    <n v="3.25"/>
    <x v="4"/>
    <s v="Q1-2026"/>
  </r>
  <r>
    <d v="2026-01-20T00:00:00"/>
    <x v="4"/>
    <s v="ICICIBANK.NS"/>
    <n v="1363.2074390203591"/>
    <n v="1376.198019664281"/>
    <n v="1360.0342394881391"/>
    <n v="1364.29833984375"/>
    <n v="15012785"/>
    <n v="-0.23"/>
    <n v="11.9"/>
    <x v="4"/>
    <s v="Q1-2026"/>
  </r>
  <r>
    <d v="2026-01-20T00:00:00"/>
    <x v="5"/>
    <s v="WIPRO.NS"/>
    <n v="237.0526535159328"/>
    <n v="237.10084768649659"/>
    <n v="230.73959954877461"/>
    <n v="231.22151184082031"/>
    <n v="16796201"/>
    <n v="-2.66"/>
    <n v="5.88"/>
    <x v="4"/>
    <s v="Q1-2026"/>
  </r>
  <r>
    <d v="2026-01-20T00:00:00"/>
    <x v="6"/>
    <s v="HCLTECH.NS"/>
    <n v="1670.6334850729561"/>
    <n v="1670.6334850729561"/>
    <n v="1633.529928354418"/>
    <n v="1638.8720703125"/>
    <n v="1739341"/>
    <n v="-2.2200000000000002"/>
    <n v="31.76"/>
    <x v="4"/>
    <s v="Q1-2026"/>
  </r>
  <r>
    <d v="2026-01-20T00:00:00"/>
    <x v="7"/>
    <s v="BAJFINANCE.NS"/>
    <n v="969.73881342083371"/>
    <n v="969.73881342083371"/>
    <n v="922.23086747028242"/>
    <n v="927.49847412109375"/>
    <n v="9001207"/>
    <n v="-4.9000000000000004"/>
    <n v="42.24"/>
    <x v="4"/>
    <s v="Q1-2026"/>
  </r>
  <r>
    <d v="2026-01-20T00:00:00"/>
    <x v="8"/>
    <s v="MARUTI.NS"/>
    <n v="16038.92054511855"/>
    <n v="16071.59242030305"/>
    <n v="15692.40065679809"/>
    <n v="15721.1123046875"/>
    <n v="289609"/>
    <n v="-2.16"/>
    <n v="350.48"/>
    <x v="4"/>
    <s v="Q1-2026"/>
  </r>
  <r>
    <d v="2026-01-20T00:00:00"/>
    <x v="9"/>
    <s v="TMPV.NS"/>
    <n v="342.01290622220739"/>
    <n v="343.74850887639212"/>
    <n v="333.97953931239391"/>
    <n v="335.07049560546881"/>
    <n v="11541904"/>
    <n v="-2.35"/>
    <n v="8.68"/>
    <x v="4"/>
    <s v="Q1-2026"/>
  </r>
  <r>
    <d v="2026-01-20T00:00:00"/>
    <x v="10"/>
    <s v="SUNPHARMA.NS"/>
    <n v="1658.9477578382621"/>
    <n v="1658.9477578382621"/>
    <n v="1588.2931641139501"/>
    <n v="1599.193603515625"/>
    <n v="5019166"/>
    <n v="-4.26"/>
    <n v="59.75"/>
    <x v="4"/>
    <s v="Q1-2026"/>
  </r>
  <r>
    <d v="2026-01-20T00:00:00"/>
    <x v="11"/>
    <s v="ASIANPAINT.NS"/>
    <n v="2716.432154439653"/>
    <n v="2716.5313911155731"/>
    <n v="2646.3403220744722"/>
    <n v="2652.586181640625"/>
    <n v="911151"/>
    <n v="-2.58"/>
    <n v="63.95"/>
    <x v="4"/>
    <s v="Q1-2026"/>
  </r>
  <r>
    <d v="2026-01-20T00:00:00"/>
    <x v="12"/>
    <s v="HINDUNILVR.NS"/>
    <n v="2398.6023979573092"/>
    <n v="2414.4412912166231"/>
    <n v="2344.651167792772"/>
    <n v="2355.14453125"/>
    <n v="1460806"/>
    <n v="-2.25"/>
    <n v="59.3"/>
    <x v="4"/>
    <s v="Q1-2026"/>
  </r>
  <r>
    <d v="2026-01-20T00:00:00"/>
    <x v="13"/>
    <s v="LT.NS"/>
    <n v="3820.6821411437149"/>
    <n v="3836.8245220295071"/>
    <n v="3763.2431664971791"/>
    <n v="3773.6416015625"/>
    <n v="1658119"/>
    <n v="-1.5"/>
    <n v="63.18"/>
    <x v="4"/>
    <s v="Q1-2026"/>
  </r>
  <r>
    <d v="2026-01-20T00:00:00"/>
    <x v="14"/>
    <s v="AXISBANK.NS"/>
    <n v="1305.0934393364209"/>
    <n v="1309.889789042553"/>
    <n v="1289.0058710771409"/>
    <n v="1292.503173828125"/>
    <n v="6268527"/>
    <n v="-1.23"/>
    <n v="17.39"/>
    <x v="4"/>
    <s v="Q1-2026"/>
  </r>
  <r>
    <d v="2026-01-21T00:00:00"/>
    <x v="0"/>
    <s v="RELIANCE.NS"/>
    <n v="1383.1051387726379"/>
    <n v="1406.3974698374061"/>
    <n v="1366.681076311502"/>
    <n v="1398.135620117188"/>
    <n v="17352720"/>
    <n v="-1.19"/>
    <n v="8.26"/>
    <x v="4"/>
    <s v="Q1-2026"/>
  </r>
  <r>
    <d v="2026-01-21T00:00:00"/>
    <x v="1"/>
    <s v="TCS.NS"/>
    <n v="3041.850929268337"/>
    <n v="3079.6287553253792"/>
    <n v="3024.188569033875"/>
    <n v="3064.027099609375"/>
    <n v="2015150"/>
    <n v="-0.57999999999999996"/>
    <n v="15.6"/>
    <x v="4"/>
    <s v="Q1-2026"/>
  </r>
  <r>
    <d v="2026-01-21T00:00:00"/>
    <x v="2"/>
    <s v="INFY.NS"/>
    <n v="1616.030145847606"/>
    <n v="1621.9030597634669"/>
    <n v="1596.6494821313711"/>
    <n v="1619.358154296875"/>
    <n v="6224582"/>
    <n v="-1.2"/>
    <n v="2.54"/>
    <x v="4"/>
    <s v="Q1-2026"/>
  </r>
  <r>
    <d v="2026-01-21T00:00:00"/>
    <x v="3"/>
    <s v="HDFCBANK.NS"/>
    <n v="909.94991615499521"/>
    <n v="916.98360709130054"/>
    <n v="900.60448458367364"/>
    <n v="905.37554931640625"/>
    <n v="32766854"/>
    <n v="-1.03"/>
    <n v="11.61"/>
    <x v="4"/>
    <s v="Q1-2026"/>
  </r>
  <r>
    <d v="2026-01-21T00:00:00"/>
    <x v="4"/>
    <s v="ICICIBANK.NS"/>
    <n v="1356.067629079628"/>
    <n v="1360.034188872183"/>
    <n v="1328.3017105317449"/>
    <n v="1337.722290039062"/>
    <n v="21766068"/>
    <n v="-2.0499999999999998"/>
    <n v="22.31"/>
    <x v="4"/>
    <s v="Q1-2026"/>
  </r>
  <r>
    <d v="2026-01-21T00:00:00"/>
    <x v="5"/>
    <s v="WIPRO.NS"/>
    <n v="231.22153085790319"/>
    <n v="233.8238692144192"/>
    <n v="229.00474589760759"/>
    <n v="230.88420104980469"/>
    <n v="14397792"/>
    <n v="-0.96"/>
    <n v="2.94"/>
    <x v="4"/>
    <s v="Q1-2026"/>
  </r>
  <r>
    <d v="2026-01-21T00:00:00"/>
    <x v="6"/>
    <s v="HCLTECH.NS"/>
    <n v="1639.1633154048779"/>
    <n v="1646.2538418405479"/>
    <n v="1621.000080986629"/>
    <n v="1634.209716796875"/>
    <n v="1728435"/>
    <n v="-1.1100000000000001"/>
    <n v="12.04"/>
    <x v="4"/>
    <s v="Q1-2026"/>
  </r>
  <r>
    <d v="2026-01-21T00:00:00"/>
    <x v="7"/>
    <s v="BAJFINANCE.NS"/>
    <n v="919.34857968176323"/>
    <n v="941.51232249731618"/>
    <n v="915.37301825611235"/>
    <n v="930.52984619140625"/>
    <n v="5375254"/>
    <n v="-0.43"/>
    <n v="10.98"/>
    <x v="4"/>
    <s v="Q1-2026"/>
  </r>
  <r>
    <d v="2026-01-21T00:00:00"/>
    <x v="8"/>
    <s v="MARUTI.NS"/>
    <n v="15519.140889730799"/>
    <n v="15814.177826581819"/>
    <n v="15519.140889730799"/>
    <n v="15613.1962890625"/>
    <n v="345738"/>
    <n v="0"/>
    <n v="200.98"/>
    <x v="4"/>
    <s v="Q1-2026"/>
  </r>
  <r>
    <d v="2026-01-21T00:00:00"/>
    <x v="9"/>
    <s v="TMPV.NS"/>
    <n v="333.23572218128231"/>
    <n v="340.87238625454052"/>
    <n v="333.18614563875201"/>
    <n v="336.458984375"/>
    <n v="9873473"/>
    <n v="-0.01"/>
    <n v="4.41"/>
    <x v="4"/>
    <s v="Q1-2026"/>
  </r>
  <r>
    <d v="2026-01-21T00:00:00"/>
    <x v="10"/>
    <s v="SUNPHARMA.NS"/>
    <n v="1622.183605886893"/>
    <n v="1630.1111983408309"/>
    <n v="1593.1487501381639"/>
    <n v="1598.3017578125"/>
    <n v="3947877"/>
    <n v="-1.79"/>
    <n v="31.81"/>
    <x v="4"/>
    <s v="Q1-2026"/>
  </r>
  <r>
    <d v="2026-01-21T00:00:00"/>
    <x v="11"/>
    <s v="ASIANPAINT.NS"/>
    <n v="2647.034288311434"/>
    <n v="2664.8794632888148"/>
    <n v="2625.2235188946361"/>
    <n v="2638.2109375"/>
    <n v="914318"/>
    <n v="-0.82"/>
    <n v="26.67"/>
    <x v="4"/>
    <s v="Q1-2026"/>
  </r>
  <r>
    <d v="2026-01-21T00:00:00"/>
    <x v="12"/>
    <s v="HINDUNILVR.NS"/>
    <n v="2355.1445790948101"/>
    <n v="2376.3290025865708"/>
    <n v="2336.23680320946"/>
    <n v="2344.15625"/>
    <n v="1020245"/>
    <n v="-0.8"/>
    <n v="32.17"/>
    <x v="4"/>
    <s v="Q1-2026"/>
  </r>
  <r>
    <d v="2026-01-21T00:00:00"/>
    <x v="13"/>
    <s v="LT.NS"/>
    <n v="3763.2430975582438"/>
    <n v="3792.9529114863349"/>
    <n v="3685.9975813452061"/>
    <n v="3730.067138671875"/>
    <n v="2537185"/>
    <n v="-2.0499999999999998"/>
    <n v="62.89"/>
    <x v="4"/>
    <s v="Q1-2026"/>
  </r>
  <r>
    <d v="2026-01-21T00:00:00"/>
    <x v="14"/>
    <s v="AXISBANK.NS"/>
    <n v="1289.0058352249371"/>
    <n v="1296.6998522726069"/>
    <n v="1266.4232767705071"/>
    <n v="1283.909790039062"/>
    <n v="3854702"/>
    <n v="-1.75"/>
    <n v="12.79"/>
    <x v="4"/>
    <s v="Q1-2026"/>
  </r>
  <r>
    <d v="2026-01-22T00:00:00"/>
    <x v="0"/>
    <s v="RELIANCE.NS"/>
    <n v="1403.6102863792109"/>
    <n v="1412.967049153646"/>
    <n v="1388.579805261948"/>
    <n v="1396.045288085938"/>
    <n v="15721693"/>
    <n v="-1.07"/>
    <n v="16.920000000000002"/>
    <x v="4"/>
    <s v="Q1-2026"/>
  </r>
  <r>
    <d v="2026-01-22T00:00:00"/>
    <x v="1"/>
    <s v="TCS.NS"/>
    <n v="3090.913018855028"/>
    <n v="3100.7254411371082"/>
    <n v="3063.7326570458858"/>
    <n v="3091.305419921875"/>
    <n v="2269827"/>
    <n v="-0.88"/>
    <n v="9.42"/>
    <x v="4"/>
    <s v="Q1-2026"/>
  </r>
  <r>
    <d v="2026-01-22T00:00:00"/>
    <x v="2"/>
    <s v="INFY.NS"/>
    <n v="1630.7124283208409"/>
    <n v="1635.802239246794"/>
    <n v="1618.770884502783"/>
    <n v="1628.265380859375"/>
    <n v="6228892"/>
    <n v="-0.73"/>
    <n v="7.54"/>
    <x v="4"/>
    <s v="Q1-2026"/>
  </r>
  <r>
    <d v="2026-01-22T00:00:00"/>
    <x v="3"/>
    <s v="HDFCBANK.NS"/>
    <n v="912.90111514225271"/>
    <n v="913.19622202881544"/>
    <n v="898.34192833159227"/>
    <n v="903.75244140625"/>
    <n v="44444755"/>
    <n v="-1.59"/>
    <n v="9.44"/>
    <x v="4"/>
    <s v="Q1-2026"/>
  </r>
  <r>
    <d v="2026-01-22T00:00:00"/>
    <x v="4"/>
    <s v="ICICIBANK.NS"/>
    <n v="1343.771306468037"/>
    <n v="1346.647086606687"/>
    <n v="1326.814287098488"/>
    <n v="1334.251586914062"/>
    <n v="17179765"/>
    <n v="-1.26"/>
    <n v="12.4"/>
    <x v="4"/>
    <s v="Q1-2026"/>
  </r>
  <r>
    <d v="2026-01-22T00:00:00"/>
    <x v="5"/>
    <s v="WIPRO.NS"/>
    <n v="233.245550793159"/>
    <n v="234.1129870414895"/>
    <n v="230.54683899964749"/>
    <n v="231.94438171386719"/>
    <n v="8537915"/>
    <n v="-1.1599999999999999"/>
    <n v="2.17"/>
    <x v="4"/>
    <s v="Q1-2026"/>
  </r>
  <r>
    <d v="2026-01-22T00:00:00"/>
    <x v="6"/>
    <s v="HCLTECH.NS"/>
    <n v="1642.0772742114041"/>
    <n v="1659.94919091056"/>
    <n v="1633.238481285025"/>
    <n v="1654.218505859375"/>
    <n v="1853439"/>
    <n v="-0.54"/>
    <n v="5.73"/>
    <x v="4"/>
    <s v="Q1-2026"/>
  </r>
  <r>
    <d v="2026-01-22T00:00:00"/>
    <x v="7"/>
    <s v="BAJFINANCE.NS"/>
    <n v="941.21414669178887"/>
    <n v="941.21414669178887"/>
    <n v="928.54204492798704"/>
    <n v="937.0894775390625"/>
    <n v="5518756"/>
    <n v="-1.35"/>
    <n v="4.12"/>
    <x v="4"/>
    <s v="Q1-2026"/>
  </r>
  <r>
    <d v="2026-01-22T00:00:00"/>
    <x v="8"/>
    <s v="MARUTI.NS"/>
    <n v="15791.406609280841"/>
    <n v="15812.1978029357"/>
    <n v="15557.753194873931"/>
    <n v="15608.24609375"/>
    <n v="352320"/>
    <n v="-1.48"/>
    <n v="203.95"/>
    <x v="4"/>
    <s v="Q1-2026"/>
  </r>
  <r>
    <d v="2026-01-22T00:00:00"/>
    <x v="9"/>
    <s v="TMPV.NS"/>
    <n v="341.61618993402192"/>
    <n v="348.85612004875782"/>
    <n v="340.27729045622618"/>
    <n v="344.44271850585938"/>
    <n v="10714263"/>
    <n v="-0.39"/>
    <n v="4.41"/>
    <x v="4"/>
    <s v="Q1-2026"/>
  </r>
  <r>
    <d v="2026-01-22T00:00:00"/>
    <x v="10"/>
    <s v="SUNPHARMA.NS"/>
    <n v="1599.4908832639831"/>
    <n v="1631.5976575974689"/>
    <n v="1598.599004900324"/>
    <n v="1619.408935546875"/>
    <n v="2279862"/>
    <n v="-0.06"/>
    <n v="12.19"/>
    <x v="4"/>
    <s v="Q1-2026"/>
  </r>
  <r>
    <d v="2026-01-22T00:00:00"/>
    <x v="11"/>
    <s v="ASIANPAINT.NS"/>
    <n v="2642.374853390455"/>
    <n v="2706.4190605473359"/>
    <n v="2642.374853390455"/>
    <n v="2680.543701171875"/>
    <n v="1290346"/>
    <n v="0"/>
    <n v="25.88"/>
    <x v="4"/>
    <s v="Q1-2026"/>
  </r>
  <r>
    <d v="2026-01-22T00:00:00"/>
    <x v="12"/>
    <s v="HINDUNILVR.NS"/>
    <n v="2345.0471156039898"/>
    <n v="2377.8139237153"/>
    <n v="2341.8793851911282"/>
    <n v="2366.52880859375"/>
    <n v="1745964"/>
    <n v="-0.14000000000000001"/>
    <n v="11.29"/>
    <x v="4"/>
    <s v="Q1-2026"/>
  </r>
  <r>
    <d v="2026-01-22T00:00:00"/>
    <x v="13"/>
    <s v="LT.NS"/>
    <n v="3762.1535505226102"/>
    <n v="3764.5304806471431"/>
    <n v="3718.7774166540621"/>
    <n v="3757.10302734375"/>
    <n v="1856812"/>
    <n v="-1.1499999999999999"/>
    <n v="7.43"/>
    <x v="4"/>
    <s v="Q1-2026"/>
  </r>
  <r>
    <d v="2026-01-22T00:00:00"/>
    <x v="14"/>
    <s v="AXISBANK.NS"/>
    <n v="1289.0058962937881"/>
    <n v="1297.899062144086"/>
    <n v="1280.412548047078"/>
    <n v="1293.80224609375"/>
    <n v="5949677"/>
    <n v="-0.67"/>
    <n v="4.0999999999999996"/>
    <x v="4"/>
    <s v="Q1-2026"/>
  </r>
  <r>
    <d v="2026-01-23T00:00:00"/>
    <x v="0"/>
    <s v="RELIANCE.NS"/>
    <n v="1395.3485196421079"/>
    <n v="1400.52453898663"/>
    <n v="1374.644199247005"/>
    <n v="1379.720703125"/>
    <n v="9837802"/>
    <n v="-1.48"/>
    <n v="20.8"/>
    <x v="4"/>
    <s v="Q1-2026"/>
  </r>
  <r>
    <d v="2026-01-23T00:00:00"/>
    <x v="1"/>
    <s v="TCS.NS"/>
    <n v="3130.4570479508161"/>
    <n v="3134.5782172909462"/>
    <n v="3092.8754236660079"/>
    <n v="3103.178466796875"/>
    <n v="2068857"/>
    <n v="-1.2"/>
    <n v="31.4"/>
    <x v="4"/>
    <s v="Q1-2026"/>
  </r>
  <r>
    <d v="2026-01-23T00:00:00"/>
    <x v="2"/>
    <s v="INFY.NS"/>
    <n v="1631.8869227568259"/>
    <n v="1640.2068839190631"/>
    <n v="1626.9928279555099"/>
    <n v="1635.410766601562"/>
    <n v="5869137"/>
    <n v="-0.3"/>
    <n v="4.8"/>
    <x v="4"/>
    <s v="Q1-2026"/>
  </r>
  <r>
    <d v="2026-01-23T00:00:00"/>
    <x v="3"/>
    <s v="HDFCBANK.NS"/>
    <n v="905.03127177388126"/>
    <n v="911.03199858076232"/>
    <n v="894.45617810913211"/>
    <n v="901.1947021484375"/>
    <n v="30985247"/>
    <n v="-1.17"/>
    <n v="9.84"/>
    <x v="4"/>
    <s v="Q1-2026"/>
  </r>
  <r>
    <d v="2026-01-23T00:00:00"/>
    <x v="4"/>
    <s v="ICICIBANK.NS"/>
    <n v="1329.293409266385"/>
    <n v="1343.8704687287579"/>
    <n v="1324.5334888848979"/>
    <n v="1332.169189453125"/>
    <n v="14056524"/>
    <n v="-0.36"/>
    <n v="11.7"/>
    <x v="4"/>
    <s v="Q1-2026"/>
  </r>
  <r>
    <d v="2026-01-23T00:00:00"/>
    <x v="5"/>
    <s v="WIPRO.NS"/>
    <n v="233.53469674981091"/>
    <n v="234.73947746487721"/>
    <n v="229.24568034553411"/>
    <n v="229.77577209472659"/>
    <n v="13546802"/>
    <n v="-1.84"/>
    <n v="4.96"/>
    <x v="4"/>
    <s v="Q1-2026"/>
  </r>
  <r>
    <d v="2026-01-23T00:00:00"/>
    <x v="6"/>
    <s v="HCLTECH.NS"/>
    <n v="1663.542945994818"/>
    <n v="1671.6047712257889"/>
    <n v="1650.0419912723401"/>
    <n v="1658.006591796875"/>
    <n v="1874357"/>
    <n v="-0.81"/>
    <n v="13.6"/>
    <x v="4"/>
    <s v="Q1-2026"/>
  </r>
  <r>
    <d v="2026-01-23T00:00:00"/>
    <x v="7"/>
    <s v="BAJFINANCE.NS"/>
    <n v="937.08950784208457"/>
    <n v="945.58731900593841"/>
    <n v="920.64063440803955"/>
    <n v="922.18115234375"/>
    <n v="6535035"/>
    <n v="-1.76"/>
    <n v="23.41"/>
    <x v="4"/>
    <s v="Q1-2026"/>
  </r>
  <r>
    <d v="2026-01-23T00:00:00"/>
    <x v="8"/>
    <s v="MARUTI.NS"/>
    <n v="15661.708352882681"/>
    <n v="15688.43988619881"/>
    <n v="15285.48677287791"/>
    <n v="15315.1884765625"/>
    <n v="338669"/>
    <n v="-2.4"/>
    <n v="373.25"/>
    <x v="4"/>
    <s v="Q1-2026"/>
  </r>
  <r>
    <d v="2026-01-23T00:00:00"/>
    <x v="9"/>
    <s v="TMPV.NS"/>
    <n v="344.24440324942361"/>
    <n v="348.11231177135909"/>
    <n v="339.33511495117261"/>
    <n v="341.6162109375"/>
    <n v="8354700"/>
    <n v="-1.43"/>
    <n v="6.5"/>
    <x v="4"/>
    <s v="Q1-2026"/>
  </r>
  <r>
    <d v="2026-01-23T00:00:00"/>
    <x v="10"/>
    <s v="SUNPHARMA.NS"/>
    <n v="1625.156423764028"/>
    <n v="1633.975894403156"/>
    <n v="1610.6885919894639"/>
    <n v="1617.129760742188"/>
    <n v="1678658"/>
    <n v="-0.89"/>
    <n v="16.850000000000001"/>
    <x v="4"/>
    <s v="Q1-2026"/>
  </r>
  <r>
    <d v="2026-01-23T00:00:00"/>
    <x v="11"/>
    <s v="ASIANPAINT.NS"/>
    <n v="2680.543572613381"/>
    <n v="2758.963056342538"/>
    <n v="2667.6553908637452"/>
    <n v="2680.4443359375"/>
    <n v="1786635"/>
    <n v="-0.48"/>
    <n v="78.52"/>
    <x v="4"/>
    <s v="Q1-2026"/>
  </r>
  <r>
    <d v="2026-01-23T00:00:00"/>
    <x v="12"/>
    <s v="HINDUNILVR.NS"/>
    <n v="2375.8341817545129"/>
    <n v="2409.7888602718922"/>
    <n v="2352.8678330006901"/>
    <n v="2385.238525390625"/>
    <n v="1378097"/>
    <n v="-0.97"/>
    <n v="24.55"/>
    <x v="4"/>
    <s v="Q1-2026"/>
  </r>
  <r>
    <d v="2026-01-23T00:00:00"/>
    <x v="13"/>
    <s v="LT.NS"/>
    <n v="3761.262350741998"/>
    <n v="3762.6487119795611"/>
    <n v="3684.1159658520501"/>
    <n v="3707.586669921875"/>
    <n v="1898703"/>
    <n v="-2.0499999999999998"/>
    <n v="55.06"/>
    <x v="4"/>
    <s v="Q1-2026"/>
  </r>
  <r>
    <d v="2026-01-23T00:00:00"/>
    <x v="14"/>
    <s v="AXISBANK.NS"/>
    <n v="1296.000462081739"/>
    <n v="1297.9989207742319"/>
    <n v="1247.0382241156599"/>
    <n v="1257.030517578125"/>
    <n v="8885549"/>
    <n v="-3.78"/>
    <n v="40.97"/>
    <x v="4"/>
    <s v="Q1-2026"/>
  </r>
  <r>
    <d v="2026-01-27T00:00:00"/>
    <x v="0"/>
    <s v="RELIANCE.NS"/>
    <n v="1373.648785539659"/>
    <n v="1385.1953742178571"/>
    <n v="1361.704013491488"/>
    <n v="1374.146484375"/>
    <n v="26302396"/>
    <n v="-0.87"/>
    <n v="11.05"/>
    <x v="4"/>
    <s v="Q1-2026"/>
  </r>
  <r>
    <d v="2026-01-27T00:00:00"/>
    <x v="1"/>
    <s v="TCS.NS"/>
    <n v="3115.4440572399221"/>
    <n v="3115.4440572399221"/>
    <n v="3071.2881572160491"/>
    <n v="3098.762939453125"/>
    <n v="4279874"/>
    <n v="-1.42"/>
    <n v="16.68"/>
    <x v="4"/>
    <s v="Q1-2026"/>
  </r>
  <r>
    <d v="2026-01-27T00:00:00"/>
    <x v="2"/>
    <s v="INFY.NS"/>
    <n v="1650.0930280724319"/>
    <n v="1653.616752383459"/>
    <n v="1625.916128399102"/>
    <n v="1647.05859375"/>
    <n v="10673087"/>
    <n v="-1.47"/>
    <n v="6.56"/>
    <x v="4"/>
    <s v="Q1-2026"/>
  </r>
  <r>
    <d v="2026-01-27T00:00:00"/>
    <x v="3"/>
    <s v="HDFCBANK.NS"/>
    <n v="891.25909976572882"/>
    <n v="916.04909997955235"/>
    <n v="890.27537007503827"/>
    <n v="911.32720947265625"/>
    <n v="44753093"/>
    <n v="-0.11"/>
    <n v="4.72"/>
    <x v="4"/>
    <s v="Q1-2026"/>
  </r>
  <r>
    <d v="2026-01-27T00:00:00"/>
    <x v="4"/>
    <s v="ICICIBANK.NS"/>
    <n v="1328.7975572308819"/>
    <n v="1357.6542560921289"/>
    <n v="1317.4928373847781"/>
    <n v="1350.018676757812"/>
    <n v="25263634"/>
    <n v="-0.85"/>
    <n v="7.64"/>
    <x v="4"/>
    <s v="Q1-2026"/>
  </r>
  <r>
    <d v="2026-01-27T00:00:00"/>
    <x v="5"/>
    <s v="WIPRO.NS"/>
    <n v="232.54415887455281"/>
    <n v="233.73060566282561"/>
    <n v="229.13311870083501"/>
    <n v="232.148681640625"/>
    <n v="15677537"/>
    <n v="-1.47"/>
    <n v="1.58"/>
    <x v="4"/>
    <s v="Q1-2026"/>
  </r>
  <r>
    <d v="2026-01-27T00:00:00"/>
    <x v="6"/>
    <s v="HCLTECH.NS"/>
    <n v="1670.6335465010411"/>
    <n v="1675.9756886555499"/>
    <n v="1651.6932243168719"/>
    <n v="1670.827758789062"/>
    <n v="2671530"/>
    <n v="-1.1299999999999999"/>
    <n v="5.15"/>
    <x v="4"/>
    <s v="Q1-2026"/>
  </r>
  <r>
    <d v="2026-01-27T00:00:00"/>
    <x v="7"/>
    <s v="BAJFINANCE.NS"/>
    <n v="924.31802138532521"/>
    <n v="926.25611969164822"/>
    <n v="902.15427881143944"/>
    <n v="909.11151123046875"/>
    <n v="15312488"/>
    <n v="-2.4"/>
    <n v="17.14"/>
    <x v="4"/>
    <s v="Q1-2026"/>
  </r>
  <r>
    <d v="2026-01-27T00:00:00"/>
    <x v="8"/>
    <s v="MARUTI.NS"/>
    <n v="15147.869139984419"/>
    <n v="15234.00408215296"/>
    <n v="14863.722836508899"/>
    <n v="15093.416015625"/>
    <n v="565768"/>
    <n v="-1.88"/>
    <n v="140.59"/>
    <x v="4"/>
    <s v="Q1-2026"/>
  </r>
  <r>
    <d v="2026-01-27T00:00:00"/>
    <x v="9"/>
    <s v="TMPV.NS"/>
    <n v="337.20279749106157"/>
    <n v="342.1616621600478"/>
    <n v="333.13652240919129"/>
    <n v="337.74826049804688"/>
    <n v="12510469"/>
    <n v="-1.21"/>
    <n v="4.41"/>
    <x v="4"/>
    <s v="Q1-2026"/>
  </r>
  <r>
    <d v="2026-01-27T00:00:00"/>
    <x v="10"/>
    <s v="SUNPHARMA.NS"/>
    <n v="1643.1916501474459"/>
    <n v="1643.1916501474459"/>
    <n v="1607.6166763750309"/>
    <n v="1624.06640625"/>
    <n v="2666522"/>
    <n v="-2.16"/>
    <n v="19.13"/>
    <x v="4"/>
    <s v="Q1-2026"/>
  </r>
  <r>
    <d v="2026-01-27T00:00:00"/>
    <x v="11"/>
    <s v="ASIANPAINT.NS"/>
    <n v="2696.505144090142"/>
    <n v="2711.1778928054291"/>
    <n v="2524.1010122974162"/>
    <n v="2600.240478515625"/>
    <n v="3818761"/>
    <n v="-6.39"/>
    <n v="110.94"/>
    <x v="4"/>
    <s v="Q1-2026"/>
  </r>
  <r>
    <d v="2026-01-27T00:00:00"/>
    <x v="12"/>
    <s v="HINDUNILVR.NS"/>
    <n v="2387.7131824960652"/>
    <n v="2397.2166152187342"/>
    <n v="2356.530361082871"/>
    <n v="2376.724853515625"/>
    <n v="2060117"/>
    <n v="-1.31"/>
    <n v="20.49"/>
    <x v="4"/>
    <s v="Q1-2026"/>
  </r>
  <r>
    <d v="2026-01-27T00:00:00"/>
    <x v="13"/>
    <s v="LT.NS"/>
    <n v="3707.5867393080662"/>
    <n v="3778.097982259424"/>
    <n v="3702.8331207517658"/>
    <n v="3751.1611328125"/>
    <n v="2162193"/>
    <n v="-0.13"/>
    <n v="26.94"/>
    <x v="4"/>
    <s v="Q1-2026"/>
  </r>
  <r>
    <d v="2026-01-27T00:00:00"/>
    <x v="14"/>
    <s v="AXISBANK.NS"/>
    <n v="1287.806818636476"/>
    <n v="1332.172503629323"/>
    <n v="1277.4148091338429"/>
    <n v="1314.786010742188"/>
    <n v="22715357"/>
    <n v="-0.81"/>
    <n v="17.39"/>
    <x v="4"/>
    <s v="Q1-2026"/>
  </r>
  <r>
    <d v="2026-01-28T00:00:00"/>
    <x v="0"/>
    <s v="RELIANCE.NS"/>
    <n v="1378.625746672323"/>
    <n v="1403.411172484595"/>
    <n v="1378.526231208921"/>
    <n v="1390.271850585938"/>
    <n v="11121657"/>
    <n v="-0.01"/>
    <n v="13.14"/>
    <x v="4"/>
    <s v="Q1-2026"/>
  </r>
  <r>
    <d v="2026-01-28T00:00:00"/>
    <x v="1"/>
    <s v="TCS.NS"/>
    <n v="3116.4254517795389"/>
    <n v="3145.077678172092"/>
    <n v="3111.1268393421369"/>
    <n v="3140.073486328125"/>
    <n v="2751234"/>
    <n v="-0.17"/>
    <n v="5"/>
    <x v="4"/>
    <s v="Q1-2026"/>
  </r>
  <r>
    <d v="2026-01-28T00:00:00"/>
    <x v="2"/>
    <s v="INFY.NS"/>
    <n v="1644.415838068182"/>
    <n v="1653.0294926329091"/>
    <n v="1615.05126953125"/>
    <n v="1631.201782226562"/>
    <n v="8588664"/>
    <n v="-1.79"/>
    <n v="21.83"/>
    <x v="4"/>
    <s v="Q1-2026"/>
  </r>
  <r>
    <d v="2026-01-28T00:00:00"/>
    <x v="3"/>
    <s v="HDFCBANK.NS"/>
    <n v="917.32790026435475"/>
    <n v="926.13229265600762"/>
    <n v="913.29463270898407"/>
    <n v="917.524658203125"/>
    <n v="35347138"/>
    <n v="-0.44"/>
    <n v="8.61"/>
    <x v="4"/>
    <s v="Q1-2026"/>
  </r>
  <r>
    <d v="2026-01-28T00:00:00"/>
    <x v="4"/>
    <s v="ICICIBANK.NS"/>
    <n v="1351.208651377528"/>
    <n v="1368.8598919488211"/>
    <n v="1351.208651377528"/>
    <n v="1356.265991210938"/>
    <n v="13242696"/>
    <n v="0"/>
    <n v="12.59"/>
    <x v="4"/>
    <s v="Q1-2026"/>
  </r>
  <r>
    <d v="2026-01-28T00:00:00"/>
    <x v="5"/>
    <s v="WIPRO.NS"/>
    <n v="232.84077519918071"/>
    <n v="235.41142248862951"/>
    <n v="232.29698268566389"/>
    <n v="234.6698913574219"/>
    <n v="10155128"/>
    <n v="-0.23"/>
    <n v="0.74"/>
    <x v="4"/>
    <s v="Q1-2026"/>
  </r>
  <r>
    <d v="2026-01-28T00:00:00"/>
    <x v="6"/>
    <s v="HCLTECH.NS"/>
    <n v="1656.1610721542711"/>
    <n v="1684.6201660350771"/>
    <n v="1642.4657868231391"/>
    <n v="1679.957885742188"/>
    <n v="2713867"/>
    <n v="-0.83"/>
    <n v="4.66"/>
    <x v="4"/>
    <s v="Q1-2026"/>
  </r>
  <r>
    <d v="2026-01-28T00:00:00"/>
    <x v="7"/>
    <s v="BAJFINANCE.NS"/>
    <n v="909.11151469571166"/>
    <n v="931.17589258404337"/>
    <n v="909.11151469571166"/>
    <n v="929.43658447265625"/>
    <n v="6046468"/>
    <n v="0"/>
    <n v="1.74"/>
    <x v="4"/>
    <s v="Q1-2026"/>
  </r>
  <r>
    <d v="2026-01-28T00:00:00"/>
    <x v="8"/>
    <s v="MARUTI.NS"/>
    <n v="15010.251329981371"/>
    <n v="15141.92888600587"/>
    <n v="14287.50985706491"/>
    <n v="14729.0751953125"/>
    <n v="1584483"/>
    <n v="-4.8099999999999996"/>
    <n v="412.85"/>
    <x v="4"/>
    <s v="Q1-2026"/>
  </r>
  <r>
    <d v="2026-01-28T00:00:00"/>
    <x v="9"/>
    <s v="TMPV.NS"/>
    <n v="339.08716148707578"/>
    <n v="343.74850640280391"/>
    <n v="334.27705668393259"/>
    <n v="337.64910888671881"/>
    <n v="9425163"/>
    <n v="-1.42"/>
    <n v="6.1"/>
    <x v="4"/>
    <s v="Q1-2026"/>
  </r>
  <r>
    <d v="2026-01-28T00:00:00"/>
    <x v="10"/>
    <s v="SUNPHARMA.NS"/>
    <n v="1625.0573154917729"/>
    <n v="1634.372260435036"/>
    <n v="1585.518425561248"/>
    <n v="1596.0224609375"/>
    <n v="4124391"/>
    <n v="-2.4300000000000002"/>
    <n v="38.35"/>
    <x v="4"/>
    <s v="Q1-2026"/>
  </r>
  <r>
    <d v="2026-01-28T00:00:00"/>
    <x v="11"/>
    <s v="ASIANPAINT.NS"/>
    <n v="2513.195467623375"/>
    <n v="2526.579348811902"/>
    <n v="2429.917984672541"/>
    <n v="2490.195068359375"/>
    <n v="3430002"/>
    <n v="-3.31"/>
    <n v="36.380000000000003"/>
    <x v="4"/>
    <s v="Q1-2026"/>
  </r>
  <r>
    <d v="2026-01-28T00:00:00"/>
    <x v="12"/>
    <s v="HINDUNILVR.NS"/>
    <n v="2378.9029011389089"/>
    <n v="2395.8305735138729"/>
    <n v="2317.032223564474"/>
    <n v="2354.451416015625"/>
    <n v="1797593"/>
    <n v="-2.6"/>
    <n v="41.38"/>
    <x v="4"/>
    <s v="Q1-2026"/>
  </r>
  <r>
    <d v="2026-01-28T00:00:00"/>
    <x v="13"/>
    <s v="LT.NS"/>
    <n v="3767.501442898134"/>
    <n v="3791.170163926839"/>
    <n v="3732.6419772598142"/>
    <n v="3757.301025390625"/>
    <n v="2111741"/>
    <n v="-0.93"/>
    <n v="33.869999999999997"/>
    <x v="4"/>
    <s v="Q1-2026"/>
  </r>
  <r>
    <d v="2026-01-28T00:00:00"/>
    <x v="14"/>
    <s v="AXISBANK.NS"/>
    <n v="1346.96117816438"/>
    <n v="1368.3447108776679"/>
    <n v="1309.190259541085"/>
    <n v="1318.782958984375"/>
    <n v="15426403"/>
    <n v="-2.8"/>
    <n v="49.56"/>
    <x v="4"/>
    <s v="Q1-2026"/>
  </r>
  <r>
    <d v="2026-01-29T00:00:00"/>
    <x v="0"/>
    <s v="RELIANCE.NS"/>
    <n v="1396.443400982427"/>
    <n v="1396.443400982427"/>
    <n v="1377.6303609139111"/>
    <n v="1384.59814453125"/>
    <n v="20846683"/>
    <n v="-1.35"/>
    <n v="11.85"/>
    <x v="4"/>
    <s v="Q1-2026"/>
  </r>
  <r>
    <d v="2026-01-29T00:00:00"/>
    <x v="1"/>
    <s v="TCS.NS"/>
    <n v="3140.07335254898"/>
    <n v="3140.07335254898"/>
    <n v="3066.9708064954261"/>
    <n v="3085.41796875"/>
    <n v="2457641"/>
    <n v="-2.33"/>
    <n v="54.66"/>
    <x v="4"/>
    <s v="Q1-2026"/>
  </r>
  <r>
    <d v="2026-01-29T00:00:00"/>
    <x v="2"/>
    <s v="INFY.NS"/>
    <n v="1622.8818691859369"/>
    <n v="1631.201830517711"/>
    <n v="1607.3186235036719"/>
    <n v="1624.35009765625"/>
    <n v="4749582"/>
    <n v="-0.96"/>
    <n v="6.85"/>
    <x v="4"/>
    <s v="Q1-2026"/>
  </r>
  <r>
    <d v="2026-01-29T00:00:00"/>
    <x v="3"/>
    <s v="HDFCBANK.NS"/>
    <n v="914.96694949149037"/>
    <n v="924.01727453751448"/>
    <n v="909.31050384298703"/>
    <n v="920.27911376953125"/>
    <n v="37175628"/>
    <n v="-0.62"/>
    <n v="3.74"/>
    <x v="4"/>
    <s v="Q1-2026"/>
  </r>
  <r>
    <d v="2026-01-29T00:00:00"/>
    <x v="4"/>
    <s v="ICICIBANK.NS"/>
    <n v="1347.6387612421629"/>
    <n v="1376.098780848474"/>
    <n v="1343.07724144792"/>
    <n v="1372.033081054688"/>
    <n v="23118234"/>
    <n v="-0.34"/>
    <n v="4.07"/>
    <x v="4"/>
    <s v="Q1-2026"/>
  </r>
  <r>
    <d v="2026-01-29T00:00:00"/>
    <x v="5"/>
    <s v="WIPRO.NS"/>
    <n v="233.53286864540681"/>
    <n v="238.179794065089"/>
    <n v="232.79133751184611"/>
    <n v="237.09222412109381"/>
    <n v="12201949"/>
    <n v="-0.32"/>
    <n v="1.0900000000000001"/>
    <x v="4"/>
    <s v="Q1-2026"/>
  </r>
  <r>
    <d v="2026-01-29T00:00:00"/>
    <x v="6"/>
    <s v="HCLTECH.NS"/>
    <n v="1673.35312935823"/>
    <n v="1675.489938664914"/>
    <n v="1647.4193878632141"/>
    <n v="1672.1875"/>
    <n v="2235602"/>
    <n v="-1.55"/>
    <n v="3.3"/>
    <x v="4"/>
    <s v="Q1-2026"/>
  </r>
  <r>
    <d v="2026-01-29T00:00:00"/>
    <x v="7"/>
    <s v="BAJFINANCE.NS"/>
    <n v="929.43658447265625"/>
    <n v="934.05813819984724"/>
    <n v="918.05652783998778"/>
    <n v="929.43658447265625"/>
    <n v="6430445"/>
    <n v="-1.22"/>
    <n v="4.62"/>
    <x v="4"/>
    <s v="Q1-2026"/>
  </r>
  <r>
    <d v="2026-01-29T00:00:00"/>
    <x v="8"/>
    <s v="MARUTI.NS"/>
    <n v="14722.14461326994"/>
    <n v="14722.14461326994"/>
    <n v="14210.285247764859"/>
    <n v="14357.8037109375"/>
    <n v="716545"/>
    <n v="-3.48"/>
    <n v="364.34"/>
    <x v="4"/>
    <s v="Q1-2026"/>
  </r>
  <r>
    <d v="2026-01-29T00:00:00"/>
    <x v="9"/>
    <s v="TMPV.NS"/>
    <n v="337.69867880915859"/>
    <n v="349.74871371776982"/>
    <n v="332.83899756094797"/>
    <n v="348.90570068359381"/>
    <n v="13586977"/>
    <n v="-1.44"/>
    <n v="0.84"/>
    <x v="4"/>
    <s v="Q1-2026"/>
  </r>
  <r>
    <d v="2026-01-29T00:00:00"/>
    <x v="10"/>
    <s v="SUNPHARMA.NS"/>
    <n v="1610.292113872481"/>
    <n v="1610.292113872481"/>
    <n v="1569.3658720691101"/>
    <n v="1574.915283203125"/>
    <n v="5796513"/>
    <n v="-2.54"/>
    <n v="35.380000000000003"/>
    <x v="4"/>
    <s v="Q1-2026"/>
  </r>
  <r>
    <d v="2026-01-29T00:00:00"/>
    <x v="11"/>
    <s v="ASIANPAINT.NS"/>
    <n v="2490.1950274985411"/>
    <n v="2493.2682179040371"/>
    <n v="2389.270602598885"/>
    <n v="2395.218994140625"/>
    <n v="3488159"/>
    <n v="-4.05"/>
    <n v="98.05"/>
    <x v="4"/>
    <s v="Q1-2026"/>
  </r>
  <r>
    <d v="2026-01-29T00:00:00"/>
    <x v="12"/>
    <s v="HINDUNILVR.NS"/>
    <n v="2346.6310422104029"/>
    <n v="2350.7887033771149"/>
    <n v="2288.7200884161371"/>
    <n v="2328.911376953125"/>
    <n v="1478536"/>
    <n v="-2.4700000000000002"/>
    <n v="21.88"/>
    <x v="4"/>
    <s v="Q1-2026"/>
  </r>
  <r>
    <d v="2026-01-29T00:00:00"/>
    <x v="13"/>
    <s v="LT.NS"/>
    <n v="3822.662671754787"/>
    <n v="3922.586581151978"/>
    <n v="3806.421403747047"/>
    <n v="3894.857421875"/>
    <n v="4227139"/>
    <n v="-0.42"/>
    <n v="27.73"/>
    <x v="4"/>
    <s v="Q1-2026"/>
  </r>
  <r>
    <d v="2026-01-29T00:00:00"/>
    <x v="14"/>
    <s v="AXISBANK.NS"/>
    <n v="1316.9843142731061"/>
    <n v="1365.946553574609"/>
    <n v="1304.9935617911051"/>
    <n v="1362.649047851562"/>
    <n v="16107684"/>
    <n v="-0.91"/>
    <n v="3.3"/>
    <x v="4"/>
    <s v="Q1-2026"/>
  </r>
  <r>
    <d v="2026-01-30T00:00:00"/>
    <x v="0"/>
    <s v="RELIANCE.NS"/>
    <n v="1376.236766748553"/>
    <n v="1391.565914862038"/>
    <n v="1372.155660684778"/>
    <n v="1388.977905273438"/>
    <n v="11239835"/>
    <n v="-0.3"/>
    <n v="2.59"/>
    <x v="4"/>
    <s v="Q1-2026"/>
  </r>
  <r>
    <d v="2026-01-30T00:00:00"/>
    <x v="1"/>
    <s v="TCS.NS"/>
    <n v="3082.0820735799648"/>
    <n v="3082.0820735799648"/>
    <n v="3034.0012007351961"/>
    <n v="3065.302734375"/>
    <n v="3022068"/>
    <n v="-1.56"/>
    <n v="16.78"/>
    <x v="4"/>
    <s v="Q1-2026"/>
  </r>
  <r>
    <d v="2026-01-30T00:00:00"/>
    <x v="2"/>
    <s v="INFY.NS"/>
    <n v="1619.9454090553111"/>
    <n v="1619.9454090553111"/>
    <n v="1583.8269648597891"/>
    <n v="1606.241943359375"/>
    <n v="9207926"/>
    <n v="-2.23"/>
    <n v="13.7"/>
    <x v="4"/>
    <s v="Q1-2026"/>
  </r>
  <r>
    <d v="2026-01-30T00:00:00"/>
    <x v="3"/>
    <s v="HDFCBANK.NS"/>
    <n v="914.86859559435538"/>
    <n v="923.62381369806383"/>
    <n v="912.6552038308206"/>
    <n v="914.13079833984375"/>
    <n v="29691233"/>
    <n v="-0.24"/>
    <n v="9.49"/>
    <x v="4"/>
    <s v="Q1-2026"/>
  </r>
  <r>
    <d v="2026-01-30T00:00:00"/>
    <x v="4"/>
    <s v="ICICIBANK.NS"/>
    <n v="1356.7617179329991"/>
    <n v="1370.3472577453319"/>
    <n v="1341.8871188281209"/>
    <n v="1343.672119140625"/>
    <n v="24013717"/>
    <n v="-1.1000000000000001"/>
    <n v="26.68"/>
    <x v="4"/>
    <s v="Q1-2026"/>
  </r>
  <r>
    <d v="2026-01-30T00:00:00"/>
    <x v="5"/>
    <s v="WIPRO.NS"/>
    <n v="235.31254535287101"/>
    <n v="235.31254535287101"/>
    <n v="232.64303630103959"/>
    <n v="234.22496032714841"/>
    <n v="11362317"/>
    <n v="-1.1299999999999999"/>
    <n v="1.0900000000000001"/>
    <x v="4"/>
    <s v="Q1-2026"/>
  </r>
  <r>
    <d v="2026-01-30T00:00:00"/>
    <x v="6"/>
    <s v="HCLTECH.NS"/>
    <n v="1664.0285457374209"/>
    <n v="1664.0285457374209"/>
    <n v="1634.695378411855"/>
    <n v="1646.933715820312"/>
    <n v="4448681"/>
    <n v="-1.76"/>
    <n v="17.09"/>
    <x v="4"/>
    <s v="Q1-2026"/>
  </r>
  <r>
    <d v="2026-01-30T00:00:00"/>
    <x v="7"/>
    <s v="BAJFINANCE.NS"/>
    <n v="922.67804880623191"/>
    <n v="932.26911460195186"/>
    <n v="919.4976483309938"/>
    <n v="924.16888427734375"/>
    <n v="10151379"/>
    <n v="-0.34"/>
    <n v="8.1"/>
    <x v="4"/>
    <s v="Q1-2026"/>
  </r>
  <r>
    <d v="2026-01-30T00:00:00"/>
    <x v="8"/>
    <s v="MARUTI.NS"/>
    <n v="14357.804330026889"/>
    <n v="14533.04439115051"/>
    <n v="14157.812847840611"/>
    <n v="14453.83984375"/>
    <n v="946509"/>
    <n v="-1.39"/>
    <n v="79.2"/>
    <x v="4"/>
    <s v="Q1-2026"/>
  </r>
  <r>
    <d v="2026-01-30T00:00:00"/>
    <x v="9"/>
    <s v="TMPV.NS"/>
    <n v="347.91393468426912"/>
    <n v="350.09584725535331"/>
    <n v="345.53368568540958"/>
    <n v="347.17010498046881"/>
    <n v="9910289"/>
    <n v="-0.68"/>
    <n v="2.93"/>
    <x v="4"/>
    <s v="Q1-2026"/>
  </r>
  <r>
    <d v="2026-01-30T00:00:00"/>
    <x v="10"/>
    <s v="SUNPHARMA.NS"/>
    <n v="1574.9153896236969"/>
    <n v="1591.959665071455"/>
    <n v="1570.7533309919461"/>
    <n v="1580.861083984375"/>
    <n v="3962196"/>
    <n v="-0.26"/>
    <n v="11.1"/>
    <x v="4"/>
    <s v="Q1-2026"/>
  </r>
  <r>
    <d v="2026-01-30T00:00:00"/>
    <x v="11"/>
    <s v="ASIANPAINT.NS"/>
    <n v="2396.2104772047778"/>
    <n v="2423.969638711495"/>
    <n v="2379.8523998883211"/>
    <n v="2407.413330078125"/>
    <n v="2048843"/>
    <n v="-0.68"/>
    <n v="16.559999999999999"/>
    <x v="4"/>
    <s v="Q1-2026"/>
  </r>
  <r>
    <d v="2026-01-30T00:00:00"/>
    <x v="12"/>
    <s v="HINDUNILVR.NS"/>
    <n v="2317.428169157251"/>
    <n v="2360.9851274839998"/>
    <n v="2316.4382382861891"/>
    <n v="2349.10595703125"/>
    <n v="2090462"/>
    <n v="-0.04"/>
    <n v="11.88"/>
    <x v="4"/>
    <s v="Q1-2026"/>
  </r>
  <r>
    <d v="2026-01-30T00:00:00"/>
    <x v="13"/>
    <s v="LT.NS"/>
    <n v="3864.7516308584859"/>
    <n v="3904.2655866955388"/>
    <n v="3854.1551789067598"/>
    <n v="3894.263427734375"/>
    <n v="2208465"/>
    <n v="-0.27"/>
    <n v="10"/>
    <x v="4"/>
    <s v="Q1-2026"/>
  </r>
  <r>
    <d v="2026-01-30T00:00:00"/>
    <x v="14"/>
    <s v="AXISBANK.NS"/>
    <n v="1350.9581487855719"/>
    <n v="1377.6375249747889"/>
    <n v="1350.9581487855719"/>
    <n v="1369.343994140625"/>
    <n v="14758482"/>
    <n v="0"/>
    <n v="8.2899999999999991"/>
    <x v="4"/>
    <s v="Q1-2026"/>
  </r>
  <r>
    <d v="2026-02-02T00:00:00"/>
    <x v="0"/>
    <s v="RELIANCE.NS"/>
    <n v="1333.83290853673"/>
    <n v="1386.4894707948449"/>
    <n v="1329.3536189185099"/>
    <n v="1384.0009765625"/>
    <n v="15711165"/>
    <n v="-0.34"/>
    <n v="2.4900000000000002"/>
    <x v="5"/>
    <s v="Q1-2026"/>
  </r>
  <r>
    <d v="2026-02-02T00:00:00"/>
    <x v="1"/>
    <s v="TCS.NS"/>
    <n v="3138.0126916764971"/>
    <n v="3138.0126916764971"/>
    <n v="3075.213188153265"/>
    <n v="3110.1455078125"/>
    <n v="2636272"/>
    <n v="-2"/>
    <n v="27.87"/>
    <x v="5"/>
    <s v="Q1-2026"/>
  </r>
  <r>
    <d v="2026-02-02T00:00:00"/>
    <x v="2"/>
    <s v="INFY.NS"/>
    <n v="1626.797046159194"/>
    <n v="1626.797046159194"/>
    <n v="1583.729013649564"/>
    <n v="1594.887573242188"/>
    <n v="6784887"/>
    <n v="-2.65"/>
    <n v="31.91"/>
    <x v="5"/>
    <s v="Q1-2026"/>
  </r>
  <r>
    <d v="2026-02-02T00:00:00"/>
    <x v="3"/>
    <s v="HDFCBANK.NS"/>
    <n v="900.1126164754811"/>
    <n v="914.67180307234912"/>
    <n v="894.50534554475644"/>
    <n v="912.99945068359375"/>
    <n v="28032106"/>
    <n v="-0.62"/>
    <n v="1.67"/>
    <x v="5"/>
    <s v="Q1-2026"/>
  </r>
  <r>
    <d v="2026-02-02T00:00:00"/>
    <x v="4"/>
    <s v="ICICIBANK.NS"/>
    <n v="1318.7820210502809"/>
    <n v="1343.0772003288639"/>
    <n v="1317.9886606539169"/>
    <n v="1341.490600585938"/>
    <n v="12800245"/>
    <n v="-0.06"/>
    <n v="1.59"/>
    <x v="5"/>
    <s v="Q1-2026"/>
  </r>
  <r>
    <d v="2026-02-02T00:00:00"/>
    <x v="5"/>
    <s v="WIPRO.NS"/>
    <n v="241.24479625234571"/>
    <n v="241.32389471723349"/>
    <n v="236.58797408007501"/>
    <n v="239.5639953613281"/>
    <n v="12335721"/>
    <n v="-1.93"/>
    <n v="1.76"/>
    <x v="5"/>
    <s v="Q1-2026"/>
  </r>
  <r>
    <d v="2026-02-02T00:00:00"/>
    <x v="6"/>
    <s v="HCLTECH.NS"/>
    <n v="1622.0684627483899"/>
    <n v="1640.0374846411121"/>
    <n v="1606.1391439517711"/>
    <n v="1628.67333984375"/>
    <n v="1916380"/>
    <n v="-0.98"/>
    <n v="11.36"/>
    <x v="5"/>
    <s v="Q1-2026"/>
  </r>
  <r>
    <d v="2026-02-02T00:00:00"/>
    <x v="7"/>
    <s v="BAJFINANCE.NS"/>
    <n v="881.58073015389948"/>
    <n v="903.84389799878613"/>
    <n v="881.58073015389948"/>
    <n v="898.1787109375"/>
    <n v="11874989"/>
    <n v="0"/>
    <n v="5.67"/>
    <x v="5"/>
    <s v="Q1-2026"/>
  </r>
  <r>
    <d v="2026-02-02T00:00:00"/>
    <x v="8"/>
    <s v="MARUTI.NS"/>
    <n v="14109.299979781679"/>
    <n v="14302.361062937771"/>
    <n v="13918.21901029899"/>
    <n v="14240.9775390625"/>
    <n v="621514"/>
    <n v="-1.35"/>
    <n v="61.38"/>
    <x v="5"/>
    <s v="Q1-2026"/>
  </r>
  <r>
    <d v="2026-02-02T00:00:00"/>
    <x v="9"/>
    <s v="TMPV.NS"/>
    <n v="341.8145418210762"/>
    <n v="361.50124096971058"/>
    <n v="338.29375994841359"/>
    <n v="359.91439819335938"/>
    <n v="19654613"/>
    <n v="-1.03"/>
    <n v="1.59"/>
    <x v="5"/>
    <s v="Q1-2026"/>
  </r>
  <r>
    <d v="2026-02-02T00:00:00"/>
    <x v="10"/>
    <s v="SUNPHARMA.NS"/>
    <n v="1619.210780760327"/>
    <n v="1619.210780760327"/>
    <n v="1583.734755659809"/>
    <n v="1613.166015625"/>
    <n v="2721280"/>
    <n v="-2.19"/>
    <n v="6.04"/>
    <x v="5"/>
    <s v="Q1-2026"/>
  </r>
  <r>
    <d v="2026-02-02T00:00:00"/>
    <x v="11"/>
    <s v="ASIANPAINT.NS"/>
    <n v="2354.4725989007529"/>
    <n v="2408.6030629687662"/>
    <n v="2351.597639580948"/>
    <n v="2381.339599609375"/>
    <n v="1183482"/>
    <n v="-0.12"/>
    <n v="27.26"/>
    <x v="5"/>
    <s v="Q1-2026"/>
  </r>
  <r>
    <d v="2026-02-02T00:00:00"/>
    <x v="12"/>
    <s v="HINDUNILVR.NS"/>
    <n v="2332.3760961990051"/>
    <n v="2336.236729715009"/>
    <n v="2279.8106731074859"/>
    <n v="2333.56396484375"/>
    <n v="1375089"/>
    <n v="-2.25"/>
    <n v="2.67"/>
    <x v="5"/>
    <s v="Q1-2026"/>
  </r>
  <r>
    <d v="2026-02-02T00:00:00"/>
    <x v="13"/>
    <s v="LT.NS"/>
    <n v="3793.6461372061221"/>
    <n v="3896.7392894733989"/>
    <n v="3788.0013208485179"/>
    <n v="3883.369873046875"/>
    <n v="3034613"/>
    <n v="-0.15"/>
    <n v="13.37"/>
    <x v="5"/>
    <s v="Q1-2026"/>
  </r>
  <r>
    <d v="2026-02-02T00:00:00"/>
    <x v="14"/>
    <s v="AXISBANK.NS"/>
    <n v="1337.9681888395619"/>
    <n v="1351.657583056608"/>
    <n v="1301.896031295224"/>
    <n v="1310.489379882812"/>
    <n v="8647298"/>
    <n v="-2.7"/>
    <n v="41.17"/>
    <x v="5"/>
    <s v="Q1-2026"/>
  </r>
  <r>
    <d v="2026-02-03T00:00:00"/>
    <x v="0"/>
    <s v="RELIANCE.NS"/>
    <n v="1467.116644636691"/>
    <n v="1482.64482392901"/>
    <n v="1423.6176937150069"/>
    <n v="1430.485961914062"/>
    <n v="25456171"/>
    <n v="-2.96"/>
    <n v="52.16"/>
    <x v="5"/>
    <s v="Q1-2026"/>
  </r>
  <r>
    <d v="2026-02-03T00:00:00"/>
    <x v="1"/>
    <s v="TCS.NS"/>
    <n v="3287.1616459496981"/>
    <n v="3287.1616459496981"/>
    <n v="3126.5323322374511"/>
    <n v="3164.80078125"/>
    <n v="4366060"/>
    <n v="-4.8899999999999997"/>
    <n v="122.36"/>
    <x v="5"/>
    <s v="Q1-2026"/>
  </r>
  <r>
    <d v="2026-02-03T00:00:00"/>
    <x v="2"/>
    <s v="INFY.NS"/>
    <n v="1690.616056346825"/>
    <n v="1691.399159307065"/>
    <n v="1617.987737462141"/>
    <n v="1620.924194335938"/>
    <n v="8805868"/>
    <n v="-4.3"/>
    <n v="70.47"/>
    <x v="5"/>
    <s v="Q1-2026"/>
  </r>
  <r>
    <d v="2026-02-03T00:00:00"/>
    <x v="3"/>
    <s v="HDFCBANK.NS"/>
    <n v="967.74405594016423"/>
    <n v="977.82728498553831"/>
    <n v="929.62453150033571"/>
    <n v="933.26434326171875"/>
    <n v="50336968"/>
    <n v="-3.94"/>
    <n v="44.56"/>
    <x v="5"/>
    <s v="Q1-2026"/>
  </r>
  <r>
    <d v="2026-02-03T00:00:00"/>
    <x v="4"/>
    <s v="ICICIBANK.NS"/>
    <n v="1400.195651215319"/>
    <n v="1405.1538511133899"/>
    <n v="1361.9183722121691"/>
    <n v="1378.08203125"/>
    <n v="24896698"/>
    <n v="-2.73"/>
    <n v="27.07"/>
    <x v="5"/>
    <s v="Q1-2026"/>
  </r>
  <r>
    <d v="2026-02-03T00:00:00"/>
    <x v="5"/>
    <s v="WIPRO.NS"/>
    <n v="256.28304914464422"/>
    <n v="256.95539366541249"/>
    <n v="239.54422622894779"/>
    <n v="239.94960021972659"/>
    <n v="25915412"/>
    <n v="-6.53"/>
    <n v="17.010000000000002"/>
    <x v="5"/>
    <s v="Q1-2026"/>
  </r>
  <r>
    <d v="2026-02-03T00:00:00"/>
    <x v="6"/>
    <s v="HCLTECH.NS"/>
    <n v="1728.9113946545399"/>
    <n v="1729.0085007948289"/>
    <n v="1640.6203339894571"/>
    <n v="1646.642456054688"/>
    <n v="3200948"/>
    <n v="-5.1100000000000003"/>
    <n v="82.37"/>
    <x v="5"/>
    <s v="Q1-2026"/>
  </r>
  <r>
    <d v="2026-02-03T00:00:00"/>
    <x v="7"/>
    <s v="BAJFINANCE.NS"/>
    <n v="954.13473174973558"/>
    <n v="966.85651604061491"/>
    <n v="936.14534075977178"/>
    <n v="958.50787353515625"/>
    <n v="15261370"/>
    <n v="-1.89"/>
    <n v="8.35"/>
    <x v="5"/>
    <s v="Q1-2026"/>
  </r>
  <r>
    <d v="2026-02-03T00:00:00"/>
    <x v="8"/>
    <s v="MARUTI.NS"/>
    <n v="15048.863271208231"/>
    <n v="15129.05787153506"/>
    <n v="14338.00249300247"/>
    <n v="14635.01953125"/>
    <n v="638870"/>
    <n v="-4.72"/>
    <n v="494.04"/>
    <x v="5"/>
    <s v="Q1-2026"/>
  </r>
  <r>
    <d v="2026-02-03T00:00:00"/>
    <x v="9"/>
    <s v="TMPV.NS"/>
    <n v="378.01424490971863"/>
    <n v="381.43587361299598"/>
    <n v="362.98889112545032"/>
    <n v="368.98910522460938"/>
    <n v="16720225"/>
    <n v="-3.97"/>
    <n v="12.45"/>
    <x v="5"/>
    <s v="Q1-2026"/>
  </r>
  <r>
    <d v="2026-02-03T00:00:00"/>
    <x v="10"/>
    <s v="SUNPHARMA.NS"/>
    <n v="1694.423786831773"/>
    <n v="1709.38709313511"/>
    <n v="1655.8758450021851"/>
    <n v="1686.6943359375"/>
    <n v="8520586"/>
    <n v="-2.27"/>
    <n v="22.69"/>
    <x v="5"/>
    <s v="Q1-2026"/>
  </r>
  <r>
    <d v="2026-02-03T00:00:00"/>
    <x v="11"/>
    <s v="ASIANPAINT.NS"/>
    <n v="2503.281520205102"/>
    <n v="2503.281520205102"/>
    <n v="2370.4341048754059"/>
    <n v="2405.133056640625"/>
    <n v="2233860"/>
    <n v="-5.31"/>
    <n v="98.15"/>
    <x v="5"/>
    <s v="Q1-2026"/>
  </r>
  <r>
    <d v="2026-02-03T00:00:00"/>
    <x v="12"/>
    <s v="HINDUNILVR.NS"/>
    <n v="2365.9346670808859"/>
    <n v="2375.7348855561131"/>
    <n v="2319.7049459810851"/>
    <n v="2344.750244140625"/>
    <n v="1553270"/>
    <n v="-1.95"/>
    <n v="30.98"/>
    <x v="5"/>
    <s v="Q1-2026"/>
  </r>
  <r>
    <d v="2026-02-03T00:00:00"/>
    <x v="13"/>
    <s v="LT.NS"/>
    <n v="4077.1766854410571"/>
    <n v="4082.1283209589601"/>
    <n v="3991.6125204033301"/>
    <n v="3999.733154296875"/>
    <n v="3742190"/>
    <n v="-2.1"/>
    <n v="82.4"/>
    <x v="5"/>
    <s v="Q1-2026"/>
  </r>
  <r>
    <d v="2026-02-03T00:00:00"/>
    <x v="14"/>
    <s v="AXISBANK.NS"/>
    <n v="1401.9187671636071"/>
    <n v="1417.207024890384"/>
    <n v="1344.463079984771"/>
    <n v="1355.15478515625"/>
    <n v="10384723"/>
    <n v="-4.0999999999999996"/>
    <n v="62.05"/>
    <x v="5"/>
    <s v="Q1-2026"/>
  </r>
  <r>
    <d v="2026-02-04T00:00:00"/>
    <x v="0"/>
    <s v="RELIANCE.NS"/>
    <n v="1437.354319460545"/>
    <n v="1457.26227402371"/>
    <n v="1433.671396469764"/>
    <n v="1450.095458984375"/>
    <n v="8333387"/>
    <n v="-0.26"/>
    <n v="7.17"/>
    <x v="5"/>
    <s v="Q1-2026"/>
  </r>
  <r>
    <d v="2026-02-04T00:00:00"/>
    <x v="1"/>
    <s v="TCS.NS"/>
    <n v="3061.4758430955121"/>
    <n v="3061.4758430955121"/>
    <n v="2929.9893806035889"/>
    <n v="2942.84375"/>
    <n v="10852595"/>
    <n v="-4.29"/>
    <n v="118.63"/>
    <x v="5"/>
    <s v="Q1-2026"/>
  </r>
  <r>
    <d v="2026-02-04T00:00:00"/>
    <x v="2"/>
    <s v="INFY.NS"/>
    <n v="1540.6609764639099"/>
    <n v="1551.330126563814"/>
    <n v="1478.114423725767"/>
    <n v="1503.270141601562"/>
    <n v="28828622"/>
    <n v="-4.0599999999999996"/>
    <n v="48.06"/>
    <x v="5"/>
    <s v="Q1-2026"/>
  </r>
  <r>
    <d v="2026-02-04T00:00:00"/>
    <x v="3"/>
    <s v="HDFCBANK.NS"/>
    <n v="937.00249862477176"/>
    <n v="941.62604002272997"/>
    <n v="932.52654069225321"/>
    <n v="937.59271240234375"/>
    <n v="24366770"/>
    <n v="-0.48"/>
    <n v="4.03"/>
    <x v="5"/>
    <s v="Q1-2026"/>
  </r>
  <r>
    <d v="2026-02-04T00:00:00"/>
    <x v="4"/>
    <s v="ICICIBANK.NS"/>
    <n v="1375.4046132419251"/>
    <n v="1402.17889194238"/>
    <n v="1375.305473456697"/>
    <n v="1396.625732421875"/>
    <n v="11080683"/>
    <n v="-0.01"/>
    <n v="5.55"/>
    <x v="5"/>
    <s v="Q1-2026"/>
  </r>
  <r>
    <d v="2026-02-04T00:00:00"/>
    <x v="5"/>
    <s v="WIPRO.NS"/>
    <n v="233.2461570142917"/>
    <n v="233.25603866523721"/>
    <n v="223.70511375338751"/>
    <n v="230.7051696777344"/>
    <n v="25995324"/>
    <n v="-4.09"/>
    <n v="2.5499999999999998"/>
    <x v="5"/>
    <s v="Q1-2026"/>
  </r>
  <r>
    <d v="2026-02-04T00:00:00"/>
    <x v="6"/>
    <s v="HCLTECH.NS"/>
    <n v="1594.872135378366"/>
    <n v="1597.786030875403"/>
    <n v="1540.479419433671"/>
    <n v="1575.251953125"/>
    <n v="5834470"/>
    <n v="-3.41"/>
    <n v="22.53"/>
    <x v="5"/>
    <s v="Q1-2026"/>
  </r>
  <r>
    <d v="2026-02-04T00:00:00"/>
    <x v="7"/>
    <s v="BAJFINANCE.NS"/>
    <n v="959.10417648886209"/>
    <n v="969.73881524144815"/>
    <n v="938.38158719957357"/>
    <n v="957.41455078125"/>
    <n v="17489015"/>
    <n v="-2.16"/>
    <n v="12.32"/>
    <x v="5"/>
    <s v="Q1-2026"/>
  </r>
  <r>
    <d v="2026-02-04T00:00:00"/>
    <x v="8"/>
    <s v="MARUTI.NS"/>
    <n v="14652.84108345498"/>
    <n v="15019.162110541351"/>
    <n v="14576.60670754782"/>
    <n v="14921.146484375"/>
    <n v="451065"/>
    <n v="-0.52"/>
    <n v="98.02"/>
    <x v="5"/>
    <s v="Q1-2026"/>
  </r>
  <r>
    <d v="2026-02-04T00:00:00"/>
    <x v="9"/>
    <s v="TMPV.NS"/>
    <n v="369.43543315451689"/>
    <n v="374.49348137986709"/>
    <n v="365.41876471272923"/>
    <n v="372.36117553710938"/>
    <n v="10142353"/>
    <n v="-1.0900000000000001"/>
    <n v="2.13"/>
    <x v="5"/>
    <s v="Q1-2026"/>
  </r>
  <r>
    <d v="2026-02-04T00:00:00"/>
    <x v="10"/>
    <s v="SUNPHARMA.NS"/>
    <n v="1699.37859813197"/>
    <n v="1713.3509559393069"/>
    <n v="1679.9560203953861"/>
    <n v="1688.9736328125"/>
    <n v="3952775"/>
    <n v="-1.1399999999999999"/>
    <n v="24.38"/>
    <x v="5"/>
    <s v="Q1-2026"/>
  </r>
  <r>
    <d v="2026-02-04T00:00:00"/>
    <x v="11"/>
    <s v="ASIANPAINT.NS"/>
    <n v="2409.0985719161731"/>
    <n v="2442.6078926414948"/>
    <n v="2396.3096269309108"/>
    <n v="2431.603271484375"/>
    <n v="970973"/>
    <n v="-0.53"/>
    <n v="11"/>
    <x v="5"/>
    <s v="Q1-2026"/>
  </r>
  <r>
    <d v="2026-02-04T00:00:00"/>
    <x v="12"/>
    <s v="HINDUNILVR.NS"/>
    <n v="2336.830792697157"/>
    <n v="2369.3994200347302"/>
    <n v="2333.069007240937"/>
    <n v="2347.1259765625"/>
    <n v="1232755"/>
    <n v="-0.16"/>
    <n v="22.27"/>
    <x v="5"/>
    <s v="Q1-2026"/>
  </r>
  <r>
    <d v="2026-02-04T00:00:00"/>
    <x v="13"/>
    <s v="LT.NS"/>
    <n v="3990.0280584002089"/>
    <n v="4067.2735755397521"/>
    <n v="3978.0450032605172"/>
    <n v="4047.566162109375"/>
    <n v="1403373"/>
    <n v="-0.3"/>
    <n v="19.71"/>
    <x v="5"/>
    <s v="Q1-2026"/>
  </r>
  <r>
    <d v="2026-02-04T00:00:00"/>
    <x v="14"/>
    <s v="AXISBANK.NS"/>
    <n v="1368.644446036081"/>
    <n v="1368.844365099731"/>
    <n v="1335.569977638193"/>
    <n v="1337.668334960938"/>
    <n v="6672251"/>
    <n v="-2.42"/>
    <n v="31.18"/>
    <x v="5"/>
    <s v="Q1-2026"/>
  </r>
  <r>
    <d v="2026-02-05T00:00:00"/>
    <x v="0"/>
    <s v="RELIANCE.NS"/>
    <n v="1450.2944646433759"/>
    <n v="1454.7737543420001"/>
    <n v="1432.875004704282"/>
    <n v="1436.757080078125"/>
    <n v="11763658"/>
    <n v="-1.2"/>
    <n v="18.02"/>
    <x v="5"/>
    <s v="Q1-2026"/>
  </r>
  <r>
    <d v="2026-02-05T00:00:00"/>
    <x v="1"/>
    <s v="TCS.NS"/>
    <n v="2933.9143670738972"/>
    <n v="2972.8696370121229"/>
    <n v="2916.54642692685"/>
    <n v="2935.38623046875"/>
    <n v="3521545"/>
    <n v="-0.59"/>
    <n v="37.479999999999997"/>
    <x v="5"/>
    <s v="Q1-2026"/>
  </r>
  <r>
    <d v="2026-02-05T00:00:00"/>
    <x v="2"/>
    <s v="INFY.NS"/>
    <n v="1501.5082372972431"/>
    <n v="1518.1481590925839"/>
    <n v="1483.5958031001301"/>
    <n v="1488.00048828125"/>
    <n v="10628127"/>
    <n v="-1.19"/>
    <n v="30.15"/>
    <x v="5"/>
    <s v="Q1-2026"/>
  </r>
  <r>
    <d v="2026-02-05T00:00:00"/>
    <x v="3"/>
    <s v="HDFCBANK.NS"/>
    <n v="940.44553157044538"/>
    <n v="940.4947060438036"/>
    <n v="931.29685796839817"/>
    <n v="934.248046875"/>
    <n v="28103169"/>
    <n v="-0.97"/>
    <n v="6.25"/>
    <x v="5"/>
    <s v="Q1-2026"/>
  </r>
  <r>
    <d v="2026-02-05T00:00:00"/>
    <x v="4"/>
    <s v="ICICIBANK.NS"/>
    <n v="1402.17889450188"/>
    <n v="1402.17889450188"/>
    <n v="1381.5527350454399"/>
    <n v="1384.8251953125"/>
    <n v="8982761"/>
    <n v="-1.47"/>
    <n v="17.350000000000001"/>
    <x v="5"/>
    <s v="Q1-2026"/>
  </r>
  <r>
    <d v="2026-02-05T00:00:00"/>
    <x v="5"/>
    <s v="WIPRO.NS"/>
    <n v="230.70516972657899"/>
    <n v="232.90999989357701"/>
    <n v="229.0836888682677"/>
    <n v="230.7546081542969"/>
    <n v="10102736"/>
    <n v="-0.7"/>
    <n v="2.16"/>
    <x v="5"/>
    <s v="Q1-2026"/>
  </r>
  <r>
    <d v="2026-02-05T00:00:00"/>
    <x v="6"/>
    <s v="HCLTECH.NS"/>
    <n v="1567.384406585408"/>
    <n v="1584.9650050129389"/>
    <n v="1554.27187629529"/>
    <n v="1563.790649414062"/>
    <n v="3184531"/>
    <n v="-0.84"/>
    <n v="21.17"/>
    <x v="5"/>
    <s v="Q1-2026"/>
  </r>
  <r>
    <d v="2026-02-05T00:00:00"/>
    <x v="7"/>
    <s v="BAJFINANCE.NS"/>
    <n v="958.11029512989114"/>
    <n v="962.58280169429418"/>
    <n v="947.17750130579486"/>
    <n v="958.855712890625"/>
    <n v="6020258"/>
    <n v="-1.1399999999999999"/>
    <n v="3.73"/>
    <x v="5"/>
    <s v="Q1-2026"/>
  </r>
  <r>
    <d v="2026-02-05T00:00:00"/>
    <x v="8"/>
    <s v="MARUTI.NS"/>
    <n v="14939.95738636364"/>
    <n v="14999.36079545455"/>
    <n v="14751.84659090909"/>
    <n v="14909.265625"/>
    <n v="374759"/>
    <n v="-1.26"/>
    <n v="90.1"/>
    <x v="5"/>
    <s v="Q1-2026"/>
  </r>
  <r>
    <d v="2026-02-05T00:00:00"/>
    <x v="9"/>
    <s v="TMPV.NS"/>
    <n v="371.9148514287798"/>
    <n v="372.50992124436738"/>
    <n v="361.30286889474201"/>
    <n v="371.07183837890619"/>
    <n v="14013838"/>
    <n v="-2.85"/>
    <n v="1.44"/>
    <x v="5"/>
    <s v="Q1-2026"/>
  </r>
  <r>
    <d v="2026-02-05T00:00:00"/>
    <x v="10"/>
    <s v="SUNPHARMA.NS"/>
    <n v="1694.558848739136"/>
    <n v="1705.5300949640509"/>
    <n v="1679.8973229390569"/>
    <n v="1698.1494140625"/>
    <n v="3074842"/>
    <n v="-0.87"/>
    <n v="7.38"/>
    <x v="5"/>
    <s v="Q1-2026"/>
  </r>
  <r>
    <d v="2026-02-05T00:00:00"/>
    <x v="11"/>
    <s v="ASIANPAINT.NS"/>
    <n v="2423.9696093569469"/>
    <n v="2434.676762788009"/>
    <n v="2381.9344049720989"/>
    <n v="2411.1806640625"/>
    <n v="1047405"/>
    <n v="-1.73"/>
    <n v="23.5"/>
    <x v="5"/>
    <s v="Q1-2026"/>
  </r>
  <r>
    <d v="2026-02-05T00:00:00"/>
    <x v="12"/>
    <s v="HINDUNILVR.NS"/>
    <n v="2338.7116518565331"/>
    <n v="2398.602468761218"/>
    <n v="2327.9215021780451"/>
    <n v="2330.693115234375"/>
    <n v="1962066"/>
    <n v="-0.46"/>
    <n v="67.91"/>
    <x v="5"/>
    <s v="Q1-2026"/>
  </r>
  <r>
    <d v="2026-02-05T00:00:00"/>
    <x v="13"/>
    <s v="LT.NS"/>
    <n v="4048.4573700239439"/>
    <n v="4048.9525335965991"/>
    <n v="3996.8612290417"/>
    <n v="4023.996337890625"/>
    <n v="1433240"/>
    <n v="-1.27"/>
    <n v="24.96"/>
    <x v="5"/>
    <s v="Q1-2026"/>
  </r>
  <r>
    <d v="2026-02-05T00:00:00"/>
    <x v="14"/>
    <s v="AXISBANK.NS"/>
    <n v="1338.9673655022459"/>
    <n v="1338.9673655022459"/>
    <n v="1316.38480597186"/>
    <n v="1329.574584960938"/>
    <n v="3766488"/>
    <n v="-1.69"/>
    <n v="9.39"/>
    <x v="5"/>
    <s v="Q1-2026"/>
  </r>
  <r>
    <d v="2026-02-06T00:00:00"/>
    <x v="0"/>
    <s v="RELIANCE.NS"/>
    <n v="1434.865799564727"/>
    <n v="1446.113842295832"/>
    <n v="1426.902617881399"/>
    <n v="1444.123046875"/>
    <n v="8277304"/>
    <n v="-0.55000000000000004"/>
    <n v="1.99"/>
    <x v="5"/>
    <s v="Q1-2026"/>
  </r>
  <r>
    <d v="2026-02-06T00:00:00"/>
    <x v="1"/>
    <s v="TCS.NS"/>
    <n v="2920.7655957574548"/>
    <n v="2929.0079343210609"/>
    <n v="2861.3022232764538"/>
    <n v="2886.422119140625"/>
    <n v="4687389"/>
    <n v="-2.04"/>
    <n v="42.59"/>
    <x v="5"/>
    <s v="Q1-2026"/>
  </r>
  <r>
    <d v="2026-02-06T00:00:00"/>
    <x v="2"/>
    <s v="INFY.NS"/>
    <n v="1489.8602623960501"/>
    <n v="1492.6988611765451"/>
    <n v="1448.6520095352701"/>
    <n v="1475.177978515625"/>
    <n v="13900866"/>
    <n v="-2.77"/>
    <n v="17.52"/>
    <x v="5"/>
    <s v="Q1-2026"/>
  </r>
  <r>
    <d v="2026-02-06T00:00:00"/>
    <x v="3"/>
    <s v="HDFCBANK.NS"/>
    <n v="929.62453357815718"/>
    <n v="932.67407152332203"/>
    <n v="922.34491003912024"/>
    <n v="925.7879638671875"/>
    <n v="18120272"/>
    <n v="-0.78"/>
    <n v="6.89"/>
    <x v="5"/>
    <s v="Q1-2026"/>
  </r>
  <r>
    <d v="2026-02-06T00:00:00"/>
    <x v="4"/>
    <s v="ICICIBANK.NS"/>
    <n v="1385.023530553912"/>
    <n v="1398.708210884651"/>
    <n v="1383.0402505668369"/>
    <n v="1394.344970703125"/>
    <n v="10851190"/>
    <n v="-0.14000000000000001"/>
    <n v="4.3600000000000003"/>
    <x v="5"/>
    <s v="Q1-2026"/>
  </r>
  <r>
    <d v="2026-02-06T00:00:00"/>
    <x v="5"/>
    <s v="WIPRO.NS"/>
    <n v="230.29979806673381"/>
    <n v="230.29979806673381"/>
    <n v="226.0187047572413"/>
    <n v="228.11476135253909"/>
    <n v="12279085"/>
    <n v="-1.86"/>
    <n v="2.19"/>
    <x v="5"/>
    <s v="Q1-2026"/>
  </r>
  <r>
    <d v="2026-02-06T00:00:00"/>
    <x v="6"/>
    <s v="HCLTECH.NS"/>
    <n v="1565.7333074951041"/>
    <n v="1565.7333074951041"/>
    <n v="1528.9210676812229"/>
    <n v="1547.95849609375"/>
    <n v="3342992"/>
    <n v="-2.35"/>
    <n v="17.77"/>
    <x v="5"/>
    <s v="Q1-2026"/>
  </r>
  <r>
    <d v="2026-02-06T00:00:00"/>
    <x v="7"/>
    <s v="BAJFINANCE.NS"/>
    <n v="967.99949838517841"/>
    <n v="980.47280988584248"/>
    <n v="960.19742290257273"/>
    <n v="975.7021484375"/>
    <n v="13742927"/>
    <n v="-0.81"/>
    <n v="4.7699999999999996"/>
    <x v="5"/>
    <s v="Q1-2026"/>
  </r>
  <r>
    <d v="2026-02-06T00:00:00"/>
    <x v="8"/>
    <s v="MARUTI.NS"/>
    <n v="14934.016777574259"/>
    <n v="14967.67870878863"/>
    <n v="14723.134679084251"/>
    <n v="14847.8818359375"/>
    <n v="276529"/>
    <n v="-1.41"/>
    <n v="119.8"/>
    <x v="5"/>
    <s v="Q1-2026"/>
  </r>
  <r>
    <d v="2026-02-06T00:00:00"/>
    <x v="9"/>
    <s v="TMPV.NS"/>
    <n v="361.99713514686761"/>
    <n v="378.65890898674991"/>
    <n v="358.0300432548471"/>
    <n v="366.46011352539063"/>
    <n v="23116970"/>
    <n v="-1.1000000000000001"/>
    <n v="12.2"/>
    <x v="5"/>
    <s v="Q1-2026"/>
  </r>
  <r>
    <d v="2026-02-06T00:00:00"/>
    <x v="10"/>
    <s v="SUNPHARMA.NS"/>
    <n v="1704.532757814758"/>
    <n v="1704.532757814758"/>
    <n v="1685.183444113075"/>
    <n v="1690.669067382812"/>
    <n v="1277116"/>
    <n v="-1.1399999999999999"/>
    <n v="13.86"/>
    <x v="5"/>
    <s v="Q1-2026"/>
  </r>
  <r>
    <d v="2026-02-06T00:00:00"/>
    <x v="11"/>
    <s v="ASIANPAINT.NS"/>
    <n v="2411.081385424528"/>
    <n v="2422.9781685762941"/>
    <n v="2365.5762866852929"/>
    <n v="2380.447265625"/>
    <n v="1043982"/>
    <n v="-1.89"/>
    <n v="42.53"/>
    <x v="5"/>
    <s v="Q1-2026"/>
  </r>
  <r>
    <d v="2026-02-06T00:00:00"/>
    <x v="12"/>
    <s v="HINDUNILVR.NS"/>
    <n v="2330.6930625452892"/>
    <n v="2404.5419995502298"/>
    <n v="2313.9633280974322"/>
    <n v="2399.790283203125"/>
    <n v="1421995"/>
    <n v="-0.72"/>
    <n v="4.75"/>
    <x v="5"/>
    <s v="Q1-2026"/>
  </r>
  <r>
    <d v="2026-02-06T00:00:00"/>
    <x v="13"/>
    <s v="LT.NS"/>
    <n v="4015.7763741904341"/>
    <n v="4038.553897397926"/>
    <n v="4003.19926842733"/>
    <n v="4028.749755859375"/>
    <n v="1630836"/>
    <n v="-0.31"/>
    <n v="9.8000000000000007"/>
    <x v="5"/>
    <s v="Q1-2026"/>
  </r>
  <r>
    <d v="2026-02-06T00:00:00"/>
    <x v="14"/>
    <s v="AXISBANK.NS"/>
    <n v="1323.978857614386"/>
    <n v="1345.3623895967639"/>
    <n v="1323.679040025941"/>
    <n v="1340.566040039062"/>
    <n v="5876574"/>
    <n v="-0.02"/>
    <n v="4.8"/>
    <x v="5"/>
    <s v="Q1-2026"/>
  </r>
  <r>
    <d v="2026-02-09T00:00:00"/>
    <x v="0"/>
    <s v="RELIANCE.NS"/>
    <n v="1451.289883506201"/>
    <n v="1459.1535498378751"/>
    <n v="1446.3128948796359"/>
    <n v="1454.873291015625"/>
    <n v="5775864"/>
    <n v="-0.34"/>
    <n v="4.28"/>
    <x v="5"/>
    <s v="Q1-2026"/>
  </r>
  <r>
    <d v="2026-02-09T00:00:00"/>
    <x v="1"/>
    <s v="TCS.NS"/>
    <n v="2903.5941220720852"/>
    <n v="2921.1582630324201"/>
    <n v="2882.3991930324942"/>
    <n v="2892.8984375"/>
    <n v="2380318"/>
    <n v="-0.73"/>
    <n v="28.26"/>
    <x v="5"/>
    <s v="Q1-2026"/>
  </r>
  <r>
    <d v="2026-02-09T00:00:00"/>
    <x v="2"/>
    <s v="INFY.NS"/>
    <n v="1489.8602864300619"/>
    <n v="1495.635342079803"/>
    <n v="1461.3766791394939"/>
    <n v="1465.487670898438"/>
    <n v="8294615"/>
    <n v="-1.91"/>
    <n v="30.15"/>
    <x v="5"/>
    <s v="Q1-2026"/>
  </r>
  <r>
    <d v="2026-02-09T00:00:00"/>
    <x v="3"/>
    <s v="HDFCBANK.NS"/>
    <n v="929.62451510506969"/>
    <n v="934.54316333313886"/>
    <n v="920.13150000805922"/>
    <n v="922.0006103515625"/>
    <n v="23947829"/>
    <n v="-1.02"/>
    <n v="12.54"/>
    <x v="5"/>
    <s v="Q1-2026"/>
  </r>
  <r>
    <d v="2026-02-09T00:00:00"/>
    <x v="4"/>
    <s v="ICICIBANK.NS"/>
    <n v="1401.683112368853"/>
    <n v="1402.178932359079"/>
    <n v="1377.18965327161"/>
    <n v="1384.626953125"/>
    <n v="7889742"/>
    <n v="-1.75"/>
    <n v="17.55"/>
    <x v="5"/>
    <s v="Q1-2026"/>
  </r>
  <r>
    <d v="2026-02-09T00:00:00"/>
    <x v="5"/>
    <s v="WIPRO.NS"/>
    <n v="229.23199706912879"/>
    <n v="230.29978862509611"/>
    <n v="227.0172853196085"/>
    <n v="227.48197937011719"/>
    <n v="9112474"/>
    <n v="-0.97"/>
    <n v="2.82"/>
    <x v="5"/>
    <s v="Q1-2026"/>
  </r>
  <r>
    <d v="2026-02-09T00:00:00"/>
    <x v="6"/>
    <s v="HCLTECH.NS"/>
    <n v="1554.4660877702329"/>
    <n v="1573.406407845908"/>
    <n v="1548.638296977718"/>
    <n v="1556.020141601562"/>
    <n v="1863558"/>
    <n v="-0.37"/>
    <n v="17.39"/>
    <x v="5"/>
    <s v="Q1-2026"/>
  </r>
  <r>
    <d v="2026-02-09T00:00:00"/>
    <x v="7"/>
    <s v="BAJFINANCE.NS"/>
    <n v="981.96365442362855"/>
    <n v="981.96365442362855"/>
    <n v="965.6638286075663"/>
    <n v="977.143310546875"/>
    <n v="4852548"/>
    <n v="-1.66"/>
    <n v="4.82"/>
    <x v="5"/>
    <s v="Q1-2026"/>
  </r>
  <r>
    <d v="2026-02-09T00:00:00"/>
    <x v="8"/>
    <s v="MARUTI.NS"/>
    <n v="14974.60964394915"/>
    <n v="14975.599700785109"/>
    <n v="14756.797140037161"/>
    <n v="14829.0712890625"/>
    <n v="200034"/>
    <n v="-1.45"/>
    <n v="146.53"/>
    <x v="5"/>
    <s v="Q1-2026"/>
  </r>
  <r>
    <d v="2026-02-09T00:00:00"/>
    <x v="9"/>
    <s v="TMPV.NS"/>
    <n v="367.25351098774001"/>
    <n v="376.77453735350639"/>
    <n v="366.55928808319447"/>
    <n v="374.29510498046881"/>
    <n v="8800284"/>
    <n v="-0.19"/>
    <n v="2.48"/>
    <x v="5"/>
    <s v="Q1-2026"/>
  </r>
  <r>
    <d v="2026-02-09T00:00:00"/>
    <x v="10"/>
    <s v="SUNPHARMA.NS"/>
    <n v="1702.2386513058059"/>
    <n v="1708.9212106107391"/>
    <n v="1691.566669719738"/>
    <n v="1700.144165039062"/>
    <n v="2647031"/>
    <n v="-0.63"/>
    <n v="8.7799999999999994"/>
    <x v="5"/>
    <s v="Q1-2026"/>
  </r>
  <r>
    <d v="2026-02-09T00:00:00"/>
    <x v="11"/>
    <s v="ASIANPAINT.NS"/>
    <n v="2383.3222888664241"/>
    <n v="2405.3312898812642"/>
    <n v="2376.1842671914319"/>
    <n v="2396.60693359375"/>
    <n v="669839"/>
    <n v="-0.3"/>
    <n v="8.7200000000000006"/>
    <x v="5"/>
    <s v="Q1-2026"/>
  </r>
  <r>
    <d v="2026-02-09T00:00:00"/>
    <x v="12"/>
    <s v="HINDUNILVR.NS"/>
    <n v="2400.58238066687"/>
    <n v="2414.441412967627"/>
    <n v="2377.8139704584828"/>
    <n v="2410.481689453125"/>
    <n v="958484"/>
    <n v="-0.95"/>
    <n v="3.96"/>
    <x v="5"/>
    <s v="Q1-2026"/>
  </r>
  <r>
    <d v="2026-02-09T00:00:00"/>
    <x v="13"/>
    <s v="LT.NS"/>
    <n v="4034.4936336236092"/>
    <n v="4084.8025424042899"/>
    <n v="4023.1048715286011"/>
    <n v="4073.809814453125"/>
    <n v="1830267"/>
    <n v="-0.28000000000000003"/>
    <n v="10.99"/>
    <x v="5"/>
    <s v="Q1-2026"/>
  </r>
  <r>
    <d v="2026-02-09T00:00:00"/>
    <x v="14"/>
    <s v="AXISBANK.NS"/>
    <n v="1348.9596813977639"/>
    <n v="1348.9596813977639"/>
    <n v="1329.674505310247"/>
    <n v="1340.366333007812"/>
    <n v="4077536"/>
    <n v="-1.43"/>
    <n v="8.59"/>
    <x v="5"/>
    <s v="Q1-2026"/>
  </r>
  <r>
    <d v="2026-02-10T00:00:00"/>
    <x v="0"/>
    <s v="RELIANCE.NS"/>
    <n v="1464.2299462371709"/>
    <n v="1464.2299462371709"/>
    <n v="1445.5164217743149"/>
    <n v="1451.787475585938"/>
    <n v="10259630"/>
    <n v="-1.28"/>
    <n v="12.44"/>
    <x v="5"/>
    <s v="Q1-2026"/>
  </r>
  <r>
    <d v="2026-02-10T00:00:00"/>
    <x v="1"/>
    <s v="TCS.NS"/>
    <n v="2894.468444356794"/>
    <n v="2955.1092634739339"/>
    <n v="2888.286570253782"/>
    <n v="2928.61572265625"/>
    <n v="3547763"/>
    <n v="-0.21"/>
    <n v="26.49"/>
    <x v="5"/>
    <s v="Q1-2026"/>
  </r>
  <r>
    <d v="2026-02-10T00:00:00"/>
    <x v="2"/>
    <s v="INFY.NS"/>
    <n v="1468.2284271414339"/>
    <n v="1483.7916723660801"/>
    <n v="1459.419056578585"/>
    <n v="1466.075073242188"/>
    <n v="8657000"/>
    <n v="-0.6"/>
    <n v="17.72"/>
    <x v="5"/>
    <s v="Q1-2026"/>
  </r>
  <r>
    <d v="2026-02-10T00:00:00"/>
    <x v="3"/>
    <s v="HDFCBANK.NS"/>
    <n v="914.86857803669204"/>
    <n v="925.59125527998083"/>
    <n v="914.81940356242058"/>
    <n v="917.22955322265625"/>
    <n v="31525385"/>
    <n v="-0.01"/>
    <n v="8.36"/>
    <x v="5"/>
    <s v="Q1-2026"/>
  </r>
  <r>
    <d v="2026-02-10T00:00:00"/>
    <x v="4"/>
    <s v="ICICIBANK.NS"/>
    <n v="1389.2875574724219"/>
    <n v="1397.7164969717189"/>
    <n v="1383.8335377964061"/>
    <n v="1394.741577148438"/>
    <n v="16497628"/>
    <n v="-0.39"/>
    <n v="2.97"/>
    <x v="5"/>
    <s v="Q1-2026"/>
  </r>
  <r>
    <d v="2026-02-10T00:00:00"/>
    <x v="5"/>
    <s v="WIPRO.NS"/>
    <n v="227.3831120467396"/>
    <n v="230.23059654595471"/>
    <n v="224.63450440404901"/>
    <n v="228.8562927246094"/>
    <n v="12435622"/>
    <n v="-1.21"/>
    <n v="1.37"/>
    <x v="5"/>
    <s v="Q1-2026"/>
  </r>
  <r>
    <d v="2026-02-10T00:00:00"/>
    <x v="6"/>
    <s v="HCLTECH.NS"/>
    <n v="1549.2211687353799"/>
    <n v="1556.4088016328251"/>
    <n v="1522.8018959178021"/>
    <n v="1527.94970703125"/>
    <n v="3234785"/>
    <n v="-1.71"/>
    <n v="28.46"/>
    <x v="5"/>
    <s v="Q1-2026"/>
  </r>
  <r>
    <d v="2026-02-10T00:00:00"/>
    <x v="7"/>
    <s v="BAJFINANCE.NS"/>
    <n v="977.14332471135037"/>
    <n v="979.1311054171357"/>
    <n v="955.42678410329324"/>
    <n v="959.70050048828125"/>
    <n v="6166752"/>
    <n v="-2.2200000000000002"/>
    <n v="19.43"/>
    <x v="5"/>
    <s v="Q1-2026"/>
  </r>
  <r>
    <d v="2026-02-10T00:00:00"/>
    <x v="8"/>
    <s v="MARUTI.NS"/>
    <n v="14849.862040075561"/>
    <n v="15196.381922336141"/>
    <n v="14834.02113117222"/>
    <n v="14995.400390625"/>
    <n v="360240"/>
    <n v="-0.11"/>
    <n v="200.98"/>
    <x v="5"/>
    <s v="Q1-2026"/>
  </r>
  <r>
    <d v="2026-02-10T00:00:00"/>
    <x v="9"/>
    <s v="TMPV.NS"/>
    <n v="374.89016544010428"/>
    <n v="379.35314360010562"/>
    <n v="373.65044928454842"/>
    <n v="376.22906494140619"/>
    <n v="8921719"/>
    <n v="-0.33"/>
    <n v="3.12"/>
    <x v="5"/>
    <s v="Q1-2026"/>
  </r>
  <r>
    <d v="2026-02-10T00:00:00"/>
    <x v="10"/>
    <s v="SUNPHARMA.NS"/>
    <n v="1705.1311593314749"/>
    <n v="1715.30457004807"/>
    <n v="1697.650763988931"/>
    <n v="1703.3359375"/>
    <n v="1869988"/>
    <n v="-0.44"/>
    <n v="11.97"/>
    <x v="5"/>
    <s v="Q1-2026"/>
  </r>
  <r>
    <d v="2026-02-10T00:00:00"/>
    <x v="11"/>
    <s v="ASIANPAINT.NS"/>
    <n v="2398.19339239382"/>
    <n v="2399.1847910678148"/>
    <n v="2366.3693981423048"/>
    <n v="2373.011962890625"/>
    <n v="1513620"/>
    <n v="-1.33"/>
    <n v="26.17"/>
    <x v="5"/>
    <s v="Q1-2026"/>
  </r>
  <r>
    <d v="2026-02-10T00:00:00"/>
    <x v="12"/>
    <s v="HINDUNILVR.NS"/>
    <n v="2410.4817200012822"/>
    <n v="2433.3492202602688"/>
    <n v="2405.631155307482"/>
    <n v="2428.89453125"/>
    <n v="792532"/>
    <n v="-0.2"/>
    <n v="4.45"/>
    <x v="5"/>
    <s v="Q1-2026"/>
  </r>
  <r>
    <d v="2026-02-10T00:00:00"/>
    <x v="13"/>
    <s v="LT.NS"/>
    <n v="4099.9543411939312"/>
    <n v="4134.2197567957373"/>
    <n v="4082.5244868965451"/>
    <n v="4128.673828125"/>
    <n v="1890409"/>
    <n v="-0.43"/>
    <n v="5.55"/>
    <x v="5"/>
    <s v="Q1-2026"/>
  </r>
  <r>
    <d v="2026-02-10T00:00:00"/>
    <x v="14"/>
    <s v="AXISBANK.NS"/>
    <n v="1351.5576029795991"/>
    <n v="1359.05182315209"/>
    <n v="1342.264843151454"/>
    <n v="1355.654418945312"/>
    <n v="5478998"/>
    <n v="-0.69"/>
    <n v="3.4"/>
    <x v="5"/>
    <s v="Q1-2026"/>
  </r>
  <r>
    <d v="2026-02-11T00:00:00"/>
    <x v="0"/>
    <s v="RELIANCE.NS"/>
    <n v="1452.8824569996059"/>
    <n v="1463.234617369774"/>
    <n v="1446.9100708062599"/>
    <n v="1461.940551757812"/>
    <n v="7106877"/>
    <n v="-0.41"/>
    <n v="1.29"/>
    <x v="5"/>
    <s v="Q1-2026"/>
  </r>
  <r>
    <d v="2026-02-11T00:00:00"/>
    <x v="1"/>
    <s v="TCS.NS"/>
    <n v="2924.101908111068"/>
    <n v="2941.76426862986"/>
    <n v="2849.7236975697151"/>
    <n v="2855.21875"/>
    <n v="3363513"/>
    <n v="-2.54"/>
    <n v="86.55"/>
    <x v="5"/>
    <s v="Q1-2026"/>
  </r>
  <r>
    <d v="2026-02-11T00:00:00"/>
    <x v="2"/>
    <s v="INFY.NS"/>
    <n v="1469.402956285207"/>
    <n v="1474.0034770295861"/>
    <n v="1437.8850339676251"/>
    <n v="1440.7236328125"/>
    <n v="7934411"/>
    <n v="-2.14"/>
    <n v="33.28"/>
    <x v="5"/>
    <s v="Q1-2026"/>
  </r>
  <r>
    <d v="2026-02-11T00:00:00"/>
    <x v="3"/>
    <s v="HDFCBANK.NS"/>
    <n v="916.09824919092705"/>
    <n v="920.77096509284047"/>
    <n v="910.24504568432189"/>
    <n v="912.0157470703125"/>
    <n v="24869804"/>
    <n v="-0.64"/>
    <n v="8.76"/>
    <x v="5"/>
    <s v="Q1-2026"/>
  </r>
  <r>
    <d v="2026-02-11T00:00:00"/>
    <x v="4"/>
    <s v="ICICIBANK.NS"/>
    <n v="1395.634151114645"/>
    <n v="1401.187310868494"/>
    <n v="1388.692671159883"/>
    <n v="1394.344970703125"/>
    <n v="8551341"/>
    <n v="-0.5"/>
    <n v="6.84"/>
    <x v="5"/>
    <s v="Q1-2026"/>
  </r>
  <r>
    <d v="2026-02-11T00:00:00"/>
    <x v="5"/>
    <s v="WIPRO.NS"/>
    <n v="228.8562860725321"/>
    <n v="230.36900839714789"/>
    <n v="226.90852973023789"/>
    <n v="227.21502685546881"/>
    <n v="7874912"/>
    <n v="-0.85"/>
    <n v="3.15"/>
    <x v="5"/>
    <s v="Q1-2026"/>
  </r>
  <r>
    <d v="2026-02-11T00:00:00"/>
    <x v="6"/>
    <s v="HCLTECH.NS"/>
    <n v="1528.8238832033501"/>
    <n v="1532.806183455149"/>
    <n v="1501.724630556479"/>
    <n v="1507.066772460938"/>
    <n v="2944646"/>
    <n v="-1.77"/>
    <n v="25.74"/>
    <x v="5"/>
    <s v="Q1-2026"/>
  </r>
  <r>
    <d v="2026-02-11T00:00:00"/>
    <x v="7"/>
    <s v="BAJFINANCE.NS"/>
    <n v="959.40236620085318"/>
    <n v="968.54616977706905"/>
    <n v="955.52623013834886"/>
    <n v="963.03009033203125"/>
    <n v="3597342"/>
    <n v="-0.4"/>
    <n v="5.52"/>
    <x v="5"/>
    <s v="Q1-2026"/>
  </r>
  <r>
    <d v="2026-02-11T00:00:00"/>
    <x v="8"/>
    <s v="MARUTI.NS"/>
    <n v="15029.06267488402"/>
    <n v="15278.556995969049"/>
    <n v="15023.1223339058"/>
    <n v="15258.755859375"/>
    <n v="360742"/>
    <n v="-0.04"/>
    <n v="19.8"/>
    <x v="5"/>
    <s v="Q1-2026"/>
  </r>
  <r>
    <d v="2026-02-11T00:00:00"/>
    <x v="9"/>
    <s v="TMPV.NS"/>
    <n v="379.35315210794988"/>
    <n v="384.16325695268569"/>
    <n v="378.95644898257649"/>
    <n v="381.53506469726563"/>
    <n v="10933658"/>
    <n v="-0.1"/>
    <n v="2.63"/>
    <x v="5"/>
    <s v="Q1-2026"/>
  </r>
  <r>
    <d v="2026-02-11T00:00:00"/>
    <x v="10"/>
    <s v="SUNPHARMA.NS"/>
    <n v="1710.517027100238"/>
    <n v="1712.212534636524"/>
    <n v="1698.0497018298281"/>
    <n v="1706.627197265625"/>
    <n v="1175501"/>
    <n v="-0.73"/>
    <n v="5.59"/>
    <x v="5"/>
    <s v="Q1-2026"/>
  </r>
  <r>
    <d v="2026-02-11T00:00:00"/>
    <x v="11"/>
    <s v="ASIANPAINT.NS"/>
    <n v="2378.3652334566032"/>
    <n v="2385.007555646283"/>
    <n v="2355.8605337199001"/>
    <n v="2371.921142578125"/>
    <n v="3177710"/>
    <n v="-0.95"/>
    <n v="13.09"/>
    <x v="5"/>
    <s v="Q1-2026"/>
  </r>
  <r>
    <d v="2026-02-11T00:00:00"/>
    <x v="12"/>
    <s v="HINDUNILVR.NS"/>
    <n v="2435.2298831546832"/>
    <n v="2445.7232468038119"/>
    <n v="2422.3607821461419"/>
    <n v="2438.1005859375"/>
    <n v="1137856"/>
    <n v="-0.53"/>
    <n v="7.62"/>
    <x v="5"/>
    <s v="Q1-2026"/>
  </r>
  <r>
    <d v="2026-02-11T00:00:00"/>
    <x v="13"/>
    <s v="LT.NS"/>
    <n v="4132.5358763542199"/>
    <n v="4147.1930076310946"/>
    <n v="4100.2511160460617"/>
    <n v="4130.06005859375"/>
    <n v="1689489"/>
    <n v="-0.78"/>
    <n v="17.13"/>
    <x v="5"/>
    <s v="Q1-2026"/>
  </r>
  <r>
    <d v="2026-02-11T00:00:00"/>
    <x v="14"/>
    <s v="AXISBANK.NS"/>
    <n v="1356.953546779846"/>
    <n v="1358.952005611628"/>
    <n v="1343.7637672805849"/>
    <n v="1346.261840820312"/>
    <n v="3866272"/>
    <n v="-0.97"/>
    <n v="12.69"/>
    <x v="5"/>
    <s v="Q1-2026"/>
  </r>
  <r>
    <d v="2026-02-12T00:00:00"/>
    <x v="0"/>
    <s v="RELIANCE.NS"/>
    <n v="1463.23455571302"/>
    <n v="1466.220748683862"/>
    <n v="1438.847313117803"/>
    <n v="1442.231689453125"/>
    <n v="11135399"/>
    <n v="-1.67"/>
    <n v="23.99"/>
    <x v="5"/>
    <s v="Q1-2026"/>
  </r>
  <r>
    <d v="2026-02-12T00:00:00"/>
    <x v="1"/>
    <s v="TCS.NS"/>
    <n v="2815.9690535680861"/>
    <n v="2825.9776765938032"/>
    <n v="2688.603761759382"/>
    <n v="2698.514404296875"/>
    <n v="10612156"/>
    <n v="-4.5199999999999996"/>
    <n v="127.46"/>
    <x v="5"/>
    <s v="Q1-2026"/>
  </r>
  <r>
    <d v="2026-02-12T00:00:00"/>
    <x v="2"/>
    <s v="INFY.NS"/>
    <n v="1398.634423311009"/>
    <n v="1405.290320488539"/>
    <n v="1351.259562174479"/>
    <n v="1356.64306640625"/>
    <n v="26048896"/>
    <n v="-3.39"/>
    <n v="48.65"/>
    <x v="5"/>
    <s v="Q1-2026"/>
  </r>
  <r>
    <d v="2026-02-12T00:00:00"/>
    <x v="3"/>
    <s v="HDFCBANK.NS"/>
    <n v="911.91741497608916"/>
    <n v="913.49135845004059"/>
    <n v="903.55571268127062"/>
    <n v="905.62152099609375"/>
    <n v="33872203"/>
    <n v="-0.92"/>
    <n v="7.87"/>
    <x v="5"/>
    <s v="Q1-2026"/>
  </r>
  <r>
    <d v="2026-02-12T00:00:00"/>
    <x v="4"/>
    <s v="ICICIBANK.NS"/>
    <n v="1394.3449463736549"/>
    <n v="1421.0200859443289"/>
    <n v="1393.551707022548"/>
    <n v="1418.045166015625"/>
    <n v="19646265"/>
    <n v="-0.06"/>
    <n v="2.97"/>
    <x v="5"/>
    <s v="Q1-2026"/>
  </r>
  <r>
    <d v="2026-02-12T00:00:00"/>
    <x v="5"/>
    <s v="WIPRO.NS"/>
    <n v="223.64579895262361"/>
    <n v="223.70511903267629"/>
    <n v="216.03274858721429"/>
    <n v="216.606201171875"/>
    <n v="40899346"/>
    <n v="-3.4"/>
    <n v="7.1"/>
    <x v="5"/>
    <s v="Q1-2026"/>
  </r>
  <r>
    <d v="2026-02-12T00:00:00"/>
    <x v="6"/>
    <s v="HCLTECH.NS"/>
    <n v="1485.1154816104349"/>
    <n v="1490.943272905178"/>
    <n v="1427.323217937563"/>
    <n v="1433.733764648438"/>
    <n v="5397659"/>
    <n v="-3.89"/>
    <n v="57.21"/>
    <x v="5"/>
    <s v="Q1-2026"/>
  </r>
  <r>
    <d v="2026-02-12T00:00:00"/>
    <x v="7"/>
    <s v="BAJFINANCE.NS"/>
    <n v="962.3840381852973"/>
    <n v="995.87815596239147"/>
    <n v="959.10421207954869"/>
    <n v="992.995849609375"/>
    <n v="10346853"/>
    <n v="-0.34"/>
    <n v="2.88"/>
    <x v="5"/>
    <s v="Q1-2026"/>
  </r>
  <r>
    <d v="2026-02-12T00:00:00"/>
    <x v="8"/>
    <s v="MARUTI.NS"/>
    <n v="15305.287904528561"/>
    <n v="15305.287904528561"/>
    <n v="15113.216887420171"/>
    <n v="15173.6103515625"/>
    <n v="201895"/>
    <n v="-1.25"/>
    <n v="131.68"/>
    <x v="5"/>
    <s v="Q1-2026"/>
  </r>
  <r>
    <d v="2026-02-12T00:00:00"/>
    <x v="9"/>
    <s v="TMPV.NS"/>
    <n v="381.83258508431032"/>
    <n v="383.71694763272342"/>
    <n v="377.02248023189458"/>
    <n v="380.29534912109381"/>
    <n v="8324442"/>
    <n v="-1.26"/>
    <n v="3.42"/>
    <x v="5"/>
    <s v="Q1-2026"/>
  </r>
  <r>
    <d v="2026-02-12T00:00:00"/>
    <x v="10"/>
    <s v="SUNPHARMA.NS"/>
    <n v="1710.3176441438629"/>
    <n v="1714.5066168457879"/>
    <n v="1696.7530964874411"/>
    <n v="1710.417358398438"/>
    <n v="1359444"/>
    <n v="-0.79"/>
    <n v="4.09"/>
    <x v="5"/>
    <s v="Q1-2026"/>
  </r>
  <r>
    <d v="2026-02-12T00:00:00"/>
    <x v="11"/>
    <s v="ASIANPAINT.NS"/>
    <n v="2377.373874755302"/>
    <n v="2393.1370158909122"/>
    <n v="2356.5545038754599"/>
    <n v="2389.766357421875"/>
    <n v="607767"/>
    <n v="-0.88"/>
    <n v="3.37"/>
    <x v="5"/>
    <s v="Q1-2026"/>
  </r>
  <r>
    <d v="2026-02-12T00:00:00"/>
    <x v="12"/>
    <s v="HINDUNILVR.NS"/>
    <n v="2450.0788110107151"/>
    <n v="2454.632589514214"/>
    <n v="2326.4365466754712"/>
    <n v="2385.436279296875"/>
    <n v="4656164"/>
    <n v="-5.05"/>
    <n v="69.2"/>
    <x v="5"/>
    <s v="Q1-2026"/>
  </r>
  <r>
    <d v="2026-02-12T00:00:00"/>
    <x v="13"/>
    <s v="LT.NS"/>
    <n v="4147.3908104715347"/>
    <n v="4158.3835381126864"/>
    <n v="4120.6519784808124"/>
    <n v="4145.41015625"/>
    <n v="2006458"/>
    <n v="-0.64"/>
    <n v="12.97"/>
    <x v="5"/>
    <s v="Q1-2026"/>
  </r>
  <r>
    <d v="2026-02-12T00:00:00"/>
    <x v="14"/>
    <s v="AXISBANK.NS"/>
    <n v="1346.861343947998"/>
    <n v="1356.653718964355"/>
    <n v="1335.1702866842279"/>
    <n v="1338.967407226562"/>
    <n v="4152620"/>
    <n v="-0.87"/>
    <n v="17.690000000000001"/>
    <x v="5"/>
    <s v="Q1-2026"/>
  </r>
  <r>
    <d v="2026-02-13T00:00:00"/>
    <x v="0"/>
    <s v="RELIANCE.NS"/>
    <n v="1438.847352645196"/>
    <n v="1444.0233720001161"/>
    <n v="1409.78178886725"/>
    <n v="1413.066528320312"/>
    <n v="10755693"/>
    <n v="-2.02"/>
    <n v="30.96"/>
    <x v="5"/>
    <s v="Q1-2026"/>
  </r>
  <r>
    <d v="2026-02-13T00:00:00"/>
    <x v="1"/>
    <s v="TCS.NS"/>
    <n v="2536.5113141072061"/>
    <n v="2662.1103269527462"/>
    <n v="2536.5113141072061"/>
    <n v="2641.700439453125"/>
    <n v="11168735"/>
    <n v="0"/>
    <n v="20.41"/>
    <x v="5"/>
    <s v="Q1-2026"/>
  </r>
  <r>
    <d v="2026-02-13T00:00:00"/>
    <x v="2"/>
    <s v="INFY.NS"/>
    <n v="1266.493817560756"/>
    <n v="1348.127338939395"/>
    <n v="1254.3564391221671"/>
    <n v="1340.100952148438"/>
    <n v="45785709"/>
    <n v="-0.96"/>
    <n v="8.0299999999999994"/>
    <x v="5"/>
    <s v="Q1-2026"/>
  </r>
  <r>
    <d v="2026-02-13T00:00:00"/>
    <x v="3"/>
    <s v="HDFCBANK.NS"/>
    <n v="898.14515292820863"/>
    <n v="913.09785532491696"/>
    <n v="886.34039735850592"/>
    <n v="889.1932373046875"/>
    <n v="50188359"/>
    <n v="-1.31"/>
    <n v="23.9"/>
    <x v="5"/>
    <s v="Q1-2026"/>
  </r>
  <r>
    <d v="2026-02-13T00:00:00"/>
    <x v="4"/>
    <s v="ICICIBANK.NS"/>
    <n v="1413.3845464564511"/>
    <n v="1422.4084462850301"/>
    <n v="1398.906505554771"/>
    <n v="1402.77392578125"/>
    <n v="12228083"/>
    <n v="-1.02"/>
    <n v="19.63"/>
    <x v="5"/>
    <s v="Q1-2026"/>
  </r>
  <r>
    <d v="2026-02-13T00:00:00"/>
    <x v="5"/>
    <s v="WIPRO.NS"/>
    <n v="208.2713725669781"/>
    <n v="214.035543080168"/>
    <n v="206.64989175146499"/>
    <n v="211.67253112792969"/>
    <n v="23721186"/>
    <n v="-0.78"/>
    <n v="2.36"/>
    <x v="5"/>
    <s v="Q1-2026"/>
  </r>
  <r>
    <d v="2026-02-13T00:00:00"/>
    <x v="6"/>
    <s v="HCLTECH.NS"/>
    <n v="1382.1578280610399"/>
    <n v="1434.4137371530001"/>
    <n v="1355.932767374007"/>
    <n v="1413.43359375"/>
    <n v="7214938"/>
    <n v="-1.9"/>
    <n v="20.98"/>
    <x v="5"/>
    <s v="Q1-2026"/>
  </r>
  <r>
    <d v="2026-02-13T00:00:00"/>
    <x v="7"/>
    <s v="BAJFINANCE.NS"/>
    <n v="988.92089784188977"/>
    <n v="1025.694840776714"/>
    <n v="986.73432694034159"/>
    <n v="1018.489135742188"/>
    <n v="21613987"/>
    <n v="-0.22"/>
    <n v="7.21"/>
    <x v="5"/>
    <s v="Q1-2026"/>
  </r>
  <r>
    <d v="2026-02-13T00:00:00"/>
    <x v="8"/>
    <s v="MARUTI.NS"/>
    <n v="15156.780186337121"/>
    <n v="15280.5372915231"/>
    <n v="15038.96342220007"/>
    <n v="15085.49609375"/>
    <n v="208645"/>
    <n v="-0.78"/>
    <n v="195.04"/>
    <x v="5"/>
    <s v="Q1-2026"/>
  </r>
  <r>
    <d v="2026-02-13T00:00:00"/>
    <x v="9"/>
    <s v="TMPV.NS"/>
    <n v="375.8819573657596"/>
    <n v="384.31202764968822"/>
    <n v="371.31979562939051"/>
    <n v="377.12167358398438"/>
    <n v="15565868"/>
    <n v="-1.21"/>
    <n v="7.19"/>
    <x v="5"/>
    <s v="Q1-2026"/>
  </r>
  <r>
    <d v="2026-02-13T00:00:00"/>
    <x v="10"/>
    <s v="SUNPHARMA.NS"/>
    <n v="1710.417284984564"/>
    <n v="1714.506543256397"/>
    <n v="1690.170300374765"/>
    <n v="1693.062744140625"/>
    <n v="1148165"/>
    <n v="-1.18"/>
    <n v="21.44"/>
    <x v="5"/>
    <s v="Q1-2026"/>
  </r>
  <r>
    <d v="2026-02-13T00:00:00"/>
    <x v="11"/>
    <s v="ASIANPAINT.NS"/>
    <n v="2388.1800966660048"/>
    <n v="2391.0552979579561"/>
    <n v="2339.8000364723521"/>
    <n v="2346.045654296875"/>
    <n v="675635"/>
    <n v="-2.0299999999999998"/>
    <n v="45.01"/>
    <x v="5"/>
    <s v="Q1-2026"/>
  </r>
  <r>
    <d v="2026-02-13T00:00:00"/>
    <x v="12"/>
    <s v="HINDUNILVR.NS"/>
    <n v="2375.8340174149839"/>
    <n v="2375.8340174149839"/>
    <n v="2277.1379609446699"/>
    <n v="2281.988525390625"/>
    <n v="2791519"/>
    <n v="-4.1500000000000004"/>
    <n v="93.85"/>
    <x v="5"/>
    <s v="Q1-2026"/>
  </r>
  <r>
    <d v="2026-02-13T00:00:00"/>
    <x v="13"/>
    <s v="LT.NS"/>
    <n v="4133.7246260394531"/>
    <n v="4158.3836751988474"/>
    <n v="4094.1115403028598"/>
    <n v="4133.5263671875"/>
    <n v="2234376"/>
    <n v="-0.96"/>
    <n v="24.86"/>
    <x v="5"/>
    <s v="Q1-2026"/>
  </r>
  <r>
    <d v="2026-02-13T00:00:00"/>
    <x v="14"/>
    <s v="AXISBANK.NS"/>
    <n v="1340.266379604237"/>
    <n v="1345.4623234479261"/>
    <n v="1315.085726729754"/>
    <n v="1331.273315429688"/>
    <n v="4624549"/>
    <n v="-1.88"/>
    <n v="14.19"/>
    <x v="5"/>
    <s v="Q1-2026"/>
  </r>
  <r>
    <d v="2026-02-16T00:00:00"/>
    <x v="0"/>
    <s v="RELIANCE.NS"/>
    <n v="1413.5642015872461"/>
    <n v="1432.974456079771"/>
    <n v="1402.813979696489"/>
    <n v="1430.485961914062"/>
    <n v="5896514"/>
    <n v="-0.76"/>
    <n v="2.4900000000000002"/>
    <x v="5"/>
    <s v="Q1-2026"/>
  </r>
  <r>
    <d v="2026-02-16T00:00:00"/>
    <x v="1"/>
    <s v="TCS.NS"/>
    <n v="2649.3540277067941"/>
    <n v="2668.782671822195"/>
    <n v="2620.8980029647578"/>
    <n v="2655.830322265625"/>
    <n v="2918730"/>
    <n v="-1.07"/>
    <n v="12.95"/>
    <x v="5"/>
    <s v="Q1-2026"/>
  </r>
  <r>
    <d v="2026-02-16T00:00:00"/>
    <x v="2"/>
    <s v="INFY.NS"/>
    <n v="1344.6035807140281"/>
    <n v="1346.8549121546939"/>
    <n v="1309.9534845210951"/>
    <n v="1336.675170898438"/>
    <n v="14621891"/>
    <n v="-2.58"/>
    <n v="10.18"/>
    <x v="5"/>
    <s v="Q1-2026"/>
  </r>
  <r>
    <d v="2026-02-16T00:00:00"/>
    <x v="3"/>
    <s v="HDFCBANK.NS"/>
    <n v="889.1932346170704"/>
    <n v="914.37668907281477"/>
    <n v="887.42247325329379"/>
    <n v="910.73687744140625"/>
    <n v="18806989"/>
    <n v="-0.2"/>
    <n v="3.64"/>
    <x v="5"/>
    <s v="Q1-2026"/>
  </r>
  <r>
    <d v="2026-02-16T00:00:00"/>
    <x v="4"/>
    <s v="ICICIBANK.NS"/>
    <n v="1392.262510672289"/>
    <n v="1402.1789103209519"/>
    <n v="1388.791770795257"/>
    <n v="1399.798950195312"/>
    <n v="5000042"/>
    <n v="-0.25"/>
    <n v="2.38"/>
    <x v="5"/>
    <s v="Q1-2026"/>
  </r>
  <r>
    <d v="2026-02-16T00:00:00"/>
    <x v="5"/>
    <s v="WIPRO.NS"/>
    <n v="212.196541903493"/>
    <n v="214.46069205360621"/>
    <n v="207.73747350293789"/>
    <n v="210.8518981933594"/>
    <n v="20754327"/>
    <n v="-2.1"/>
    <n v="3.61"/>
    <x v="5"/>
    <s v="Q1-2026"/>
  </r>
  <r>
    <d v="2026-02-16T00:00:00"/>
    <x v="6"/>
    <s v="HCLTECH.NS"/>
    <n v="1409.451272872413"/>
    <n v="1424.8949432094989"/>
    <n v="1405.274760334323"/>
    <n v="1419.84423828125"/>
    <n v="2388700"/>
    <n v="-0.3"/>
    <n v="5.05"/>
    <x v="5"/>
    <s v="Q1-2026"/>
  </r>
  <r>
    <d v="2026-02-16T00:00:00"/>
    <x v="7"/>
    <s v="BAJFINANCE.NS"/>
    <n v="1016.799497305203"/>
    <n v="1023.011372574742"/>
    <n v="997.17016314617479"/>
    <n v="1006.562438964844"/>
    <n v="4460636"/>
    <n v="-1.93"/>
    <n v="16.45"/>
    <x v="5"/>
    <s v="Q1-2026"/>
  </r>
  <r>
    <d v="2026-02-16T00:00:00"/>
    <x v="8"/>
    <s v="MARUTI.NS"/>
    <n v="15085.49528925871"/>
    <n v="15146.878810157439"/>
    <n v="14811.249558791769"/>
    <n v="14901.3447265625"/>
    <n v="210175"/>
    <n v="-1.82"/>
    <n v="245.53"/>
    <x v="5"/>
    <s v="Q1-2026"/>
  </r>
  <r>
    <d v="2026-02-16T00:00:00"/>
    <x v="9"/>
    <s v="TMPV.NS"/>
    <n v="375.18768124015247"/>
    <n v="376.47700418819011"/>
    <n v="372.01402607542138"/>
    <n v="374.14633178710938"/>
    <n v="5004467"/>
    <n v="-0.85"/>
    <n v="2.33"/>
    <x v="5"/>
    <s v="Q1-2026"/>
  </r>
  <r>
    <d v="2026-02-16T00:00:00"/>
    <x v="10"/>
    <s v="SUNPHARMA.NS"/>
    <n v="1693.0627735724561"/>
    <n v="1710.51702897011"/>
    <n v="1688.9735152295359"/>
    <n v="1696.054931640625"/>
    <n v="1247403"/>
    <n v="-0.24"/>
    <n v="14.46"/>
    <x v="5"/>
    <s v="Q1-2026"/>
  </r>
  <r>
    <d v="2026-02-16T00:00:00"/>
    <x v="11"/>
    <s v="ASIANPAINT.NS"/>
    <n v="2339.7008289395249"/>
    <n v="2384.413005156297"/>
    <n v="2336.5284016474061"/>
    <n v="2376.580810546875"/>
    <n v="683108"/>
    <n v="-0.14000000000000001"/>
    <n v="7.83"/>
    <x v="5"/>
    <s v="Q1-2026"/>
  </r>
  <r>
    <d v="2026-02-16T00:00:00"/>
    <x v="12"/>
    <s v="HINDUNILVR.NS"/>
    <n v="2284.8595085309048"/>
    <n v="2303.5691050619539"/>
    <n v="2265.0608913838319"/>
    <n v="2295.649658203125"/>
    <n v="2036833"/>
    <n v="-0.87"/>
    <n v="7.92"/>
    <x v="5"/>
    <s v="Q1-2026"/>
  </r>
  <r>
    <d v="2026-02-16T00:00:00"/>
    <x v="13"/>
    <s v="LT.NS"/>
    <n v="4129.6640708675477"/>
    <n v="4165.3158470189219"/>
    <n v="4095.299526542819"/>
    <n v="4160.859375"/>
    <n v="852552"/>
    <n v="-0.83"/>
    <n v="4.46"/>
    <x v="5"/>
    <s v="Q1-2026"/>
  </r>
  <r>
    <d v="2026-02-16T00:00:00"/>
    <x v="14"/>
    <s v="AXISBANK.NS"/>
    <n v="1322.979679872572"/>
    <n v="1360.850497218855"/>
    <n v="1322.979679872572"/>
    <n v="1357.253295898438"/>
    <n v="5082167"/>
    <n v="0"/>
    <n v="3.6"/>
    <x v="5"/>
    <s v="Q1-2026"/>
  </r>
  <r>
    <d v="2026-02-17T00:00:00"/>
    <x v="0"/>
    <s v="RELIANCE.NS"/>
    <n v="1424.513624806284"/>
    <n v="1425.210476101701"/>
    <n v="1412.0711535507121"/>
    <n v="1416.450927734375"/>
    <n v="10731630"/>
    <n v="-0.87"/>
    <n v="8.76"/>
    <x v="5"/>
    <s v="Q1-2026"/>
  </r>
  <r>
    <d v="2026-02-17T00:00:00"/>
    <x v="1"/>
    <s v="TCS.NS"/>
    <n v="2665.053846962438"/>
    <n v="2708.2285042769981"/>
    <n v="2644.6439610469729"/>
    <n v="2666.427490234375"/>
    <n v="4209118"/>
    <n v="-0.77"/>
    <n v="41.8"/>
    <x v="5"/>
    <s v="Q1-2026"/>
  </r>
  <r>
    <d v="2026-02-17T00:00:00"/>
    <x v="2"/>
    <s v="INFY.NS"/>
    <n v="1340.98199568121"/>
    <n v="1400.6899531531469"/>
    <n v="1338.04553875636"/>
    <n v="1361.73291015625"/>
    <n v="25347684"/>
    <n v="-0.22"/>
    <n v="38.96"/>
    <x v="5"/>
    <s v="Q1-2026"/>
  </r>
  <r>
    <d v="2026-02-17T00:00:00"/>
    <x v="3"/>
    <s v="HDFCBANK.NS"/>
    <n v="907.98246773896108"/>
    <n v="912.99946494148321"/>
    <n v="903.6540332583628"/>
    <n v="910.6385498046875"/>
    <n v="22599629"/>
    <n v="-0.48"/>
    <n v="2.36"/>
    <x v="5"/>
    <s v="Q1-2026"/>
  </r>
  <r>
    <d v="2026-02-17T00:00:00"/>
    <x v="4"/>
    <s v="ICICIBANK.NS"/>
    <n v="1394.444095969094"/>
    <n v="1401.7822560548041"/>
    <n v="1381.9494563906169"/>
    <n v="1395.733276367188"/>
    <n v="11756187"/>
    <n v="-0.9"/>
    <n v="6.05"/>
    <x v="5"/>
    <s v="Q1-2026"/>
  </r>
  <r>
    <d v="2026-02-17T00:00:00"/>
    <x v="5"/>
    <s v="WIPRO.NS"/>
    <n v="210.85190209079789"/>
    <n v="216.91268809220369"/>
    <n v="209.8631939058503"/>
    <n v="213.25447082519531"/>
    <n v="26941553"/>
    <n v="-0.47"/>
    <n v="3.66"/>
    <x v="5"/>
    <s v="Q1-2026"/>
  </r>
  <r>
    <d v="2026-02-17T00:00:00"/>
    <x v="6"/>
    <s v="HCLTECH.NS"/>
    <n v="1421.9811114590241"/>
    <n v="1467.340707410161"/>
    <n v="1416.1533200186179"/>
    <n v="1440.047241210938"/>
    <n v="2840341"/>
    <n v="-0.41"/>
    <n v="27.29"/>
    <x v="5"/>
    <s v="Q1-2026"/>
  </r>
  <r>
    <d v="2026-02-17T00:00:00"/>
    <x v="7"/>
    <s v="BAJFINANCE.NS"/>
    <n v="1006.562447708012"/>
    <n v="1010.140428687987"/>
    <n v="997.86590718226967"/>
    <n v="1007.953918457031"/>
    <n v="2913899"/>
    <n v="-0.86"/>
    <n v="2.19"/>
    <x v="5"/>
    <s v="Q1-2026"/>
  </r>
  <r>
    <d v="2026-02-17T00:00:00"/>
    <x v="8"/>
    <s v="MARUTI.NS"/>
    <n v="14881.54385826533"/>
    <n v="15059.754083432499"/>
    <n v="14811.249825004939"/>
    <n v="15028.072265625"/>
    <n v="166765"/>
    <n v="-0.47"/>
    <n v="31.68"/>
    <x v="5"/>
    <s v="Q1-2026"/>
  </r>
  <r>
    <d v="2026-02-17T00:00:00"/>
    <x v="9"/>
    <s v="TMPV.NS"/>
    <n v="373.00581933100278"/>
    <n v="380.44411659126013"/>
    <n v="370.47678010261001"/>
    <n v="379.70028686523438"/>
    <n v="7843059"/>
    <n v="-0.68"/>
    <n v="0.74"/>
    <x v="5"/>
    <s v="Q1-2026"/>
  </r>
  <r>
    <d v="2026-02-17T00:00:00"/>
    <x v="10"/>
    <s v="SUNPHARMA.NS"/>
    <n v="1691.566750836012"/>
    <n v="1714.5066301221141"/>
    <n v="1689.4722644688311"/>
    <n v="1712.611572265625"/>
    <n v="1053855"/>
    <n v="-0.12"/>
    <n v="1.9"/>
    <x v="5"/>
    <s v="Q1-2026"/>
  </r>
  <r>
    <d v="2026-02-17T00:00:00"/>
    <x v="11"/>
    <s v="ASIANPAINT.NS"/>
    <n v="2378.860904894932"/>
    <n v="2431.3057932292968"/>
    <n v="2378.860904894932"/>
    <n v="2416.434814453125"/>
    <n v="1004356"/>
    <n v="0"/>
    <n v="14.87"/>
    <x v="5"/>
    <s v="Q1-2026"/>
  </r>
  <r>
    <d v="2026-02-17T00:00:00"/>
    <x v="12"/>
    <s v="HINDUNILVR.NS"/>
    <n v="2286.047297375419"/>
    <n v="2302.579093779329"/>
    <n v="2280.2065605116368"/>
    <n v="2289.01708984375"/>
    <n v="1233244"/>
    <n v="-0.26"/>
    <n v="13.56"/>
    <x v="5"/>
    <s v="Q1-2026"/>
  </r>
  <r>
    <d v="2026-02-17T00:00:00"/>
    <x v="13"/>
    <s v="LT.NS"/>
    <n v="4169.3763446765579"/>
    <n v="4245.5324042245147"/>
    <n v="4149.5698020862874"/>
    <n v="4238.40185546875"/>
    <n v="1763048"/>
    <n v="-0.48"/>
    <n v="7.13"/>
    <x v="5"/>
    <s v="Q1-2026"/>
  </r>
  <r>
    <d v="2026-02-17T00:00:00"/>
    <x v="14"/>
    <s v="AXISBANK.NS"/>
    <n v="1357.253302622823"/>
    <n v="1359.8512745906489"/>
    <n v="1349.35936620131"/>
    <n v="1356.154052734375"/>
    <n v="4513065"/>
    <n v="-0.57999999999999996"/>
    <n v="3.7"/>
    <x v="5"/>
    <s v="Q1-2026"/>
  </r>
  <r>
    <d v="2026-02-18T00:00:00"/>
    <x v="0"/>
    <s v="RELIANCE.NS"/>
    <n v="1420.4325123887011"/>
    <n v="1435.4629932986811"/>
    <n v="1412.668361755422"/>
    <n v="1434.666748046875"/>
    <n v="5521096"/>
    <n v="-0.55000000000000004"/>
    <n v="0.8"/>
    <x v="5"/>
    <s v="Q1-2026"/>
  </r>
  <r>
    <d v="2026-02-18T00:00:00"/>
    <x v="1"/>
    <s v="TCS.NS"/>
    <n v="2678.7913077273611"/>
    <n v="2678.7913077273611"/>
    <n v="2607.455044990576"/>
    <n v="2644.349609375"/>
    <n v="2950820"/>
    <n v="-2.66"/>
    <n v="34.44"/>
    <x v="5"/>
    <s v="Q1-2026"/>
  </r>
  <r>
    <d v="2026-02-18T00:00:00"/>
    <x v="2"/>
    <s v="INFY.NS"/>
    <n v="1361.4392729027979"/>
    <n v="1371.325320193542"/>
    <n v="1316.805153615715"/>
    <n v="1344.603515625"/>
    <n v="20241373"/>
    <n v="-3.28"/>
    <n v="26.72"/>
    <x v="5"/>
    <s v="Q1-2026"/>
  </r>
  <r>
    <d v="2026-02-18T00:00:00"/>
    <x v="3"/>
    <s v="HDFCBANK.NS"/>
    <n v="908.17925167288729"/>
    <n v="910.44181792619747"/>
    <n v="904.58861432765332"/>
    <n v="909.65484619140625"/>
    <n v="12738702"/>
    <n v="-0.4"/>
    <n v="0.79"/>
    <x v="5"/>
    <s v="Q1-2026"/>
  </r>
  <r>
    <d v="2026-02-18T00:00:00"/>
    <x v="4"/>
    <s v="ICICIBANK.NS"/>
    <n v="1398.311508331635"/>
    <n v="1400.4931889124359"/>
    <n v="1387.20518900142"/>
    <n v="1396.427368164062"/>
    <n v="4758071"/>
    <n v="-0.79"/>
    <n v="4.07"/>
    <x v="5"/>
    <s v="Q1-2026"/>
  </r>
  <r>
    <d v="2026-02-18T00:00:00"/>
    <x v="5"/>
    <s v="WIPRO.NS"/>
    <n v="213.75871154399289"/>
    <n v="213.9564501682872"/>
    <n v="207.8857823748628"/>
    <n v="209.55670166015619"/>
    <n v="22679760"/>
    <n v="-2.75"/>
    <n v="4.4000000000000004"/>
    <x v="5"/>
    <s v="Q1-2026"/>
  </r>
  <r>
    <d v="2026-02-18T00:00:00"/>
    <x v="6"/>
    <s v="HCLTECH.NS"/>
    <n v="1440.630010724775"/>
    <n v="1440.630010724775"/>
    <n v="1401.9723982655439"/>
    <n v="1425.089233398438"/>
    <n v="2036245"/>
    <n v="-2.68"/>
    <n v="15.54"/>
    <x v="5"/>
    <s v="Q1-2026"/>
  </r>
  <r>
    <d v="2026-02-18T00:00:00"/>
    <x v="7"/>
    <s v="BAJFINANCE.NS"/>
    <n v="1008.3514361946239"/>
    <n v="1019.433277130915"/>
    <n v="1000.897258615941"/>
    <n v="1017.544921875"/>
    <n v="4929647"/>
    <n v="-0.74"/>
    <n v="1.89"/>
    <x v="5"/>
    <s v="Q1-2026"/>
  </r>
  <r>
    <d v="2026-02-18T00:00:00"/>
    <x v="8"/>
    <s v="MARUTI.NS"/>
    <n v="15056.7841799451"/>
    <n v="15087.475941490229"/>
    <n v="14924.116565524229"/>
    <n v="15013.2216796875"/>
    <n v="280772"/>
    <n v="-0.88"/>
    <n v="74.25"/>
    <x v="5"/>
    <s v="Q1-2026"/>
  </r>
  <r>
    <d v="2026-02-18T00:00:00"/>
    <x v="9"/>
    <s v="TMPV.NS"/>
    <n v="379.70028686523438"/>
    <n v="382.32847917722353"/>
    <n v="375.88195488500048"/>
    <n v="379.70028686523438"/>
    <n v="4796850"/>
    <n v="-1.01"/>
    <n v="2.63"/>
    <x v="5"/>
    <s v="Q1-2026"/>
  </r>
  <r>
    <d v="2026-02-18T00:00:00"/>
    <x v="10"/>
    <s v="SUNPHARMA.NS"/>
    <n v="1715.902912023826"/>
    <n v="1726.0762006020341"/>
    <n v="1712.6114894978759"/>
    <n v="1719.892456054688"/>
    <n v="1262429"/>
    <n v="-0.19"/>
    <n v="6.18"/>
    <x v="5"/>
    <s v="Q1-2026"/>
  </r>
  <r>
    <d v="2026-02-18T00:00:00"/>
    <x v="11"/>
    <s v="ASIANPAINT.NS"/>
    <n v="2419.0126162907768"/>
    <n v="2427.1420365111599"/>
    <n v="2395.71474887978"/>
    <n v="2411.1806640625"/>
    <n v="551809"/>
    <n v="-0.96"/>
    <n v="15.96"/>
    <x v="5"/>
    <s v="Q1-2026"/>
  </r>
  <r>
    <d v="2026-02-18T00:00:00"/>
    <x v="12"/>
    <s v="HINDUNILVR.NS"/>
    <n v="2289.3143418344698"/>
    <n v="2305.4500224815529"/>
    <n v="2282.7807010907568"/>
    <n v="2300.1044921875"/>
    <n v="830787"/>
    <n v="-0.28999999999999998"/>
    <n v="5.35"/>
    <x v="5"/>
    <s v="Q1-2026"/>
  </r>
  <r>
    <d v="2026-02-18T00:00:00"/>
    <x v="13"/>
    <s v="LT.NS"/>
    <n v="4248.9986676927656"/>
    <n v="4293.0682261853253"/>
    <n v="4219.8831459845987"/>
    <n v="4284.05615234375"/>
    <n v="2042626"/>
    <n v="-0.69"/>
    <n v="9.01"/>
    <x v="5"/>
    <s v="Q1-2026"/>
  </r>
  <r>
    <d v="2026-02-18T00:00:00"/>
    <x v="14"/>
    <s v="AXISBANK.NS"/>
    <n v="1361.949631590556"/>
    <n v="1377.4376868287461"/>
    <n v="1352.7567701751591"/>
    <n v="1375.938842773438"/>
    <n v="5556076"/>
    <n v="-0.67"/>
    <n v="1.5"/>
    <x v="5"/>
    <s v="Q1-2026"/>
  </r>
  <r>
    <d v="2026-02-19T00:00:00"/>
    <x v="0"/>
    <s v="RELIANCE.NS"/>
    <n v="1436.3588845536151"/>
    <n v="1436.3588845536151"/>
    <n v="1393.5567833507009"/>
    <n v="1403.013061523438"/>
    <n v="11884664"/>
    <n v="-2.98"/>
    <n v="33.35"/>
    <x v="5"/>
    <s v="Q1-2026"/>
  </r>
  <r>
    <d v="2026-02-19T00:00:00"/>
    <x v="1"/>
    <s v="TCS.NS"/>
    <n v="2657.2039438116431"/>
    <n v="2697.1404544345551"/>
    <n v="2616.5806115438331"/>
    <n v="2627.66845703125"/>
    <n v="3238849"/>
    <n v="-1.53"/>
    <n v="69.47"/>
    <x v="5"/>
    <s v="Q1-2026"/>
  </r>
  <r>
    <d v="2026-02-19T00:00:00"/>
    <x v="2"/>
    <s v="INFY.NS"/>
    <n v="1355.6643110050511"/>
    <n v="1372.304233956015"/>
    <n v="1334.326009074035"/>
    <n v="1341.471435546875"/>
    <n v="14574228"/>
    <n v="-1.57"/>
    <n v="30.83"/>
    <x v="5"/>
    <s v="Q1-2026"/>
  </r>
  <r>
    <d v="2026-02-19T00:00:00"/>
    <x v="3"/>
    <s v="HDFCBANK.NS"/>
    <n v="913.88488273263658"/>
    <n v="914.0816406792112"/>
    <n v="897.60416835868193"/>
    <n v="900.702880859375"/>
    <n v="21209234"/>
    <n v="-1.78"/>
    <n v="13.38"/>
    <x v="5"/>
    <s v="Q1-2026"/>
  </r>
  <r>
    <d v="2026-02-19T00:00:00"/>
    <x v="4"/>
    <s v="ICICIBANK.NS"/>
    <n v="1396.724957084657"/>
    <n v="1400.493237550673"/>
    <n v="1373.2231372171059"/>
    <n v="1377.189697265625"/>
    <n v="14323091"/>
    <n v="-1.68"/>
    <n v="23.3"/>
    <x v="5"/>
    <s v="Q1-2026"/>
  </r>
  <r>
    <d v="2026-02-19T00:00:00"/>
    <x v="5"/>
    <s v="WIPRO.NS"/>
    <n v="211.58354712325851"/>
    <n v="213.00728929344021"/>
    <n v="208.02419169780421"/>
    <n v="208.82505798339841"/>
    <n v="14151588"/>
    <n v="-1.68"/>
    <n v="4.18"/>
    <x v="5"/>
    <s v="Q1-2026"/>
  </r>
  <r>
    <d v="2026-02-19T00:00:00"/>
    <x v="6"/>
    <s v="HCLTECH.NS"/>
    <n v="1427.80878911285"/>
    <n v="1458.6961287121801"/>
    <n v="1401.583729720981"/>
    <n v="1408.771362304688"/>
    <n v="2397127"/>
    <n v="-1.84"/>
    <n v="49.92"/>
    <x v="5"/>
    <s v="Q1-2026"/>
  </r>
  <r>
    <d v="2026-02-19T00:00:00"/>
    <x v="7"/>
    <s v="BAJFINANCE.NS"/>
    <n v="1017.743731796499"/>
    <n v="1018.24067697804"/>
    <n v="1000.847595624096"/>
    <n v="1010.836181640625"/>
    <n v="9866245"/>
    <n v="-1.66"/>
    <n v="7.4"/>
    <x v="5"/>
    <s v="Q1-2026"/>
  </r>
  <r>
    <d v="2026-02-19T00:00:00"/>
    <x v="8"/>
    <s v="MARUTI.NS"/>
    <n v="15012.231172781911"/>
    <n v="15127.07776092691"/>
    <n v="14705.31356653233"/>
    <n v="14754.81640625"/>
    <n v="152788"/>
    <n v="-2.04"/>
    <n v="372.26"/>
    <x v="5"/>
    <s v="Q1-2026"/>
  </r>
  <r>
    <d v="2026-02-19T00:00:00"/>
    <x v="9"/>
    <s v="TMPV.NS"/>
    <n v="378.80768112824882"/>
    <n v="383.61775560532919"/>
    <n v="370.92307426127888"/>
    <n v="372.60910034179688"/>
    <n v="6910527"/>
    <n v="-2.08"/>
    <n v="11.01"/>
    <x v="5"/>
    <s v="Q1-2026"/>
  </r>
  <r>
    <d v="2026-02-19T00:00:00"/>
    <x v="10"/>
    <s v="SUNPHARMA.NS"/>
    <n v="1717.698188746426"/>
    <n v="1722.48569043713"/>
    <n v="1705.530127763458"/>
    <n v="1708.921264648438"/>
    <n v="1143429"/>
    <n v="-0.71"/>
    <n v="13.56"/>
    <x v="5"/>
    <s v="Q1-2026"/>
  </r>
  <r>
    <d v="2026-02-19T00:00:00"/>
    <x v="11"/>
    <s v="ASIANPAINT.NS"/>
    <n v="2399.1847078158048"/>
    <n v="2407.1158969325511"/>
    <n v="2370.5333839478321"/>
    <n v="2380.14990234375"/>
    <n v="971600"/>
    <n v="-1.19"/>
    <n v="26.97"/>
    <x v="5"/>
    <s v="Q1-2026"/>
  </r>
  <r>
    <d v="2026-02-19T00:00:00"/>
    <x v="12"/>
    <s v="HINDUNILVR.NS"/>
    <n v="2312.4783943638472"/>
    <n v="2313.8642008382221"/>
    <n v="2252.686669538672"/>
    <n v="2256.349365234375"/>
    <n v="940180"/>
    <n v="-2.59"/>
    <n v="57.51"/>
    <x v="5"/>
    <s v="Q1-2026"/>
  </r>
  <r>
    <d v="2026-02-19T00:00:00"/>
    <x v="13"/>
    <s v="LT.NS"/>
    <n v="4284.2542279896479"/>
    <n v="4292.0777154848292"/>
    <n v="4220.675033797088"/>
    <n v="4239.09521484375"/>
    <n v="2007080"/>
    <n v="-1.48"/>
    <n v="52.98"/>
    <x v="5"/>
    <s v="Q1-2026"/>
  </r>
  <r>
    <d v="2026-02-19T00:00:00"/>
    <x v="14"/>
    <s v="AXISBANK.NS"/>
    <n v="1380.035685472965"/>
    <n v="1381.734448620899"/>
    <n v="1349.9589052436161"/>
    <n v="1355.554565429688"/>
    <n v="2744704"/>
    <n v="-2.1800000000000002"/>
    <n v="26.18"/>
    <x v="5"/>
    <s v="Q1-2026"/>
  </r>
  <r>
    <d v="2026-02-20T00:00:00"/>
    <x v="0"/>
    <s v="RELIANCE.NS"/>
    <n v="1403.0130919418889"/>
    <n v="1420.830735502733"/>
    <n v="1399.6287153786741"/>
    <n v="1412.867553710938"/>
    <n v="8177670"/>
    <n v="-0.24"/>
    <n v="7.96"/>
    <x v="5"/>
    <s v="Q1-2026"/>
  </r>
  <r>
    <d v="2026-02-20T00:00:00"/>
    <x v="1"/>
    <s v="TCS.NS"/>
    <n v="2616.9731842483761"/>
    <n v="2651.905505554349"/>
    <n v="2597.8389596166389"/>
    <n v="2635.81298828125"/>
    <n v="2293482"/>
    <n v="-0.73"/>
    <n v="16.09"/>
    <x v="5"/>
    <s v="Q1-2026"/>
  </r>
  <r>
    <d v="2026-02-20T00:00:00"/>
    <x v="2"/>
    <s v="INFY.NS"/>
    <n v="1330.4106332686281"/>
    <n v="1336.0878308198501"/>
    <n v="1309.8554358713991"/>
    <n v="1324.537719726562"/>
    <n v="12633552"/>
    <n v="-1.55"/>
    <n v="11.55"/>
    <x v="5"/>
    <s v="Q1-2026"/>
  </r>
  <r>
    <d v="2026-02-20T00:00:00"/>
    <x v="3"/>
    <s v="HDFCBANK.NS"/>
    <n v="896.17770879700129"/>
    <n v="902.91623286497145"/>
    <n v="893.62003573055381"/>
    <n v="897.01385498046875"/>
    <n v="22654907"/>
    <n v="-0.28999999999999998"/>
    <n v="5.9"/>
    <x v="5"/>
    <s v="Q1-2026"/>
  </r>
  <r>
    <d v="2026-02-20T00:00:00"/>
    <x v="4"/>
    <s v="ICICIBANK.NS"/>
    <n v="1376.8920792080071"/>
    <n v="1391.964958122594"/>
    <n v="1372.4296994050289"/>
    <n v="1382.841918945312"/>
    <n v="10337877"/>
    <n v="-0.32"/>
    <n v="9.1199999999999992"/>
    <x v="5"/>
    <s v="Q1-2026"/>
  </r>
  <r>
    <d v="2026-02-20T00:00:00"/>
    <x v="5"/>
    <s v="WIPRO.NS"/>
    <n v="207.33211373068801"/>
    <n v="209.56660399572439"/>
    <n v="205.8984898081454"/>
    <n v="207.49031066894531"/>
    <n v="17690420"/>
    <n v="-0.69"/>
    <n v="2.08"/>
    <x v="5"/>
    <s v="Q1-2026"/>
  </r>
  <r>
    <d v="2026-02-20T00:00:00"/>
    <x v="6"/>
    <s v="HCLTECH.NS"/>
    <n v="1401.5838264016541"/>
    <n v="1413.2394091575929"/>
    <n v="1389.9282436457149"/>
    <n v="1395.270385742188"/>
    <n v="2392491"/>
    <n v="-0.83"/>
    <n v="17.97"/>
    <x v="5"/>
    <s v="Q1-2026"/>
  </r>
  <r>
    <d v="2026-02-20T00:00:00"/>
    <x v="7"/>
    <s v="BAJFINANCE.NS"/>
    <n v="1009.693202901576"/>
    <n v="1030.266684047707"/>
    <n v="1002.586862830737"/>
    <n v="1023.90576171875"/>
    <n v="6922705"/>
    <n v="-0.7"/>
    <n v="6.36"/>
    <x v="5"/>
    <s v="Q1-2026"/>
  </r>
  <r>
    <d v="2026-02-20T00:00:00"/>
    <x v="8"/>
    <s v="MARUTI.NS"/>
    <n v="14754.8168497034"/>
    <n v="14927.086737098451"/>
    <n v="14700.363724377379"/>
    <n v="14828.0810546875"/>
    <n v="515847"/>
    <n v="-0.37"/>
    <n v="99.01"/>
    <x v="5"/>
    <s v="Q1-2026"/>
  </r>
  <r>
    <d v="2026-02-20T00:00:00"/>
    <x v="9"/>
    <s v="TMPV.NS"/>
    <n v="372.60910160577902"/>
    <n v="376.57619332256559"/>
    <n v="371.41896198413991"/>
    <n v="374.89016723632813"/>
    <n v="6324165"/>
    <n v="-0.32"/>
    <n v="1.69"/>
    <x v="5"/>
    <s v="Q1-2026"/>
  </r>
  <r>
    <d v="2026-02-20T00:00:00"/>
    <x v="10"/>
    <s v="SUNPHARMA.NS"/>
    <n v="1705.629787443869"/>
    <n v="1722.4856353245029"/>
    <n v="1703.635015428438"/>
    <n v="1719.892456054688"/>
    <n v="1203988"/>
    <n v="-0.12"/>
    <n v="2.59"/>
    <x v="5"/>
    <s v="Q1-2026"/>
  </r>
  <r>
    <d v="2026-02-20T00:00:00"/>
    <x v="11"/>
    <s v="ASIANPAINT.NS"/>
    <n v="2357.7441514901502"/>
    <n v="2414.749572184016"/>
    <n v="2355.6623596109548"/>
    <n v="2407.215087890625"/>
    <n v="790329"/>
    <n v="-0.09"/>
    <n v="7.53"/>
    <x v="5"/>
    <s v="Q1-2026"/>
  </r>
  <r>
    <d v="2026-02-20T00:00:00"/>
    <x v="12"/>
    <s v="HINDUNILVR.NS"/>
    <n v="2261.9921068054318"/>
    <n v="2307.7268660551381"/>
    <n v="2255.3596181110061"/>
    <n v="2291.195068359375"/>
    <n v="1716316"/>
    <n v="-0.28999999999999998"/>
    <n v="16.53"/>
    <x v="5"/>
    <s v="Q1-2026"/>
  </r>
  <r>
    <d v="2026-02-20T00:00:00"/>
    <x v="13"/>
    <s v="LT.NS"/>
    <n v="4225.8249233816014"/>
    <n v="4347.5360289379587"/>
    <n v="4225.8249233816014"/>
    <n v="4338.22705078125"/>
    <n v="2542442"/>
    <n v="0"/>
    <n v="9.31"/>
    <x v="5"/>
    <s v="Q1-2026"/>
  </r>
  <r>
    <d v="2026-02-20T00:00:00"/>
    <x v="14"/>
    <s v="AXISBANK.NS"/>
    <n v="1349.9588884545201"/>
    <n v="1375.4392375704269"/>
    <n v="1349.9588884545201"/>
    <n v="1367.24560546875"/>
    <n v="3791536"/>
    <n v="0"/>
    <n v="8.19"/>
    <x v="5"/>
    <s v="Q1-2026"/>
  </r>
  <r>
    <d v="2026-02-23T00:00:00"/>
    <x v="0"/>
    <s v="RELIANCE.NS"/>
    <n v="1418.441663469587"/>
    <n v="1428.296124591182"/>
    <n v="1411.772547760535"/>
    <n v="1421.427856445312"/>
    <n v="7758856"/>
    <n v="-0.47"/>
    <n v="6.87"/>
    <x v="5"/>
    <s v="Q1-2026"/>
  </r>
  <r>
    <d v="2026-02-23T00:00:00"/>
    <x v="1"/>
    <s v="TCS.NS"/>
    <n v="2635.6166345485021"/>
    <n v="2653.2789947204578"/>
    <n v="2610.3005370564811"/>
    <n v="2626.0986328125"/>
    <n v="4699596"/>
    <n v="-0.96"/>
    <n v="27.18"/>
    <x v="5"/>
    <s v="Q1-2026"/>
  </r>
  <r>
    <d v="2026-02-23T00:00:00"/>
    <x v="2"/>
    <s v="INFY.NS"/>
    <n v="1323.363267272834"/>
    <n v="1323.363267272834"/>
    <n v="1290.0834217940801"/>
    <n v="1299.382202148438"/>
    <n v="12887826"/>
    <n v="-2.5099999999999998"/>
    <n v="23.98"/>
    <x v="5"/>
    <s v="Q1-2026"/>
  </r>
  <r>
    <d v="2026-02-23T00:00:00"/>
    <x v="3"/>
    <s v="HDFCBANK.NS"/>
    <n v="901.58823627954621"/>
    <n v="910.58938671423186"/>
    <n v="900.35857420060529"/>
    <n v="908.57269287109375"/>
    <n v="23270122"/>
    <n v="-0.14000000000000001"/>
    <n v="2.02"/>
    <x v="5"/>
    <s v="Q1-2026"/>
  </r>
  <r>
    <d v="2026-02-23T00:00:00"/>
    <x v="4"/>
    <s v="ICICIBANK.NS"/>
    <n v="1388.2960095988401"/>
    <n v="1396.5266700756699"/>
    <n v="1383.6353499865379"/>
    <n v="1387.701049804688"/>
    <n v="10728445"/>
    <n v="-0.34"/>
    <n v="8.83"/>
    <x v="5"/>
    <s v="Q1-2026"/>
  </r>
  <r>
    <d v="2026-02-23T00:00:00"/>
    <x v="5"/>
    <s v="WIPRO.NS"/>
    <n v="207.98465123840501"/>
    <n v="209.34907334064059"/>
    <n v="201.973303754607"/>
    <n v="203.56512451171881"/>
    <n v="20946229"/>
    <n v="-2.89"/>
    <n v="5.78"/>
    <x v="5"/>
    <s v="Q1-2026"/>
  </r>
  <r>
    <d v="2026-02-23T00:00:00"/>
    <x v="6"/>
    <s v="HCLTECH.NS"/>
    <n v="1396.9214511058531"/>
    <n v="1400.223889709343"/>
    <n v="1374.8730226483151"/>
    <n v="1385.265869140625"/>
    <n v="2629763"/>
    <n v="-1.58"/>
    <n v="14.96"/>
    <x v="5"/>
    <s v="Q1-2026"/>
  </r>
  <r>
    <d v="2026-02-23T00:00:00"/>
    <x v="7"/>
    <s v="BAJFINANCE.NS"/>
    <n v="1026.142020179564"/>
    <n v="1039.609282648066"/>
    <n v="1022.762890125396"/>
    <n v="1024.700927734375"/>
    <n v="9452225"/>
    <n v="-0.33"/>
    <n v="14.91"/>
    <x v="5"/>
    <s v="Q1-2026"/>
  </r>
  <r>
    <d v="2026-02-23T00:00:00"/>
    <x v="8"/>
    <s v="MARUTI.NS"/>
    <n v="14900.35546823165"/>
    <n v="14967.67933347018"/>
    <n v="14835.011716676619"/>
    <n v="14922.13671875"/>
    <n v="242968"/>
    <n v="-0.44"/>
    <n v="45.54"/>
    <x v="5"/>
    <s v="Q1-2026"/>
  </r>
  <r>
    <d v="2026-02-23T00:00:00"/>
    <x v="9"/>
    <s v="TMPV.NS"/>
    <n v="375.68359456901482"/>
    <n v="380.84082619703679"/>
    <n v="372.95621886057239"/>
    <n v="376.82415771484381"/>
    <n v="11701520"/>
    <n v="-0.73"/>
    <n v="4.0199999999999996"/>
    <x v="5"/>
    <s v="Q1-2026"/>
  </r>
  <r>
    <d v="2026-02-23T00:00:00"/>
    <x v="10"/>
    <s v="SUNPHARMA.NS"/>
    <n v="1728.370257847499"/>
    <n v="1731.2627016548049"/>
    <n v="1715.7033823468739"/>
    <n v="1727.771850585938"/>
    <n v="1550400"/>
    <n v="-0.73"/>
    <n v="3.49"/>
    <x v="5"/>
    <s v="Q1-2026"/>
  </r>
  <r>
    <d v="2026-02-23T00:00:00"/>
    <x v="11"/>
    <s v="ASIANPAINT.NS"/>
    <n v="2403.8442762441382"/>
    <n v="2425.556052066102"/>
    <n v="2390.7578623742979"/>
    <n v="2408.80126953125"/>
    <n v="634365"/>
    <n v="-0.54"/>
    <n v="16.75"/>
    <x v="5"/>
    <s v="Q1-2026"/>
  </r>
  <r>
    <d v="2026-02-23T00:00:00"/>
    <x v="12"/>
    <s v="HINDUNILVR.NS"/>
    <n v="2301.5891989784691"/>
    <n v="2326.3374699352271"/>
    <n v="2297.4315377941998"/>
    <n v="2321.78369140625"/>
    <n v="1300035"/>
    <n v="-0.18"/>
    <n v="4.55"/>
    <x v="5"/>
    <s v="Q1-2026"/>
  </r>
  <r>
    <d v="2026-02-23T00:00:00"/>
    <x v="13"/>
    <s v="LT.NS"/>
    <n v="4353.0818980594904"/>
    <n v="4388.7336736643056"/>
    <n v="4329.413177077925"/>
    <n v="4375.3642578125"/>
    <n v="2122782"/>
    <n v="-0.54"/>
    <n v="13.37"/>
    <x v="5"/>
    <s v="Q1-2026"/>
  </r>
  <r>
    <d v="2026-02-23T00:00:00"/>
    <x v="14"/>
    <s v="AXISBANK.NS"/>
    <n v="1379.4361742227841"/>
    <n v="1400.9196061284631"/>
    <n v="1379.136356614998"/>
    <n v="1385.63134765625"/>
    <n v="6160153"/>
    <n v="-0.02"/>
    <n v="15.29"/>
    <x v="5"/>
    <s v="Q1-2026"/>
  </r>
  <r>
    <d v="2026-02-24T00:00:00"/>
    <x v="0"/>
    <s v="RELIANCE.NS"/>
    <n v="1418.740351310086"/>
    <n v="1426.7035326906041"/>
    <n v="1408.487706679266"/>
    <n v="1422.224243164062"/>
    <n v="12529409"/>
    <n v="-0.72"/>
    <n v="4.4800000000000004"/>
    <x v="5"/>
    <s v="Q1-2026"/>
  </r>
  <r>
    <d v="2026-02-24T00:00:00"/>
    <x v="1"/>
    <s v="TCS.NS"/>
    <n v="2591.460746119642"/>
    <n v="2597.8388206557179"/>
    <n v="2513.2557877972008"/>
    <n v="2525.423095703125"/>
    <n v="7798833"/>
    <n v="-3.02"/>
    <n v="72.42"/>
    <x v="5"/>
    <s v="Q1-2026"/>
  </r>
  <r>
    <d v="2026-02-24T00:00:00"/>
    <x v="2"/>
    <s v="INFY.NS"/>
    <n v="1273.443402728863"/>
    <n v="1275.9883079995529"/>
    <n v="1237.3249610296909"/>
    <n v="1248.483520507812"/>
    <n v="27839061"/>
    <n v="-2.84"/>
    <n v="27.5"/>
    <x v="5"/>
    <s v="Q1-2026"/>
  </r>
  <r>
    <d v="2026-02-24T00:00:00"/>
    <x v="3"/>
    <s v="HDFCBANK.NS"/>
    <n v="912.85194656143619"/>
    <n v="912.85194656143619"/>
    <n v="894.35784103162894"/>
    <n v="895.68585205078125"/>
    <n v="31313985"/>
    <n v="-2.0299999999999998"/>
    <n v="17.170000000000002"/>
    <x v="5"/>
    <s v="Q1-2026"/>
  </r>
  <r>
    <d v="2026-02-24T00:00:00"/>
    <x v="4"/>
    <s v="ICICIBANK.NS"/>
    <n v="1389.1884011120851"/>
    <n v="1389.1884011120851"/>
    <n v="1370.743922637784"/>
    <n v="1373.223022460938"/>
    <n v="18274784"/>
    <n v="-1.33"/>
    <n v="15.97"/>
    <x v="5"/>
    <s v="Q1-2026"/>
  </r>
  <r>
    <d v="2026-02-24T00:00:00"/>
    <x v="5"/>
    <s v="WIPRO.NS"/>
    <n v="200.7077566019575"/>
    <n v="200.9944753304764"/>
    <n v="197.10885950083019"/>
    <n v="197.88005065917969"/>
    <n v="25036686"/>
    <n v="-1.79"/>
    <n v="3.11"/>
    <x v="5"/>
    <s v="Q1-2026"/>
  </r>
  <r>
    <d v="2026-02-24T00:00:00"/>
    <x v="6"/>
    <s v="HCLTECH.NS"/>
    <n v="1362.051971337647"/>
    <n v="1366.3255900015031"/>
    <n v="1284.5423014848791"/>
    <n v="1300.762939453125"/>
    <n v="10004684"/>
    <n v="-5.69"/>
    <n v="65.56"/>
    <x v="5"/>
    <s v="Q1-2026"/>
  </r>
  <r>
    <d v="2026-02-24T00:00:00"/>
    <x v="7"/>
    <s v="BAJFINANCE.NS"/>
    <n v="1020.029706857551"/>
    <n v="1022.464689666445"/>
    <n v="1004.127400718105"/>
    <n v="1017.296447753906"/>
    <n v="6610984"/>
    <n v="-1.56"/>
    <n v="5.17"/>
    <x v="5"/>
    <s v="Q1-2026"/>
  </r>
  <r>
    <d v="2026-02-24T00:00:00"/>
    <x v="8"/>
    <s v="MARUTI.NS"/>
    <n v="14851.842151096451"/>
    <n v="14912.235616279901"/>
    <n v="14755.806640886711"/>
    <n v="14777.587890625"/>
    <n v="300991"/>
    <n v="-0.65"/>
    <n v="134.65"/>
    <x v="5"/>
    <s v="Q1-2026"/>
  </r>
  <r>
    <d v="2026-02-24T00:00:00"/>
    <x v="9"/>
    <s v="TMPV.NS"/>
    <n v="373.74965524461629"/>
    <n v="377.17125388107542"/>
    <n v="368.59242361885418"/>
    <n v="374.44387817382813"/>
    <n v="7213746"/>
    <n v="-1.38"/>
    <n v="2.73"/>
    <x v="5"/>
    <s v="Q1-2026"/>
  </r>
  <r>
    <d v="2026-02-24T00:00:00"/>
    <x v="10"/>
    <s v="SUNPHARMA.NS"/>
    <n v="1727.472621866953"/>
    <n v="1741.336312177908"/>
    <n v="1719.1942690316489"/>
    <n v="1727.273193359375"/>
    <n v="2769363"/>
    <n v="-0.48"/>
    <n v="14.06"/>
    <x v="5"/>
    <s v="Q1-2026"/>
  </r>
  <r>
    <d v="2026-02-24T00:00:00"/>
    <x v="11"/>
    <s v="ASIANPAINT.NS"/>
    <n v="2392.2450015975219"/>
    <n v="2420.499863821115"/>
    <n v="2383.0249455164221"/>
    <n v="2392.34423828125"/>
    <n v="499660"/>
    <n v="-0.39"/>
    <n v="28.16"/>
    <x v="5"/>
    <s v="Q1-2026"/>
  </r>
  <r>
    <d v="2026-02-24T00:00:00"/>
    <x v="12"/>
    <s v="HINDUNILVR.NS"/>
    <n v="2307.6279749723708"/>
    <n v="2348.1160513604118"/>
    <n v="2306.8359819305529"/>
    <n v="2334.85107421875"/>
    <n v="1544803"/>
    <n v="-0.03"/>
    <n v="13.26"/>
    <x v="5"/>
    <s v="Q1-2026"/>
  </r>
  <r>
    <d v="2026-02-24T00:00:00"/>
    <x v="13"/>
    <s v="LT.NS"/>
    <n v="4372.7894003468136"/>
    <n v="4397.0524147978376"/>
    <n v="4187.2021946861232"/>
    <n v="4218.00146484375"/>
    <n v="3673070"/>
    <n v="-4.24"/>
    <n v="179.05"/>
    <x v="5"/>
    <s v="Q1-2026"/>
  </r>
  <r>
    <d v="2026-02-24T00:00:00"/>
    <x v="14"/>
    <s v="AXISBANK.NS"/>
    <n v="1396.922649418472"/>
    <n v="1396.922649418472"/>
    <n v="1382.4338236555479"/>
    <n v="1386.530639648438"/>
    <n v="7888492"/>
    <n v="-1.04"/>
    <n v="10.39"/>
    <x v="5"/>
    <s v="Q1-2026"/>
  </r>
  <r>
    <d v="2026-02-25T00:00:00"/>
    <x v="0"/>
    <s v="RELIANCE.NS"/>
    <n v="1428.3957377254089"/>
    <n v="1433.870425221917"/>
    <n v="1387.0867320699349"/>
    <n v="1392.063720703125"/>
    <n v="10728792"/>
    <n v="-2.89"/>
    <n v="41.81"/>
    <x v="5"/>
    <s v="Q1-2026"/>
  </r>
  <r>
    <d v="2026-02-25T00:00:00"/>
    <x v="1"/>
    <s v="TCS.NS"/>
    <n v="2547.3048106742549"/>
    <n v="2604.4130601353968"/>
    <n v="2546.3235684513461"/>
    <n v="2579.980224609375"/>
    <n v="3621285"/>
    <n v="-0.04"/>
    <n v="24.43"/>
    <x v="5"/>
    <s v="Q1-2026"/>
  </r>
  <r>
    <d v="2026-02-25T00:00:00"/>
    <x v="2"/>
    <s v="INFY.NS"/>
    <n v="1258.9568742250231"/>
    <n v="1295.564726518415"/>
    <n v="1258.9568742250231"/>
    <n v="1262.774291992188"/>
    <n v="16669618"/>
    <n v="0"/>
    <n v="32.79"/>
    <x v="5"/>
    <s v="Q1-2026"/>
  </r>
  <r>
    <d v="2026-02-25T00:00:00"/>
    <x v="3"/>
    <s v="HDFCBANK.NS"/>
    <n v="895.73502229325936"/>
    <n v="901.09636090312119"/>
    <n v="888.40622438011565"/>
    <n v="892.8330078125"/>
    <n v="27884303"/>
    <n v="-0.82"/>
    <n v="8.26"/>
    <x v="5"/>
    <s v="Q1-2026"/>
  </r>
  <r>
    <d v="2026-02-25T00:00:00"/>
    <x v="4"/>
    <s v="ICICIBANK.NS"/>
    <n v="1380.1645289137721"/>
    <n v="1395.6340879023351"/>
    <n v="1376.59452825889"/>
    <n v="1388.791748046875"/>
    <n v="16297015"/>
    <n v="-0.26"/>
    <n v="6.84"/>
    <x v="5"/>
    <s v="Q1-2026"/>
  </r>
  <r>
    <d v="2026-02-25T00:00:00"/>
    <x v="5"/>
    <s v="WIPRO.NS"/>
    <n v="199.0368410208734"/>
    <n v="203.1597523152721"/>
    <n v="199.0368410208734"/>
    <n v="199.63995361328119"/>
    <n v="13979068"/>
    <n v="0"/>
    <n v="3.52"/>
    <x v="5"/>
    <s v="Q1-2026"/>
  </r>
  <r>
    <d v="2026-02-25T00:00:00"/>
    <x v="6"/>
    <s v="HCLTECH.NS"/>
    <n v="1316.109596771151"/>
    <n v="1351.4648893571671"/>
    <n v="1315.1382981757481"/>
    <n v="1338.643676757812"/>
    <n v="5703505"/>
    <n v="-7.0000000000000007E-2"/>
    <n v="12.82"/>
    <x v="5"/>
    <s v="Q1-2026"/>
  </r>
  <r>
    <d v="2026-02-25T00:00:00"/>
    <x v="7"/>
    <s v="BAJFINANCE.NS"/>
    <n v="1021.7192564500569"/>
    <n v="1027.6825984137729"/>
    <n v="1007.2084819365811"/>
    <n v="1014.811706542969"/>
    <n v="3182612"/>
    <n v="-1.42"/>
    <n v="12.87"/>
    <x v="5"/>
    <s v="Q1-2026"/>
  </r>
  <r>
    <d v="2026-02-25T00:00:00"/>
    <x v="8"/>
    <s v="MARUTI.NS"/>
    <n v="14712.24431818182"/>
    <n v="14982.52982954546"/>
    <n v="14689.47301136364"/>
    <n v="14920.15625"/>
    <n v="356495"/>
    <n v="-0.15"/>
    <n v="62.37"/>
    <x v="5"/>
    <s v="Q1-2026"/>
  </r>
  <r>
    <d v="2026-02-25T00:00:00"/>
    <x v="9"/>
    <s v="TMPV.NS"/>
    <n v="374.89016429301961"/>
    <n v="382.42764454903789"/>
    <n v="373.0058017956419"/>
    <n v="378.70849609375"/>
    <n v="7748663"/>
    <n v="-0.5"/>
    <n v="3.72"/>
    <x v="5"/>
    <s v="Q1-2026"/>
  </r>
  <r>
    <d v="2026-02-25T00:00:00"/>
    <x v="10"/>
    <s v="SUNPHARMA.NS"/>
    <n v="1737.4464578227751"/>
    <n v="1765.7722453200729"/>
    <n v="1728.8689623467999"/>
    <n v="1759.58837890625"/>
    <n v="1200997"/>
    <n v="-0.49"/>
    <n v="6.18"/>
    <x v="5"/>
    <s v="Q1-2026"/>
  </r>
  <r>
    <d v="2026-02-25T00:00:00"/>
    <x v="11"/>
    <s v="ASIANPAINT.NS"/>
    <n v="2395.2190158921771"/>
    <n v="2407.0165624074962"/>
    <n v="2379.3566383034872"/>
    <n v="2395.615478515625"/>
    <n v="526764"/>
    <n v="-0.66"/>
    <n v="11.4"/>
    <x v="5"/>
    <s v="Q1-2026"/>
  </r>
  <r>
    <d v="2026-02-25T00:00:00"/>
    <x v="12"/>
    <s v="HINDUNILVR.NS"/>
    <n v="2345.0472309590841"/>
    <n v="2356.035560709282"/>
    <n v="2325.3477025655889"/>
    <n v="2350.98681640625"/>
    <n v="1158620"/>
    <n v="-0.84"/>
    <n v="5.05"/>
    <x v="5"/>
    <s v="Q1-2026"/>
  </r>
  <r>
    <d v="2026-02-25T00:00:00"/>
    <x v="13"/>
    <s v="LT.NS"/>
    <n v="4228.6965770217803"/>
    <n v="4302.871977644797"/>
    <n v="4213.0496027829886"/>
    <n v="4256.9208984375"/>
    <n v="2481469"/>
    <n v="-0.37"/>
    <n v="45.95"/>
    <x v="5"/>
    <s v="Q1-2026"/>
  </r>
  <r>
    <d v="2026-02-25T00:00:00"/>
    <x v="14"/>
    <s v="AXISBANK.NS"/>
    <n v="1392.925758802287"/>
    <n v="1403.2178702295589"/>
    <n v="1386.5306663608881"/>
    <n v="1401.918823242188"/>
    <n v="4379373"/>
    <n v="-0.46"/>
    <n v="1.3"/>
    <x v="5"/>
    <s v="Q1-2026"/>
  </r>
  <r>
    <d v="2026-02-26T00:00:00"/>
    <x v="0"/>
    <s v="RELIANCE.NS"/>
    <n v="1392.0637118415309"/>
    <n v="1406.397463315574"/>
    <n v="1385.494111189244"/>
    <n v="1400.325561523438"/>
    <n v="16683858"/>
    <n v="-0.47"/>
    <n v="6.07"/>
    <x v="5"/>
    <s v="Q1-2026"/>
  </r>
  <r>
    <d v="2026-02-26T00:00:00"/>
    <x v="1"/>
    <s v="TCS.NS"/>
    <n v="2600.2920614230788"/>
    <n v="2620.898149456998"/>
    <n v="2585.5734271131369"/>
    <n v="2598.03515625"/>
    <n v="3464267"/>
    <n v="-0.56999999999999995"/>
    <n v="22.86"/>
    <x v="5"/>
    <s v="Q1-2026"/>
  </r>
  <r>
    <d v="2026-02-26T00:00:00"/>
    <x v="2"/>
    <s v="INFY.NS"/>
    <n v="1277.848187510079"/>
    <n v="1286.1681488994591"/>
    <n v="1259.0549107538459"/>
    <n v="1261.795532226562"/>
    <n v="11493914"/>
    <n v="-1.47"/>
    <n v="24.37"/>
    <x v="5"/>
    <s v="Q1-2026"/>
  </r>
  <r>
    <d v="2026-02-26T00:00:00"/>
    <x v="3"/>
    <s v="HDFCBANK.NS"/>
    <n v="897.16143235509992"/>
    <n v="897.16143235509992"/>
    <n v="880.43802846251583"/>
    <n v="883.97943115234375"/>
    <n v="41165937"/>
    <n v="-1.86"/>
    <n v="13.18"/>
    <x v="5"/>
    <s v="Q1-2026"/>
  </r>
  <r>
    <d v="2026-02-26T00:00:00"/>
    <x v="4"/>
    <s v="ICICIBANK.NS"/>
    <n v="1393.353308872553"/>
    <n v="1398.212368974695"/>
    <n v="1380.4619891586019"/>
    <n v="1393.155029296875"/>
    <n v="27288792"/>
    <n v="-0.93"/>
    <n v="5.0599999999999996"/>
    <x v="5"/>
    <s v="Q1-2026"/>
  </r>
  <r>
    <d v="2026-02-26T00:00:00"/>
    <x v="5"/>
    <s v="WIPRO.NS"/>
    <n v="201.40975565647491"/>
    <n v="202.31936539730589"/>
    <n v="196.87157351677189"/>
    <n v="198.8094482421875"/>
    <n v="14378069"/>
    <n v="-2.25"/>
    <n v="3.51"/>
    <x v="5"/>
    <s v="Q1-2026"/>
  </r>
  <r>
    <d v="2026-02-26T00:00:00"/>
    <x v="6"/>
    <s v="HCLTECH.NS"/>
    <n v="1351.076214979551"/>
    <n v="1364.6743939944431"/>
    <n v="1328.7363494550871"/>
    <n v="1334.078491210938"/>
    <n v="2329520"/>
    <n v="-1.65"/>
    <n v="30.6"/>
    <x v="5"/>
    <s v="Q1-2026"/>
  </r>
  <r>
    <d v="2026-02-26T00:00:00"/>
    <x v="7"/>
    <s v="BAJFINANCE.NS"/>
    <n v="1014.513562976236"/>
    <n v="1024.8996684832709"/>
    <n v="999.90336286852119"/>
    <n v="1006.76123046875"/>
    <n v="4336261"/>
    <n v="-1.44"/>
    <n v="18.14"/>
    <x v="5"/>
    <s v="Q1-2026"/>
  </r>
  <r>
    <d v="2026-02-26T00:00:00"/>
    <x v="8"/>
    <s v="MARUTI.NS"/>
    <n v="14994.41051136364"/>
    <n v="15072.625"/>
    <n v="14896.39488636364"/>
    <n v="15061.734375"/>
    <n v="308213"/>
    <n v="-0.65"/>
    <n v="10.89"/>
    <x v="5"/>
    <s v="Q1-2026"/>
  </r>
  <r>
    <d v="2026-02-26T00:00:00"/>
    <x v="9"/>
    <s v="TMPV.NS"/>
    <n v="378.55973527775012"/>
    <n v="390.06427692460511"/>
    <n v="376.97289255409532"/>
    <n v="388.32867431640619"/>
    <n v="14697484"/>
    <n v="-0.42"/>
    <n v="1.74"/>
    <x v="5"/>
    <s v="Q1-2026"/>
  </r>
  <r>
    <d v="2026-02-26T00:00:00"/>
    <x v="10"/>
    <s v="SUNPHARMA.NS"/>
    <n v="1759.5884264179319"/>
    <n v="1787.5152359085321"/>
    <n v="1755.698718211295"/>
    <n v="1781.0322265625"/>
    <n v="2076586"/>
    <n v="-0.22"/>
    <n v="6.48"/>
    <x v="5"/>
    <s v="Q1-2026"/>
  </r>
  <r>
    <d v="2026-02-26T00:00:00"/>
    <x v="11"/>
    <s v="ASIANPAINT.NS"/>
    <n v="2395.318382184249"/>
    <n v="2401.3657687427699"/>
    <n v="2361.5115913027262"/>
    <n v="2374.300537109375"/>
    <n v="588742"/>
    <n v="-1.41"/>
    <n v="27.07"/>
    <x v="5"/>
    <s v="Q1-2026"/>
  </r>
  <r>
    <d v="2026-02-26T00:00:00"/>
    <x v="12"/>
    <s v="HINDUNILVR.NS"/>
    <n v="2354.055564245718"/>
    <n v="2363.2619694987052"/>
    <n v="2331.4850925010069"/>
    <n v="2359.30224609375"/>
    <n v="1470677"/>
    <n v="-0.96"/>
    <n v="3.96"/>
    <x v="5"/>
    <s v="Q1-2026"/>
  </r>
  <r>
    <d v="2026-02-26T00:00:00"/>
    <x v="13"/>
    <s v="LT.NS"/>
    <n v="4263.2590312828715"/>
    <n v="4298.0196091654016"/>
    <n v="4236.9162337408716"/>
    <n v="4245.037109375"/>
    <n v="2370148"/>
    <n v="-0.62"/>
    <n v="52.98"/>
    <x v="5"/>
    <s v="Q1-2026"/>
  </r>
  <r>
    <d v="2026-02-26T00:00:00"/>
    <x v="14"/>
    <s v="AXISBANK.NS"/>
    <n v="1401.9187806859661"/>
    <n v="1404.6166511455431"/>
    <n v="1384.931881704026"/>
    <n v="1394.424560546875"/>
    <n v="8979547"/>
    <n v="-1.21"/>
    <n v="10.19"/>
    <x v="5"/>
    <s v="Q1-2026"/>
  </r>
  <r>
    <d v="2026-02-27T00:00:00"/>
    <x v="0"/>
    <s v="RELIANCE.NS"/>
    <n v="1391.56596950528"/>
    <n v="1403.9089251530929"/>
    <n v="1381.711508080472"/>
    <n v="1387.48486328125"/>
    <n v="12031440"/>
    <n v="-0.71"/>
    <n v="16.420000000000002"/>
    <x v="5"/>
    <s v="Q1-2026"/>
  </r>
  <r>
    <d v="2026-02-27T00:00:00"/>
    <x v="1"/>
    <s v="TCS.NS"/>
    <n v="2631.2993218947408"/>
    <n v="2638.1680176668519"/>
    <n v="2576.840376844435"/>
    <n v="2587.92822265625"/>
    <n v="5083717"/>
    <n v="-2.0699999999999998"/>
    <n v="50.24"/>
    <x v="5"/>
    <s v="Q1-2026"/>
  </r>
  <r>
    <d v="2026-02-27T00:00:00"/>
    <x v="2"/>
    <s v="INFY.NS"/>
    <n v="1298.2076283219469"/>
    <n v="1306.723305439908"/>
    <n v="1266.7874442662769"/>
    <n v="1272.5625"/>
    <n v="23141724"/>
    <n v="-2.42"/>
    <n v="34.159999999999997"/>
    <x v="5"/>
    <s v="Q1-2026"/>
  </r>
  <r>
    <d v="2026-02-27T00:00:00"/>
    <x v="3"/>
    <s v="HDFCBANK.NS"/>
    <n v="883.97947336836148"/>
    <n v="884.32381478432069"/>
    <n v="870.60077363220751"/>
    <n v="873.3060302734375"/>
    <n v="34620755"/>
    <n v="-1.51"/>
    <n v="11.02"/>
    <x v="5"/>
    <s v="Q1-2026"/>
  </r>
  <r>
    <d v="2026-02-27T00:00:00"/>
    <x v="4"/>
    <s v="ICICIBANK.NS"/>
    <n v="1388.2960165631059"/>
    <n v="1390.477576169211"/>
    <n v="1365.1907558675259"/>
    <n v="1367.372436523438"/>
    <n v="15096898"/>
    <n v="-1.66"/>
    <n v="23.11"/>
    <x v="5"/>
    <s v="Q1-2026"/>
  </r>
  <r>
    <d v="2026-02-27T00:00:00"/>
    <x v="5"/>
    <s v="WIPRO.NS"/>
    <n v="201.69647751747041"/>
    <n v="201.69647751747041"/>
    <n v="197.7910830534253"/>
    <n v="198.69081115722659"/>
    <n v="13288519"/>
    <n v="-1.94"/>
    <n v="3.01"/>
    <x v="5"/>
    <s v="Q1-2026"/>
  </r>
  <r>
    <d v="2026-02-27T00:00:00"/>
    <x v="6"/>
    <s v="HCLTECH.NS"/>
    <n v="1357.875293191524"/>
    <n v="1364.4801703704991"/>
    <n v="1342.334517303781"/>
    <n v="1349.230712890625"/>
    <n v="8651443"/>
    <n v="-1.1399999999999999"/>
    <n v="15.25"/>
    <x v="5"/>
    <s v="Q1-2026"/>
  </r>
  <r>
    <d v="2026-02-27T00:00:00"/>
    <x v="7"/>
    <s v="BAJFINANCE.NS"/>
    <n v="1002.785686699306"/>
    <n v="1008.699346449253"/>
    <n v="987.03248816122857"/>
    <n v="989.8154296875"/>
    <n v="8145772"/>
    <n v="-1.57"/>
    <n v="18.88"/>
    <x v="5"/>
    <s v="Q1-2026"/>
  </r>
  <r>
    <d v="2026-02-27T00:00:00"/>
    <x v="8"/>
    <s v="MARUTI.NS"/>
    <n v="14959.75879359793"/>
    <n v="15040.943454158811"/>
    <n v="14656.801401748749"/>
    <n v="14709.2744140625"/>
    <n v="478164"/>
    <n v="-2.0299999999999998"/>
    <n v="331.67"/>
    <x v="5"/>
    <s v="Q1-2026"/>
  </r>
  <r>
    <d v="2026-02-27T00:00:00"/>
    <x v="9"/>
    <s v="TMPV.NS"/>
    <n v="390.41142532601049"/>
    <n v="390.80812846247562"/>
    <n v="377.81592671081819"/>
    <n v="379.50192260742188"/>
    <n v="15951041"/>
    <n v="-3.23"/>
    <n v="11.31"/>
    <x v="5"/>
    <s v="Q1-2026"/>
  </r>
  <r>
    <d v="2026-02-27T00:00:00"/>
    <x v="10"/>
    <s v="SUNPHARMA.NS"/>
    <n v="1774.3498094522481"/>
    <n v="1783.4259982925671"/>
    <n v="1726.375564080935"/>
    <n v="1732.459594726562"/>
    <n v="3041489"/>
    <n v="-2.7"/>
    <n v="50.97"/>
    <x v="5"/>
    <s v="Q1-2026"/>
  </r>
  <r>
    <d v="2026-02-27T00:00:00"/>
    <x v="11"/>
    <s v="ASIANPAINT.NS"/>
    <n v="2364.4858313259701"/>
    <n v="2376.9775514020812"/>
    <n v="2338.7094658691672"/>
    <n v="2355.761474609375"/>
    <n v="2531619"/>
    <n v="-1.0900000000000001"/>
    <n v="21.22"/>
    <x v="5"/>
    <s v="Q1-2026"/>
  </r>
  <r>
    <d v="2026-02-27T00:00:00"/>
    <x v="12"/>
    <s v="HINDUNILVR.NS"/>
    <n v="2345.4431666431178"/>
    <n v="2354.9463576130138"/>
    <n v="2307.1328918130512"/>
    <n v="2314.557373046875"/>
    <n v="3053227"/>
    <n v="-1.63"/>
    <n v="40.39"/>
    <x v="5"/>
    <s v="Q1-2026"/>
  </r>
  <r>
    <d v="2026-02-27T00:00:00"/>
    <x v="13"/>
    <s v="LT.NS"/>
    <n v="4247.4140685354459"/>
    <n v="4263.0615278304922"/>
    <n v="4213.2477814452777"/>
    <n v="4236.91650390625"/>
    <n v="2357853"/>
    <n v="-0.8"/>
    <n v="26.15"/>
    <x v="5"/>
    <s v="Q1-2026"/>
  </r>
  <r>
    <d v="2026-02-27T00:00:00"/>
    <x v="14"/>
    <s v="AXISBANK.NS"/>
    <n v="1385.931082625784"/>
    <n v="1394.4245319425249"/>
    <n v="1379.9357066374971"/>
    <n v="1382.83349609375"/>
    <n v="5840317"/>
    <n v="-0.43"/>
    <n v="11.59"/>
    <x v="5"/>
    <s v="Q1-2026"/>
  </r>
  <r>
    <d v="2026-03-02T00:00:00"/>
    <x v="0"/>
    <s v="RELIANCE.NS"/>
    <n v="1369.169458762887"/>
    <n v="1372.255167156326"/>
    <n v="1335.3259388807071"/>
    <n v="1351.75"/>
    <n v="23728722"/>
    <n v="-2.4700000000000002"/>
    <n v="20.51"/>
    <x v="6"/>
    <s v="Q1-2026"/>
  </r>
  <r>
    <d v="2026-03-02T00:00:00"/>
    <x v="1"/>
    <s v="TCS.NS"/>
    <n v="2543.3798546011099"/>
    <n v="2574.5834053591279"/>
    <n v="2531.8993684474199"/>
    <n v="2564.4765625"/>
    <n v="3374385"/>
    <n v="-0.45"/>
    <n v="10.11"/>
    <x v="6"/>
    <s v="Q1-2026"/>
  </r>
  <r>
    <d v="2026-03-02T00:00:00"/>
    <x v="2"/>
    <s v="INFY.NS"/>
    <n v="1263.655227282909"/>
    <n v="1271.2900626622441"/>
    <n v="1246.0364867011169"/>
    <n v="1261.599731445312"/>
    <n v="9700361"/>
    <n v="-1.39"/>
    <n v="9.69"/>
    <x v="6"/>
    <s v="Q1-2026"/>
  </r>
  <r>
    <d v="2026-03-02T00:00:00"/>
    <x v="3"/>
    <s v="HDFCBANK.NS"/>
    <n v="861.9439110956672"/>
    <n v="873.30597627791053"/>
    <n v="857.36954431375909"/>
    <n v="865.09185791015625"/>
    <n v="38378924"/>
    <n v="-0.53"/>
    <n v="8.2100000000000009"/>
    <x v="6"/>
    <s v="Q1-2026"/>
  </r>
  <r>
    <d v="2026-03-02T00:00:00"/>
    <x v="4"/>
    <s v="ICICIBANK.NS"/>
    <n v="1343.672146415433"/>
    <n v="1367.669785038504"/>
    <n v="1343.672146415433"/>
    <n v="1362.513305664062"/>
    <n v="16928683"/>
    <n v="0"/>
    <n v="5.16"/>
    <x v="6"/>
    <s v="Q1-2026"/>
  </r>
  <r>
    <d v="2026-03-02T00:00:00"/>
    <x v="5"/>
    <s v="WIPRO.NS"/>
    <n v="192.79809388477369"/>
    <n v="198.09757029963009"/>
    <n v="192.50147841534539"/>
    <n v="196.3277893066406"/>
    <n v="10486866"/>
    <n v="-0.15"/>
    <n v="1.77"/>
    <x v="6"/>
    <s v="Q1-2026"/>
  </r>
  <r>
    <d v="2026-03-02T00:00:00"/>
    <x v="6"/>
    <s v="HCLTECH.NS"/>
    <n v="1312.224298189192"/>
    <n v="1346.2197463288089"/>
    <n v="1311.2529996709179"/>
    <n v="1331.650268554688"/>
    <n v="2088938"/>
    <n v="-7.0000000000000007E-2"/>
    <n v="14.57"/>
    <x v="6"/>
    <s v="Q1-2026"/>
  </r>
  <r>
    <d v="2026-03-02T00:00:00"/>
    <x v="7"/>
    <s v="BAJFINANCE.NS"/>
    <n v="965.0675492124609"/>
    <n v="984.34904665421288"/>
    <n v="962.08587810263862"/>
    <n v="972.27325439453125"/>
    <n v="8493269"/>
    <n v="-0.31"/>
    <n v="12.08"/>
    <x v="6"/>
    <s v="Q1-2026"/>
  </r>
  <r>
    <d v="2026-03-02T00:00:00"/>
    <x v="8"/>
    <s v="MARUTI.NS"/>
    <n v="14263.74857954546"/>
    <n v="14537.99431818182"/>
    <n v="14062.76704545455"/>
    <n v="14244.9375"/>
    <n v="603744"/>
    <n v="-1.41"/>
    <n v="293.06"/>
    <x v="6"/>
    <s v="Q1-2026"/>
  </r>
  <r>
    <d v="2026-03-02T00:00:00"/>
    <x v="9"/>
    <s v="TMPV.NS"/>
    <n v="355.054710869009"/>
    <n v="375.28687269762861"/>
    <n v="352.5752785305383"/>
    <n v="367.55105590820313"/>
    <n v="11804909"/>
    <n v="-0.7"/>
    <n v="7.74"/>
    <x v="6"/>
    <s v="Q1-2026"/>
  </r>
  <r>
    <d v="2026-03-02T00:00:00"/>
    <x v="10"/>
    <s v="SUNPHARMA.NS"/>
    <n v="1707.524932016762"/>
    <n v="1755.299748565373"/>
    <n v="1707.524932016762"/>
    <n v="1747.919067382812"/>
    <n v="3919270"/>
    <n v="0"/>
    <n v="7.38"/>
    <x v="6"/>
    <s v="Q1-2026"/>
  </r>
  <r>
    <d v="2026-03-02T00:00:00"/>
    <x v="11"/>
    <s v="ASIANPAINT.NS"/>
    <n v="2280.2168323371661"/>
    <n v="2317.790743323319"/>
    <n v="2263.858755061704"/>
    <n v="2287.255859375"/>
    <n v="2528308"/>
    <n v="-0.72"/>
    <n v="30.53"/>
    <x v="6"/>
    <s v="Q1-2026"/>
  </r>
  <r>
    <d v="2026-03-02T00:00:00"/>
    <x v="12"/>
    <s v="HINDUNILVR.NS"/>
    <n v="2279.8107628284288"/>
    <n v="2330.2972365167702"/>
    <n v="2267.1395995270441"/>
    <n v="2297.233642578125"/>
    <n v="2273224"/>
    <n v="-0.56000000000000005"/>
    <n v="33.06"/>
    <x v="6"/>
    <s v="Q1-2026"/>
  </r>
  <r>
    <d v="2026-03-02T00:00:00"/>
    <x v="13"/>
    <s v="LT.NS"/>
    <n v="4021.7184649787841"/>
    <n v="4101.3406693221359"/>
    <n v="3936.9463661489081"/>
    <n v="4027.36328125"/>
    <n v="6542141"/>
    <n v="-2.11"/>
    <n v="73.98"/>
    <x v="6"/>
    <s v="Q1-2026"/>
  </r>
  <r>
    <d v="2026-03-02T00:00:00"/>
    <x v="14"/>
    <s v="AXISBANK.NS"/>
    <n v="1368.044946446822"/>
    <n v="1383.6329006836199"/>
    <n v="1352.5568907547231"/>
    <n v="1371.242553710938"/>
    <n v="5132511"/>
    <n v="-1.1299999999999999"/>
    <n v="12.39"/>
    <x v="6"/>
    <s v="Q1-2026"/>
  </r>
  <r>
    <d v="2026-03-04T00:00:00"/>
    <x v="0"/>
    <s v="RELIANCE.NS"/>
    <n v="1323.8789706886041"/>
    <n v="1346.574087360955"/>
    <n v="1300.984823075192"/>
    <n v="1338.809936523438"/>
    <n v="32495007"/>
    <n v="-1.73"/>
    <n v="7.76"/>
    <x v="6"/>
    <s v="Q1-2026"/>
  </r>
  <r>
    <d v="2026-03-04T00:00:00"/>
    <x v="1"/>
    <s v="TCS.NS"/>
    <n v="2575.760953520165"/>
    <n v="2585.5733762002419"/>
    <n v="2531.9974525425828"/>
    <n v="2539.2587890625"/>
    <n v="3446434"/>
    <n v="-1.7"/>
    <n v="46.31"/>
    <x v="6"/>
    <s v="Q1-2026"/>
  </r>
  <r>
    <d v="2026-03-04T00:00:00"/>
    <x v="2"/>
    <s v="INFY.NS"/>
    <n v="1264.634050408484"/>
    <n v="1289.1045235201029"/>
    <n v="1264.634050408484"/>
    <n v="1279.707885742188"/>
    <n v="15154950"/>
    <n v="0"/>
    <n v="9.4"/>
    <x v="6"/>
    <s v="Q1-2026"/>
  </r>
  <r>
    <d v="2026-03-04T00:00:00"/>
    <x v="3"/>
    <s v="HDFCBANK.NS"/>
    <n v="834.20274337438502"/>
    <n v="864.99346941740305"/>
    <n v="834.20274337438502"/>
    <n v="854.51678466796875"/>
    <n v="39862322"/>
    <n v="0"/>
    <n v="10.48"/>
    <x v="6"/>
    <s v="Q1-2026"/>
  </r>
  <r>
    <d v="2026-03-04T00:00:00"/>
    <x v="4"/>
    <s v="ICICIBANK.NS"/>
    <n v="1314.91459074574"/>
    <n v="1364.496588888491"/>
    <n v="1314.91459074574"/>
    <n v="1353.985229492188"/>
    <n v="20009132"/>
    <n v="0"/>
    <n v="10.51"/>
    <x v="6"/>
    <s v="Q1-2026"/>
  </r>
  <r>
    <d v="2026-03-04T00:00:00"/>
    <x v="5"/>
    <s v="WIPRO.NS"/>
    <n v="193.79668574400901"/>
    <n v="194.89415243187449"/>
    <n v="192.31362346778471"/>
    <n v="193.3418884277344"/>
    <n v="19562075"/>
    <n v="-0.77"/>
    <n v="1.55"/>
    <x v="6"/>
    <s v="Q1-2026"/>
  </r>
  <r>
    <d v="2026-03-04T00:00:00"/>
    <x v="6"/>
    <s v="HCLTECH.NS"/>
    <n v="1317.0808080410329"/>
    <n v="1342.3345698471289"/>
    <n v="1317.0808080410329"/>
    <n v="1324.851196289062"/>
    <n v="3161598"/>
    <n v="0"/>
    <n v="17.48"/>
    <x v="6"/>
    <s v="Q1-2026"/>
  </r>
  <r>
    <d v="2026-03-04T00:00:00"/>
    <x v="7"/>
    <s v="BAJFINANCE.NS"/>
    <n v="961.0919675381565"/>
    <n v="961.0919675381565"/>
    <n v="935.54897343494008"/>
    <n v="939.32574462890625"/>
    <n v="8964293"/>
    <n v="-2.66"/>
    <n v="21.77"/>
    <x v="6"/>
    <s v="Q1-2026"/>
  </r>
  <r>
    <d v="2026-03-04T00:00:00"/>
    <x v="8"/>
    <s v="MARUTI.NS"/>
    <n v="14009.30415472922"/>
    <n v="14042.9660869738"/>
    <n v="13656.84392299186"/>
    <n v="14017.224609375"/>
    <n v="710366"/>
    <n v="-2.52"/>
    <n v="25.74"/>
    <x v="6"/>
    <s v="Q1-2026"/>
  </r>
  <r>
    <d v="2026-03-04T00:00:00"/>
    <x v="9"/>
    <s v="TMPV.NS"/>
    <n v="360.16233742897981"/>
    <n v="360.90616713464328"/>
    <n v="347.21971265703769"/>
    <n v="348.3106689453125"/>
    <n v="17733124"/>
    <n v="-3.59"/>
    <n v="12.6"/>
    <x v="6"/>
    <s v="Q1-2026"/>
  </r>
  <r>
    <d v="2026-03-04T00:00:00"/>
    <x v="10"/>
    <s v="SUNPHARMA.NS"/>
    <n v="1716.7008558401751"/>
    <n v="1752.606754378093"/>
    <n v="1716.501427326567"/>
    <n v="1745.92431640625"/>
    <n v="4914857"/>
    <n v="-0.01"/>
    <n v="6.68"/>
    <x v="6"/>
    <s v="Q1-2026"/>
  </r>
  <r>
    <d v="2026-03-04T00:00:00"/>
    <x v="11"/>
    <s v="ASIANPAINT.NS"/>
    <n v="2241.2549220683882"/>
    <n v="2271.1951134569458"/>
    <n v="2197.2369179915081"/>
    <n v="2265.544189453125"/>
    <n v="1610358"/>
    <n v="-1.96"/>
    <n v="5.65"/>
    <x v="6"/>
    <s v="Q1-2026"/>
  </r>
  <r>
    <d v="2026-03-04T00:00:00"/>
    <x v="12"/>
    <s v="HINDUNILVR.NS"/>
    <n v="2269.8124327191072"/>
    <n v="2288.3243336403821"/>
    <n v="2229.423445900477"/>
    <n v="2238.53076171875"/>
    <n v="2648737"/>
    <n v="-1.78"/>
    <n v="49.79"/>
    <x v="6"/>
    <s v="Q1-2026"/>
  </r>
  <r>
    <d v="2026-03-04T00:00:00"/>
    <x v="13"/>
    <s v="LT.NS"/>
    <n v="3911.7921409181708"/>
    <n v="3920.7050850367191"/>
    <n v="3723.6299873043858"/>
    <n v="3845.044189453125"/>
    <n v="7635350"/>
    <n v="-4.8099999999999996"/>
    <n v="75.66"/>
    <x v="6"/>
    <s v="Q1-2026"/>
  </r>
  <r>
    <d v="2026-03-04T00:00:00"/>
    <x v="14"/>
    <s v="AXISBANK.NS"/>
    <n v="1343.463858634037"/>
    <n v="1356.553738700007"/>
    <n v="1325.977345040809"/>
    <n v="1350.258666992188"/>
    <n v="5832353"/>
    <n v="-1.3"/>
    <n v="6.3"/>
    <x v="6"/>
    <s v="Q1-2026"/>
  </r>
  <r>
    <d v="2026-03-05T00:00:00"/>
    <x v="0"/>
    <s v="RELIANCE.NS"/>
    <n v="1346.8726294272451"/>
    <n v="1392.561409036138"/>
    <n v="1346.8726294272451"/>
    <n v="1383.005615234375"/>
    <n v="25957532"/>
    <n v="0"/>
    <n v="9.56"/>
    <x v="6"/>
    <s v="Q1-2026"/>
  </r>
  <r>
    <d v="2026-03-05T00:00:00"/>
    <x v="1"/>
    <s v="TCS.NS"/>
    <n v="2551.2297774304361"/>
    <n v="2560.5515785402781"/>
    <n v="2498.635098502049"/>
    <n v="2530.427490234375"/>
    <n v="2960636"/>
    <n v="-2.06"/>
    <n v="30.12"/>
    <x v="6"/>
    <s v="Q1-2026"/>
  </r>
  <r>
    <d v="2026-03-05T00:00:00"/>
    <x v="2"/>
    <s v="INFY.NS"/>
    <n v="1292.041027140591"/>
    <n v="1292.041027140591"/>
    <n v="1262.77431634099"/>
    <n v="1278.141845703125"/>
    <n v="10362147"/>
    <n v="-2.27"/>
    <n v="13.9"/>
    <x v="6"/>
    <s v="Q1-2026"/>
  </r>
  <r>
    <d v="2026-03-05T00:00:00"/>
    <x v="3"/>
    <s v="HDFCBANK.NS"/>
    <n v="859.6321193633155"/>
    <n v="867.05932615709685"/>
    <n v="849.45054163616351"/>
    <n v="863.46868896484375"/>
    <n v="31324582"/>
    <n v="-1.18"/>
    <n v="3.59"/>
    <x v="6"/>
    <s v="Q1-2026"/>
  </r>
  <r>
    <d v="2026-03-05T00:00:00"/>
    <x v="4"/>
    <s v="ICICIBANK.NS"/>
    <n v="1357.45594601842"/>
    <n v="1359.340086125404"/>
    <n v="1336.3339667529169"/>
    <n v="1346.250366210938"/>
    <n v="17590491"/>
    <n v="-1.56"/>
    <n v="13.09"/>
    <x v="6"/>
    <s v="Q1-2026"/>
  </r>
  <r>
    <d v="2026-03-05T00:00:00"/>
    <x v="5"/>
    <s v="WIPRO.NS"/>
    <n v="194.1822843184616"/>
    <n v="194.74585523360841"/>
    <n v="191.03819948603211"/>
    <n v="193.47041320800781"/>
    <n v="13149281"/>
    <n v="-1.62"/>
    <n v="1.28"/>
    <x v="6"/>
    <s v="Q1-2026"/>
  </r>
  <r>
    <d v="2026-03-05T00:00:00"/>
    <x v="6"/>
    <s v="HCLTECH.NS"/>
    <n v="1338.6434988164749"/>
    <n v="1338.6434988164749"/>
    <n v="1294.2552063336291"/>
    <n v="1315.235229492188"/>
    <n v="2217963"/>
    <n v="-3.32"/>
    <n v="23.41"/>
    <x v="6"/>
    <s v="Q1-2026"/>
  </r>
  <r>
    <d v="2026-03-05T00:00:00"/>
    <x v="7"/>
    <s v="BAJFINANCE.NS"/>
    <n v="952.146938837118"/>
    <n v="962.33431474847544"/>
    <n v="940.12089007495274"/>
    <n v="956.52008056640625"/>
    <n v="6181254"/>
    <n v="-1.26"/>
    <n v="5.81"/>
    <x v="6"/>
    <s v="Q1-2026"/>
  </r>
  <r>
    <d v="2026-03-05T00:00:00"/>
    <x v="8"/>
    <s v="MARUTI.NS"/>
    <n v="14157.81241192985"/>
    <n v="14425.12775117608"/>
    <n v="13940.9899700968"/>
    <n v="14271.6689453125"/>
    <n v="448650"/>
    <n v="-1.53"/>
    <n v="153.46"/>
    <x v="6"/>
    <s v="Q1-2026"/>
  </r>
  <r>
    <d v="2026-03-05T00:00:00"/>
    <x v="9"/>
    <s v="TMPV.NS"/>
    <n v="350.19502701775667"/>
    <n v="354.21169527055901"/>
    <n v="345.08740249057979"/>
    <n v="352.2281494140625"/>
    <n v="10574236"/>
    <n v="-1.46"/>
    <n v="1.98"/>
    <x v="6"/>
    <s v="Q1-2026"/>
  </r>
  <r>
    <d v="2026-03-05T00:00:00"/>
    <x v="10"/>
    <s v="SUNPHARMA.NS"/>
    <n v="1745.4255099522361"/>
    <n v="1790.2081659578271"/>
    <n v="1743.4307379408619"/>
    <n v="1779.835327148438"/>
    <n v="3600895"/>
    <n v="-0.11"/>
    <n v="10.37"/>
    <x v="6"/>
    <s v="Q1-2026"/>
  </r>
  <r>
    <d v="2026-03-05T00:00:00"/>
    <x v="11"/>
    <s v="ASIANPAINT.NS"/>
    <n v="2265.5440929266379"/>
    <n v="2293.1050231521672"/>
    <n v="2234.315036191103"/>
    <n v="2268.121826171875"/>
    <n v="925040"/>
    <n v="-1.38"/>
    <n v="24.98"/>
    <x v="6"/>
    <s v="Q1-2026"/>
  </r>
  <r>
    <d v="2026-03-05T00:00:00"/>
    <x v="12"/>
    <s v="HINDUNILVR.NS"/>
    <n v="2252.5877729936078"/>
    <n v="2254.8646624102298"/>
    <n v="2205.9619307227781"/>
    <n v="2232.294189453125"/>
    <n v="1751288"/>
    <n v="-2.0699999999999998"/>
    <n v="22.57"/>
    <x v="6"/>
    <s v="Q1-2026"/>
  </r>
  <r>
    <d v="2026-03-05T00:00:00"/>
    <x v="13"/>
    <s v="LT.NS"/>
    <n v="3886.2415796070418"/>
    <n v="4033.5031718602881"/>
    <n v="3871.089526534894"/>
    <n v="3999.634033203125"/>
    <n v="4996312"/>
    <n v="-0.39"/>
    <n v="33.869999999999997"/>
    <x v="6"/>
    <s v="Q1-2026"/>
  </r>
  <r>
    <d v="2026-03-05T00:00:00"/>
    <x v="14"/>
    <s v="AXISBANK.NS"/>
    <n v="1353.8558818023539"/>
    <n v="1354.7552126199701"/>
    <n v="1334.2710107771429"/>
    <n v="1348.060302734375"/>
    <n v="6057499"/>
    <n v="-1.45"/>
    <n v="6.69"/>
    <x v="6"/>
    <s v="Q1-2026"/>
  </r>
  <r>
    <d v="2026-03-06T00:00:00"/>
    <x v="0"/>
    <s v="RELIANCE.NS"/>
    <n v="1390.072867406167"/>
    <n v="1417.744971658615"/>
    <n v="1383.901450361222"/>
    <n v="1398.334716796875"/>
    <n v="19311971"/>
    <n v="-0.44"/>
    <n v="19.41"/>
    <x v="6"/>
    <s v="Q1-2026"/>
  </r>
  <r>
    <d v="2026-03-06T00:00:00"/>
    <x v="1"/>
    <s v="TCS.NS"/>
    <n v="2523.7550365456809"/>
    <n v="2570.069622274581"/>
    <n v="2505.7002751879882"/>
    <n v="2509.625244140625"/>
    <n v="3998643"/>
    <n v="-0.72"/>
    <n v="60.44"/>
    <x v="6"/>
    <s v="Q1-2026"/>
  </r>
  <r>
    <d v="2026-03-06T00:00:00"/>
    <x v="2"/>
    <s v="INFY.NS"/>
    <n v="1275.4011212294211"/>
    <n v="1299.0884925711759"/>
    <n v="1275.4011212294211"/>
    <n v="1280.686767578125"/>
    <n v="8724291"/>
    <n v="0"/>
    <n v="18.399999999999999"/>
    <x v="6"/>
    <s v="Q1-2026"/>
  </r>
  <r>
    <d v="2026-03-06T00:00:00"/>
    <x v="3"/>
    <s v="HDFCBANK.NS"/>
    <n v="853.92649469754406"/>
    <n v="857.51713186970221"/>
    <n v="841.18718395997155"/>
    <n v="843.10546875"/>
    <n v="34439647"/>
    <n v="-1.49"/>
    <n v="14.41"/>
    <x v="6"/>
    <s v="Q1-2026"/>
  </r>
  <r>
    <d v="2026-03-06T00:00:00"/>
    <x v="4"/>
    <s v="ICICIBANK.NS"/>
    <n v="1327.8058801381831"/>
    <n v="1346.2503588188661"/>
    <n v="1299.4450020539291"/>
    <n v="1302.419921875"/>
    <n v="22778852"/>
    <n v="-2.14"/>
    <n v="43.83"/>
    <x v="6"/>
    <s v="Q1-2026"/>
  </r>
  <r>
    <d v="2026-03-06T00:00:00"/>
    <x v="5"/>
    <s v="WIPRO.NS"/>
    <n v="193.39132670391481"/>
    <n v="196.6837116784626"/>
    <n v="192.79809575929031"/>
    <n v="193.1935729980469"/>
    <n v="9022914"/>
    <n v="-0.31"/>
    <n v="3.49"/>
    <x v="6"/>
    <s v="Q1-2026"/>
  </r>
  <r>
    <d v="2026-03-06T00:00:00"/>
    <x v="6"/>
    <s v="HCLTECH.NS"/>
    <n v="1317.0807585976929"/>
    <n v="1341.169008688996"/>
    <n v="1315.3323738808349"/>
    <n v="1317.760620117188"/>
    <n v="1871596"/>
    <n v="-0.13"/>
    <n v="23.41"/>
    <x v="6"/>
    <s v="Q1-2026"/>
  </r>
  <r>
    <d v="2026-03-06T00:00:00"/>
    <x v="7"/>
    <s v="BAJFINANCE.NS"/>
    <n v="954.13470526899368"/>
    <n v="955.62554074597654"/>
    <n v="940.81655074304695"/>
    <n v="944.39459228515625"/>
    <n v="6560051"/>
    <n v="-1.4"/>
    <n v="11.23"/>
    <x v="6"/>
    <s v="Q1-2026"/>
  </r>
  <r>
    <d v="2026-03-06T00:00:00"/>
    <x v="8"/>
    <s v="MARUTI.NS"/>
    <n v="14196.4250755372"/>
    <n v="14322.162294631509"/>
    <n v="13974.652342646459"/>
    <n v="14018.21484375"/>
    <n v="390629"/>
    <n v="-1.56"/>
    <n v="303.95"/>
    <x v="6"/>
    <s v="Q1-2026"/>
  </r>
  <r>
    <d v="2026-03-06T00:00:00"/>
    <x v="9"/>
    <s v="TMPV.NS"/>
    <n v="351.08761133369342"/>
    <n v="351.43473790667508"/>
    <n v="346.47587333981511"/>
    <n v="347.86434936523438"/>
    <n v="6929668"/>
    <n v="-1.31"/>
    <n v="3.57"/>
    <x v="6"/>
    <s v="Q1-2026"/>
  </r>
  <r>
    <d v="2026-03-06T00:00:00"/>
    <x v="10"/>
    <s v="SUNPHARMA.NS"/>
    <n v="1779.8353352303509"/>
    <n v="1800.880155695663"/>
    <n v="1767.168581601097"/>
    <n v="1794.696411132812"/>
    <n v="3669921"/>
    <n v="-0.71"/>
    <n v="6.18"/>
    <x v="6"/>
    <s v="Q1-2026"/>
  </r>
  <r>
    <d v="2026-03-06T00:00:00"/>
    <x v="11"/>
    <s v="ASIANPAINT.NS"/>
    <n v="2242.246123248377"/>
    <n v="2288.0486893030502"/>
    <n v="2234.3149345968081"/>
    <n v="2259.89306640625"/>
    <n v="979742"/>
    <n v="-0.35"/>
    <n v="28.16"/>
    <x v="6"/>
    <s v="Q1-2026"/>
  </r>
  <r>
    <d v="2026-03-06T00:00:00"/>
    <x v="12"/>
    <s v="HINDUNILVR.NS"/>
    <n v="2222.4938661562228"/>
    <n v="2227.3444306878969"/>
    <n v="2197.1515395163501"/>
    <n v="2203.2890625"/>
    <n v="1674258"/>
    <n v="-1.1399999999999999"/>
    <n v="24.06"/>
    <x v="6"/>
    <s v="Q1-2026"/>
  </r>
  <r>
    <d v="2026-03-06T00:00:00"/>
    <x v="13"/>
    <s v="LT.NS"/>
    <n v="3976.1632721469468"/>
    <n v="3976.1632721469468"/>
    <n v="3902.879067380105"/>
    <n v="3911.593994140625"/>
    <n v="2379314"/>
    <n v="-1.84"/>
    <n v="64.569999999999993"/>
    <x v="6"/>
    <s v="Q1-2026"/>
  </r>
  <r>
    <d v="2026-03-06T00:00:00"/>
    <x v="14"/>
    <s v="AXISBANK.NS"/>
    <n v="1345.961917273848"/>
    <n v="1346.8612480726199"/>
    <n v="1312.4877344760209"/>
    <n v="1314.786010742188"/>
    <n v="11629935"/>
    <n v="-2.4900000000000002"/>
    <n v="32.08"/>
    <x v="6"/>
    <s v="Q1-2026"/>
  </r>
  <r>
    <d v="2026-03-09T00:00:00"/>
    <x v="0"/>
    <s v="RELIANCE.NS"/>
    <n v="1368.6718029922311"/>
    <n v="1422.8214608086801"/>
    <n v="1363.694814617714"/>
    <n v="1417.4462890625"/>
    <n v="24870822"/>
    <n v="-0.36"/>
    <n v="5.38"/>
    <x v="6"/>
    <s v="Q1-2026"/>
  </r>
  <r>
    <d v="2026-03-09T00:00:00"/>
    <x v="1"/>
    <s v="TCS.NS"/>
    <n v="2482.5430250293898"/>
    <n v="2511.9802941008852"/>
    <n v="2458.0119674698112"/>
    <n v="2479.99169921875"/>
    <n v="3653428"/>
    <n v="-0.99"/>
    <n v="31.99"/>
    <x v="6"/>
    <s v="Q1-2026"/>
  </r>
  <r>
    <d v="2026-03-09T00:00:00"/>
    <x v="2"/>
    <s v="INFY.NS"/>
    <n v="1262.6764978909221"/>
    <n v="1290.0834296280891"/>
    <n v="1255.3353554613241"/>
    <n v="1287.14697265625"/>
    <n v="10068514"/>
    <n v="-0.57999999999999996"/>
    <n v="2.94"/>
    <x v="6"/>
    <s v="Q1-2026"/>
  </r>
  <r>
    <d v="2026-03-09T00:00:00"/>
    <x v="3"/>
    <s v="HDFCBANK.NS"/>
    <n v="811.57697758586107"/>
    <n v="828.74307233230809"/>
    <n v="808.1339237415574"/>
    <n v="827.02154541015625"/>
    <n v="35592613"/>
    <n v="-0.42"/>
    <n v="1.72"/>
    <x v="6"/>
    <s v="Q1-2026"/>
  </r>
  <r>
    <d v="2026-03-09T00:00:00"/>
    <x v="4"/>
    <s v="ICICIBANK.NS"/>
    <n v="1262.060104122135"/>
    <n v="1271.976503529238"/>
    <n v="1240.6407056127509"/>
    <n v="1267.712524414062"/>
    <n v="16116652"/>
    <n v="-1.7"/>
    <n v="4.26"/>
    <x v="6"/>
    <s v="Q1-2026"/>
  </r>
  <r>
    <d v="2026-03-09T00:00:00"/>
    <x v="5"/>
    <s v="WIPRO.NS"/>
    <n v="191.80938866573311"/>
    <n v="197.2472837052255"/>
    <n v="190.8503405154853"/>
    <n v="196.50575256347659"/>
    <n v="25862728"/>
    <n v="-0.5"/>
    <n v="0.74"/>
    <x v="6"/>
    <s v="Q1-2026"/>
  </r>
  <r>
    <d v="2026-03-09T00:00:00"/>
    <x v="6"/>
    <s v="HCLTECH.NS"/>
    <n v="1291.8270860425"/>
    <n v="1333.301487167703"/>
    <n v="1289.8844889206321"/>
    <n v="1319.606201171875"/>
    <n v="2256550"/>
    <n v="-0.15"/>
    <n v="13.7"/>
    <x v="6"/>
    <s v="Q1-2026"/>
  </r>
  <r>
    <d v="2026-03-09T00:00:00"/>
    <x v="7"/>
    <s v="BAJFINANCE.NS"/>
    <n v="916.16812917475499"/>
    <n v="935.35020114647978"/>
    <n v="903.49602698158196"/>
    <n v="932.31884765625"/>
    <n v="9182152"/>
    <n v="-1.38"/>
    <n v="3.03"/>
    <x v="6"/>
    <s v="Q1-2026"/>
  </r>
  <r>
    <d v="2026-03-09T00:00:00"/>
    <x v="8"/>
    <s v="MARUTI.NS"/>
    <n v="13662.78409090909"/>
    <n v="13662.78409090909"/>
    <n v="13232.109375"/>
    <n v="13373.6875"/>
    <n v="676224"/>
    <n v="-3.15"/>
    <n v="289.10000000000002"/>
    <x v="6"/>
    <s v="Q1-2026"/>
  </r>
  <r>
    <d v="2026-03-09T00:00:00"/>
    <x v="9"/>
    <s v="TMPV.NS"/>
    <n v="339.18634511189288"/>
    <n v="340.07893470362262"/>
    <n v="325.94617032396042"/>
    <n v="329.26861572265619"/>
    <n v="17240937"/>
    <n v="-3.9"/>
    <n v="10.81"/>
    <x v="6"/>
    <s v="Q1-2026"/>
  </r>
  <r>
    <d v="2026-03-09T00:00:00"/>
    <x v="10"/>
    <s v="SUNPHARMA.NS"/>
    <n v="1768.265719033581"/>
    <n v="1810.255646596117"/>
    <n v="1765.3732751929069"/>
    <n v="1802.675537109375"/>
    <n v="4112775"/>
    <n v="-0.16"/>
    <n v="7.58"/>
    <x v="6"/>
    <s v="Q1-2026"/>
  </r>
  <r>
    <d v="2026-03-09T00:00:00"/>
    <x v="11"/>
    <s v="ASIANPAINT.NS"/>
    <n v="2181.0771011863271"/>
    <n v="2210.81906165705"/>
    <n v="2143.998887282437"/>
    <n v="2201.6982421875"/>
    <n v="2198153"/>
    <n v="-1.7"/>
    <n v="9.1199999999999992"/>
    <x v="6"/>
    <s v="Q1-2026"/>
  </r>
  <r>
    <d v="2026-03-09T00:00:00"/>
    <x v="12"/>
    <s v="HINDUNILVR.NS"/>
    <n v="2176.8580406764559"/>
    <n v="2177.8479715726262"/>
    <n v="2148.5459203730729"/>
    <n v="2172.50244140625"/>
    <n v="1512817"/>
    <n v="-1.3"/>
    <n v="5.35"/>
    <x v="6"/>
    <s v="Q1-2026"/>
  </r>
  <r>
    <d v="2026-03-09T00:00:00"/>
    <x v="13"/>
    <s v="LT.NS"/>
    <n v="3812.759522920217"/>
    <n v="3814.7401772178382"/>
    <n v="3706.794517997499"/>
    <n v="3804.93603515625"/>
    <n v="4248784"/>
    <n v="-2.78"/>
    <n v="9.8000000000000007"/>
    <x v="6"/>
    <s v="Q1-2026"/>
  </r>
  <r>
    <d v="2026-03-09T00:00:00"/>
    <x v="14"/>
    <s v="AXISBANK.NS"/>
    <n v="1281.21185421577"/>
    <n v="1290.005121495157"/>
    <n v="1259.82844319878"/>
    <n v="1287.307250976562"/>
    <n v="7926265"/>
    <n v="-1.67"/>
    <n v="2.7"/>
    <x v="6"/>
    <s v="Q1-2026"/>
  </r>
  <r>
    <d v="2026-03-10T00:00:00"/>
    <x v="0"/>
    <s v="RELIANCE.NS"/>
    <n v="1424.015880450879"/>
    <n v="1424.911762654353"/>
    <n v="1394.1539503917591"/>
    <n v="1402.316284179688"/>
    <n v="18071259"/>
    <n v="-2.1"/>
    <n v="22.6"/>
    <x v="6"/>
    <s v="Q1-2026"/>
  </r>
  <r>
    <d v="2026-03-10T00:00:00"/>
    <x v="1"/>
    <s v="TCS.NS"/>
    <n v="2493.3365235176839"/>
    <n v="2497.4576929997102"/>
    <n v="2443.3913894928301"/>
    <n v="2465.9599609375"/>
    <n v="4323710"/>
    <n v="-2"/>
    <n v="31.5"/>
    <x v="6"/>
    <s v="Q1-2026"/>
  </r>
  <r>
    <d v="2026-03-10T00:00:00"/>
    <x v="2"/>
    <s v="INFY.NS"/>
    <n v="1292.0410437407641"/>
    <n v="1293.019862713295"/>
    <n v="1256.901418729957"/>
    <n v="1268.157836914062"/>
    <n v="9600171"/>
    <n v="-2.72"/>
    <n v="24.86"/>
    <x v="6"/>
    <s v="Q1-2026"/>
  </r>
  <r>
    <d v="2026-03-10T00:00:00"/>
    <x v="3"/>
    <s v="HDFCBANK.NS"/>
    <n v="836.21936415473988"/>
    <n v="842.85953919044516"/>
    <n v="826.92310709633398"/>
    <n v="835.629150390625"/>
    <n v="52866024"/>
    <n v="-1.1100000000000001"/>
    <n v="7.23"/>
    <x v="6"/>
    <s v="Q1-2026"/>
  </r>
  <r>
    <d v="2026-03-10T00:00:00"/>
    <x v="4"/>
    <s v="ICICIBANK.NS"/>
    <n v="1276.8355955325101"/>
    <n v="1304.0065548006739"/>
    <n v="1274.8523156012541"/>
    <n v="1300.932495117188"/>
    <n v="19136143"/>
    <n v="-0.16"/>
    <n v="3.07"/>
    <x v="6"/>
    <s v="Q1-2026"/>
  </r>
  <r>
    <d v="2026-03-10T00:00:00"/>
    <x v="5"/>
    <s v="WIPRO.NS"/>
    <n v="198.23599552495921"/>
    <n v="199.03684675887749"/>
    <n v="195.19077243669071"/>
    <n v="198.6611328125"/>
    <n v="12982340"/>
    <n v="-1.54"/>
    <n v="0.38"/>
    <x v="6"/>
    <s v="Q1-2026"/>
  </r>
  <r>
    <d v="2026-03-10T00:00:00"/>
    <x v="6"/>
    <s v="HCLTECH.NS"/>
    <n v="1321.9373243586181"/>
    <n v="1325.239763136487"/>
    <n v="1306.39654758438"/>
    <n v="1322.422973632812"/>
    <n v="1671877"/>
    <n v="-1.18"/>
    <n v="2.82"/>
    <x v="6"/>
    <s v="Q1-2026"/>
  </r>
  <r>
    <d v="2026-03-10T00:00:00"/>
    <x v="7"/>
    <s v="BAJFINANCE.NS"/>
    <n v="944.19579880947015"/>
    <n v="946.33268725062351"/>
    <n v="926.15666533573642"/>
    <n v="934.05810546875"/>
    <n v="8474956"/>
    <n v="-1.91"/>
    <n v="12.27"/>
    <x v="6"/>
    <s v="Q1-2026"/>
  </r>
  <r>
    <d v="2026-03-10T00:00:00"/>
    <x v="8"/>
    <s v="MARUTI.NS"/>
    <n v="13584.56986580382"/>
    <n v="13770.700551232811"/>
    <n v="13370.717588927961"/>
    <n v="13729.1181640625"/>
    <n v="353715"/>
    <n v="-1.57"/>
    <n v="41.58"/>
    <x v="6"/>
    <s v="Q1-2026"/>
  </r>
  <r>
    <d v="2026-03-10T00:00:00"/>
    <x v="9"/>
    <s v="TMPV.NS"/>
    <n v="335.21926879107428"/>
    <n v="342.95508596426453"/>
    <n v="331.50012009886558"/>
    <n v="342.36004638671881"/>
    <n v="13770080"/>
    <n v="-1.1100000000000001"/>
    <n v="0.6"/>
    <x v="6"/>
    <s v="Q1-2026"/>
  </r>
  <r>
    <d v="2026-03-10T00:00:00"/>
    <x v="10"/>
    <s v="SUNPHARMA.NS"/>
    <n v="1805.2686718483701"/>
    <n v="1820.329176196971"/>
    <n v="1798.5862343050001"/>
    <n v="1808.061401367188"/>
    <n v="3298680"/>
    <n v="-0.37"/>
    <n v="12.27"/>
    <x v="6"/>
    <s v="Q1-2026"/>
  </r>
  <r>
    <d v="2026-03-10T00:00:00"/>
    <x v="11"/>
    <s v="ASIANPAINT.NS"/>
    <n v="2232.2333127043021"/>
    <n v="2285.2731408487371"/>
    <n v="2232.2333127043021"/>
    <n v="2260.785400390625"/>
    <n v="1192174"/>
    <n v="0"/>
    <n v="24.49"/>
    <x v="6"/>
    <s v="Q1-2026"/>
  </r>
  <r>
    <d v="2026-03-10T00:00:00"/>
    <x v="12"/>
    <s v="HINDUNILVR.NS"/>
    <n v="2201.6061952106211"/>
    <n v="2201.6061952106211"/>
    <n v="2153.099583895279"/>
    <n v="2168.146484375"/>
    <n v="1084986"/>
    <n v="-2.2000000000000002"/>
    <n v="33.46"/>
    <x v="6"/>
    <s v="Q1-2026"/>
  </r>
  <r>
    <d v="2026-03-10T00:00:00"/>
    <x v="13"/>
    <s v="LT.NS"/>
    <n v="3897.927438080495"/>
    <n v="3933.5792134287931"/>
    <n v="3813.7496351747941"/>
    <n v="3838.5078125"/>
    <n v="3330102"/>
    <n v="-2.16"/>
    <n v="95.07"/>
    <x v="6"/>
    <s v="Q1-2026"/>
  </r>
  <r>
    <d v="2026-03-10T00:00:00"/>
    <x v="14"/>
    <s v="AXISBANK.NS"/>
    <n v="1294.201795402581"/>
    <n v="1318.4831172118311"/>
    <n v="1283.6099887690709"/>
    <n v="1313.686767578125"/>
    <n v="6289277"/>
    <n v="-0.82"/>
    <n v="4.8"/>
    <x v="6"/>
    <s v="Q1-2026"/>
  </r>
  <r>
    <d v="2026-03-11T00:00:00"/>
    <x v="0"/>
    <s v="RELIANCE.NS"/>
    <n v="1418.34212900751"/>
    <n v="1427.4002232775149"/>
    <n v="1377.232157655601"/>
    <n v="1383.8017578125"/>
    <n v="21848087"/>
    <n v="-2.9"/>
    <n v="43.6"/>
    <x v="6"/>
    <s v="Q1-2026"/>
  </r>
  <r>
    <d v="2026-03-11T00:00:00"/>
    <x v="1"/>
    <s v="TCS.NS"/>
    <n v="2461.0539217376809"/>
    <n v="2473.711851651557"/>
    <n v="2413.9542910834662"/>
    <n v="2418.6640625"/>
    <n v="2720664"/>
    <n v="-1.91"/>
    <n v="55.05"/>
    <x v="6"/>
    <s v="Q1-2026"/>
  </r>
  <r>
    <d v="2026-03-11T00:00:00"/>
    <x v="2"/>
    <s v="INFY.NS"/>
    <n v="1260.71885801185"/>
    <n v="1271.975276386956"/>
    <n v="1244.372628687114"/>
    <n v="1249.266723632812"/>
    <n v="7868891"/>
    <n v="-1.3"/>
    <n v="22.71"/>
    <x v="6"/>
    <s v="Q1-2026"/>
  </r>
  <r>
    <d v="2026-03-11T00:00:00"/>
    <x v="3"/>
    <s v="HDFCBANK.NS"/>
    <n v="831.25154820123225"/>
    <n v="835.0388833093358"/>
    <n v="814.13462839894976"/>
    <n v="820.38134765625"/>
    <n v="42261076"/>
    <n v="-2.06"/>
    <n v="14.66"/>
    <x v="6"/>
    <s v="Q1-2026"/>
  </r>
  <r>
    <d v="2026-03-11T00:00:00"/>
    <x v="4"/>
    <s v="ICICIBANK.NS"/>
    <n v="1289.1319797351589"/>
    <n v="1295.577639633834"/>
    <n v="1280.1080800869729"/>
    <n v="1283.777099609375"/>
    <n v="13224259"/>
    <n v="-0.7"/>
    <n v="11.8"/>
    <x v="6"/>
    <s v="Q1-2026"/>
  </r>
  <r>
    <d v="2026-03-11T00:00:00"/>
    <x v="5"/>
    <s v="WIPRO.NS"/>
    <n v="200.40126932343739"/>
    <n v="203.62445265408161"/>
    <n v="199.30380260783789"/>
    <n v="199.94645690917969"/>
    <n v="29199002"/>
    <n v="-0.55000000000000004"/>
    <n v="3.68"/>
    <x v="6"/>
    <s v="Q1-2026"/>
  </r>
  <r>
    <d v="2026-03-11T00:00:00"/>
    <x v="6"/>
    <s v="HCLTECH.NS"/>
    <n v="1327.9592836609329"/>
    <n v="1336.5067580284981"/>
    <n v="1308.241994925977"/>
    <n v="1311.54443359375"/>
    <n v="1837000"/>
    <n v="-1.48"/>
    <n v="24.96"/>
    <x v="6"/>
    <s v="Q1-2026"/>
  </r>
  <r>
    <d v="2026-03-11T00:00:00"/>
    <x v="7"/>
    <s v="BAJFINANCE.NS"/>
    <n v="926.50458489593018"/>
    <n v="935.49928031927197"/>
    <n v="884.56240051437135"/>
    <n v="888.19012451171875"/>
    <n v="11172537"/>
    <n v="-4.53"/>
    <n v="47.31"/>
    <x v="6"/>
    <s v="Q1-2026"/>
  </r>
  <r>
    <d v="2026-03-11T00:00:00"/>
    <x v="8"/>
    <s v="MARUTI.NS"/>
    <n v="13712.28693181818"/>
    <n v="13809.3125"/>
    <n v="13307.35369318182"/>
    <n v="13362.796875"/>
    <n v="392182"/>
    <n v="-2.95"/>
    <n v="446.52"/>
    <x v="6"/>
    <s v="Q1-2026"/>
  </r>
  <r>
    <d v="2026-03-11T00:00:00"/>
    <x v="9"/>
    <s v="TMPV.NS"/>
    <n v="341.96330065993629"/>
    <n v="344.14521325402922"/>
    <n v="331.89681128232041"/>
    <n v="332.591064453125"/>
    <n v="5949596"/>
    <n v="-2.94"/>
    <n v="11.55"/>
    <x v="6"/>
    <s v="Q1-2026"/>
  </r>
  <r>
    <d v="2026-03-11T00:00:00"/>
    <x v="10"/>
    <s v="SUNPHARMA.NS"/>
    <n v="1818.2347533954421"/>
    <n v="1838.1824742225999"/>
    <n v="1813.3475374425429"/>
    <n v="1821.127197265625"/>
    <n v="2510495"/>
    <n v="-0.27"/>
    <n v="17.059999999999999"/>
    <x v="6"/>
    <s v="Q1-2026"/>
  </r>
  <r>
    <d v="2026-03-11T00:00:00"/>
    <x v="11"/>
    <s v="ASIANPAINT.NS"/>
    <n v="2270.3028787592411"/>
    <n v="2282.1996624033941"/>
    <n v="2206.8533659904228"/>
    <n v="2212.8017578125"/>
    <n v="687786"/>
    <n v="-2.79"/>
    <n v="69.400000000000006"/>
    <x v="6"/>
    <s v="Q1-2026"/>
  </r>
  <r>
    <d v="2026-03-11T00:00:00"/>
    <x v="12"/>
    <s v="HINDUNILVR.NS"/>
    <n v="2168.1465318534629"/>
    <n v="2172.898248341201"/>
    <n v="2134.2909446121321"/>
    <n v="2139.636474609375"/>
    <n v="1313256"/>
    <n v="-1.56"/>
    <n v="33.26"/>
    <x v="6"/>
    <s v="Q1-2026"/>
  </r>
  <r>
    <d v="2026-03-11T00:00:00"/>
    <x v="13"/>
    <s v="LT.NS"/>
    <n v="3842.1720063386028"/>
    <n v="3859.007567059743"/>
    <n v="3794.9334519651038"/>
    <n v="3801.667724609375"/>
    <n v="2066473"/>
    <n v="-1.23"/>
    <n v="57.34"/>
    <x v="6"/>
    <s v="Q1-2026"/>
  </r>
  <r>
    <d v="2026-03-11T00:00:00"/>
    <x v="14"/>
    <s v="AXISBANK.NS"/>
    <n v="1308.990457752961"/>
    <n v="1316.484677930936"/>
    <n v="1251.7345668027369"/>
    <n v="1254.832275390625"/>
    <n v="6859908"/>
    <n v="-4.37"/>
    <n v="61.65"/>
    <x v="6"/>
    <s v="Q1-2026"/>
  </r>
  <r>
    <d v="2026-03-12T00:00:00"/>
    <x v="0"/>
    <s v="RELIANCE.NS"/>
    <n v="1383.6027762448109"/>
    <n v="1404.406612074222"/>
    <n v="1374.7437125844201"/>
    <n v="1385.792602539062"/>
    <n v="20939959"/>
    <n v="-0.64"/>
    <n v="18.61"/>
    <x v="6"/>
    <s v="Q1-2026"/>
  </r>
  <r>
    <d v="2026-03-12T00:00:00"/>
    <x v="1"/>
    <s v="TCS.NS"/>
    <n v="2413.6596961154"/>
    <n v="2426.5138256495229"/>
    <n v="2390.3060830242089"/>
    <n v="2396.5859375"/>
    <n v="2752075"/>
    <n v="-0.97"/>
    <n v="29.93"/>
    <x v="6"/>
    <s v="Q1-2026"/>
  </r>
  <r>
    <d v="2026-03-12T00:00:00"/>
    <x v="2"/>
    <s v="INFY.NS"/>
    <n v="1245.5471752363731"/>
    <n v="1251.5179472285729"/>
    <n v="1231.354299762166"/>
    <n v="1238.989135742188"/>
    <n v="7599940"/>
    <n v="-1.1399999999999999"/>
    <n v="12.53"/>
    <x v="6"/>
    <s v="Q1-2026"/>
  </r>
  <r>
    <d v="2026-03-12T00:00:00"/>
    <x v="3"/>
    <s v="HDFCBANK.NS"/>
    <n v="806.75666259982961"/>
    <n v="822.79150394145631"/>
    <n v="806.75666259982961"/>
    <n v="819.20086669921875"/>
    <n v="46107561"/>
    <n v="0"/>
    <n v="3.59"/>
    <x v="6"/>
    <s v="Q1-2026"/>
  </r>
  <r>
    <d v="2026-03-12T00:00:00"/>
    <x v="4"/>
    <s v="ICICIBANK.NS"/>
    <n v="1265.035026356702"/>
    <n v="1269.794946501107"/>
    <n v="1247.780588195275"/>
    <n v="1255.911987304688"/>
    <n v="19676187"/>
    <n v="-1.36"/>
    <n v="13.88"/>
    <x v="6"/>
    <s v="Q1-2026"/>
  </r>
  <r>
    <d v="2026-03-12T00:00:00"/>
    <x v="5"/>
    <s v="WIPRO.NS"/>
    <n v="198.78967321086509"/>
    <n v="201.4987391772234"/>
    <n v="197.44502942203999"/>
    <n v="200.2232971191406"/>
    <n v="19042475"/>
    <n v="-0.68"/>
    <n v="1.28"/>
    <x v="6"/>
    <s v="Q1-2026"/>
  </r>
  <r>
    <d v="2026-03-12T00:00:00"/>
    <x v="6"/>
    <s v="HCLTECH.NS"/>
    <n v="1311.2529891767199"/>
    <n v="1324.26841293078"/>
    <n v="1302.5113025822079"/>
    <n v="1319.120483398438"/>
    <n v="2616965"/>
    <n v="-0.67"/>
    <n v="5.15"/>
    <x v="6"/>
    <s v="Q1-2026"/>
  </r>
  <r>
    <d v="2026-03-12T00:00:00"/>
    <x v="7"/>
    <s v="BAJFINANCE.NS"/>
    <n v="874.72285683357654"/>
    <n v="882.77340491925577"/>
    <n v="853.10574211491746"/>
    <n v="857.82672119140625"/>
    <n v="15508258"/>
    <n v="-2.4700000000000002"/>
    <n v="24.95"/>
    <x v="6"/>
    <s v="Q1-2026"/>
  </r>
  <r>
    <d v="2026-03-12T00:00:00"/>
    <x v="8"/>
    <s v="MARUTI.NS"/>
    <n v="13296.46270163227"/>
    <n v="13296.46270163227"/>
    <n v="12837.07635066002"/>
    <n v="12881.62890625"/>
    <n v="544683"/>
    <n v="-3.45"/>
    <n v="414.83"/>
    <x v="6"/>
    <s v="Q1-2026"/>
  </r>
  <r>
    <d v="2026-03-12T00:00:00"/>
    <x v="9"/>
    <s v="TMPV.NS"/>
    <n v="329.76452074471348"/>
    <n v="330.26040724207411"/>
    <n v="320.68980389631889"/>
    <n v="321.87991333007813"/>
    <n v="9707654"/>
    <n v="-2.75"/>
    <n v="8.3800000000000008"/>
    <x v="6"/>
    <s v="Q1-2026"/>
  </r>
  <r>
    <d v="2026-03-12T00:00:00"/>
    <x v="10"/>
    <s v="SUNPHARMA.NS"/>
    <n v="1823.221702232443"/>
    <n v="1828.8070397708741"/>
    <n v="1803.672959972318"/>
    <n v="1820.52880859375"/>
    <n v="2606057"/>
    <n v="-1.07"/>
    <n v="8.2799999999999994"/>
    <x v="6"/>
    <s v="Q1-2026"/>
  </r>
  <r>
    <d v="2026-03-12T00:00:00"/>
    <x v="11"/>
    <s v="ASIANPAINT.NS"/>
    <n v="2189.0080695446868"/>
    <n v="2230.547573323493"/>
    <n v="2182.0682794691379"/>
    <n v="2202.094482421875"/>
    <n v="1384055"/>
    <n v="-0.32"/>
    <n v="28.45"/>
    <x v="6"/>
    <s v="Q1-2026"/>
  </r>
  <r>
    <d v="2026-03-12T00:00:00"/>
    <x v="12"/>
    <s v="HINDUNILVR.NS"/>
    <n v="2143.2992989000732"/>
    <n v="2143.2992989000732"/>
    <n v="2088.0611112239581"/>
    <n v="2115.383056640625"/>
    <n v="1791973"/>
    <n v="-2.58"/>
    <n v="27.92"/>
    <x v="6"/>
    <s v="Q1-2026"/>
  </r>
  <r>
    <d v="2026-03-12T00:00:00"/>
    <x v="13"/>
    <s v="LT.NS"/>
    <n v="3788.001239836608"/>
    <n v="3792.9528754442381"/>
    <n v="3669.062855829713"/>
    <n v="3683.521728515625"/>
    <n v="4255443"/>
    <n v="-3.14"/>
    <n v="109.43"/>
    <x v="6"/>
    <s v="Q1-2026"/>
  </r>
  <r>
    <d v="2026-03-12T00:00:00"/>
    <x v="14"/>
    <s v="AXISBANK.NS"/>
    <n v="1242.2419531270291"/>
    <n v="1250.1358898574999"/>
    <n v="1230.8508354394769"/>
    <n v="1233.548706054688"/>
    <n v="9663320"/>
    <n v="-0.92"/>
    <n v="16.59"/>
    <x v="6"/>
    <s v="Q1-2026"/>
  </r>
  <r>
    <d v="2026-03-13T00:00:00"/>
    <x v="0"/>
    <s v="RELIANCE.NS"/>
    <n v="1378.8248707870421"/>
    <n v="1394.353172399344"/>
    <n v="1372.056239207702"/>
    <n v="1374.345581054688"/>
    <n v="17265090"/>
    <n v="-0.49"/>
    <n v="20.010000000000002"/>
    <x v="6"/>
    <s v="Q1-2026"/>
  </r>
  <r>
    <d v="2026-03-13T00:00:00"/>
    <x v="1"/>
    <s v="TCS.NS"/>
    <n v="2391.2873432354868"/>
    <n v="2400.020303362955"/>
    <n v="2352.037653563998"/>
    <n v="2365.284423828125"/>
    <n v="2466488"/>
    <n v="-1.64"/>
    <n v="34.74"/>
    <x v="6"/>
    <s v="Q1-2026"/>
  </r>
  <r>
    <d v="2026-03-13T00:00:00"/>
    <x v="2"/>
    <s v="INFY.NS"/>
    <n v="1224.502504578003"/>
    <n v="1242.7085131232229"/>
    <n v="1216.280401513626"/>
    <n v="1221.859741210938"/>
    <n v="7366098"/>
    <n v="-0.67"/>
    <n v="20.85"/>
    <x v="6"/>
    <s v="Q1-2026"/>
  </r>
  <r>
    <d v="2026-03-13T00:00:00"/>
    <x v="3"/>
    <s v="HDFCBANK.NS"/>
    <n v="806.65834237779222"/>
    <n v="810.39650317551423"/>
    <n v="798.78850489117963"/>
    <n v="803.7071533203125"/>
    <n v="41700464"/>
    <n v="-0.98"/>
    <n v="6.69"/>
    <x v="6"/>
    <s v="Q1-2026"/>
  </r>
  <r>
    <d v="2026-03-13T00:00:00"/>
    <x v="4"/>
    <s v="ICICIBANK.NS"/>
    <n v="1241.434156276259"/>
    <n v="1251.7472366196889"/>
    <n v="1238.2608356053081"/>
    <n v="1244.309936523438"/>
    <n v="17344394"/>
    <n v="-0.26"/>
    <n v="7.44"/>
    <x v="6"/>
    <s v="Q1-2026"/>
  </r>
  <r>
    <d v="2026-03-13T00:00:00"/>
    <x v="5"/>
    <s v="WIPRO.NS"/>
    <n v="198.3348715023225"/>
    <n v="199.78827376725539"/>
    <n v="193.82634942522009"/>
    <n v="195.3489685058594"/>
    <n v="12629652"/>
    <n v="-2.27"/>
    <n v="4.4400000000000004"/>
    <x v="6"/>
    <s v="Q1-2026"/>
  </r>
  <r>
    <d v="2026-03-13T00:00:00"/>
    <x v="6"/>
    <s v="HCLTECH.NS"/>
    <n v="1311.25305164263"/>
    <n v="1317.760704546318"/>
    <n v="1283.0853934962331"/>
    <n v="1287.359130859375"/>
    <n v="2190786"/>
    <n v="-2.15"/>
    <n v="30.4"/>
    <x v="6"/>
    <s v="Q1-2026"/>
  </r>
  <r>
    <d v="2026-03-13T00:00:00"/>
    <x v="7"/>
    <s v="BAJFINANCE.NS"/>
    <n v="855.73958742218213"/>
    <n v="863.04465719625091"/>
    <n v="843.61411307538708"/>
    <n v="849.825927734375"/>
    <n v="6668639"/>
    <n v="-1.42"/>
    <n v="13.22"/>
    <x v="6"/>
    <s v="Q1-2026"/>
  </r>
  <r>
    <d v="2026-03-13T00:00:00"/>
    <x v="8"/>
    <s v="MARUTI.NS"/>
    <n v="12770.743170577571"/>
    <n v="12833.116751455649"/>
    <n v="12358.879525414361"/>
    <n v="12465.8056640625"/>
    <n v="939594"/>
    <n v="-3.23"/>
    <n v="367.31"/>
    <x v="6"/>
    <s v="Q1-2026"/>
  </r>
  <r>
    <d v="2026-03-13T00:00:00"/>
    <x v="9"/>
    <s v="TMPV.NS"/>
    <n v="320.34267314353099"/>
    <n v="321.48320601937792"/>
    <n v="305.96196490643752"/>
    <n v="311.51589965820313"/>
    <n v="17073811"/>
    <n v="-4.49"/>
    <n v="9.9700000000000006"/>
    <x v="6"/>
    <s v="Q1-2026"/>
  </r>
  <r>
    <d v="2026-03-13T00:00:00"/>
    <x v="10"/>
    <s v="SUNPHARMA.NS"/>
    <n v="1817.2373241097609"/>
    <n v="1828.5078348093939"/>
    <n v="1792.302673669177"/>
    <n v="1796.890625"/>
    <n v="2554627"/>
    <n v="-1.37"/>
    <n v="31.62"/>
    <x v="6"/>
    <s v="Q1-2026"/>
  </r>
  <r>
    <d v="2026-03-13T00:00:00"/>
    <x v="11"/>
    <s v="ASIANPAINT.NS"/>
    <n v="2185.7364933124268"/>
    <n v="2200.607472641047"/>
    <n v="2171.1629819785148"/>
    <n v="2177.904541015625"/>
    <n v="949233"/>
    <n v="-0.67"/>
    <n v="22.7"/>
    <x v="6"/>
    <s v="Q1-2026"/>
  </r>
  <r>
    <d v="2026-03-13T00:00:00"/>
    <x v="12"/>
    <s v="HINDUNILVR.NS"/>
    <n v="2114.492390950521"/>
    <n v="2169.8294312879439"/>
    <n v="2098.950524241146"/>
    <n v="2138.250732421875"/>
    <n v="2298875"/>
    <n v="-0.74"/>
    <n v="31.58"/>
    <x v="6"/>
    <s v="Q1-2026"/>
  </r>
  <r>
    <d v="2026-03-13T00:00:00"/>
    <x v="13"/>
    <s v="LT.NS"/>
    <n v="3660.2489254688858"/>
    <n v="3661.2392525591108"/>
    <n v="3391.3751204729979"/>
    <n v="3405.73486328125"/>
    <n v="10778730"/>
    <n v="-7.35"/>
    <n v="255.5"/>
    <x v="6"/>
    <s v="Q1-2026"/>
  </r>
  <r>
    <d v="2026-03-13T00:00:00"/>
    <x v="14"/>
    <s v="AXISBANK.NS"/>
    <n v="1223.0566935167651"/>
    <n v="1233.5486014268349"/>
    <n v="1193.3796313616319"/>
    <n v="1196.377319335938"/>
    <n v="9098187"/>
    <n v="-2.4300000000000002"/>
    <n v="37.17"/>
    <x v="6"/>
    <s v="Q1-2026"/>
  </r>
  <r>
    <d v="2026-03-16T00:00:00"/>
    <x v="0"/>
    <s v="RELIANCE.NS"/>
    <n v="1373.6488401657621"/>
    <n v="1390.869269156751"/>
    <n v="1357.2247779463889"/>
    <n v="1388.679321289062"/>
    <n v="22837802"/>
    <n v="-1.2"/>
    <n v="2.19"/>
    <x v="6"/>
    <s v="Q1-2026"/>
  </r>
  <r>
    <d v="2026-03-16T00:00:00"/>
    <x v="1"/>
    <s v="TCS.NS"/>
    <n v="2364.7938307774671"/>
    <n v="2379.512464578987"/>
    <n v="2321.7173916761249"/>
    <n v="2364.0087890625"/>
    <n v="3807907"/>
    <n v="-1.82"/>
    <n v="15.5"/>
    <x v="6"/>
    <s v="Q1-2026"/>
  </r>
  <r>
    <d v="2026-03-16T00:00:00"/>
    <x v="2"/>
    <s v="INFY.NS"/>
    <n v="1213.9312451805081"/>
    <n v="1227.732688317838"/>
    <n v="1198.2701415781939"/>
    <n v="1223.328002929688"/>
    <n v="12314450"/>
    <n v="-1.29"/>
    <n v="4.4000000000000004"/>
    <x v="6"/>
    <s v="Q1-2026"/>
  </r>
  <r>
    <d v="2026-03-16T00:00:00"/>
    <x v="3"/>
    <s v="HDFCBANK.NS"/>
    <n v="803.70715997731691"/>
    <n v="830.75972656162071"/>
    <n v="802.37914890728939"/>
    <n v="826.92315673828125"/>
    <n v="52182605"/>
    <n v="-0.17"/>
    <n v="3.84"/>
    <x v="6"/>
    <s v="Q1-2026"/>
  </r>
  <r>
    <d v="2026-03-16T00:00:00"/>
    <x v="4"/>
    <s v="ICICIBANK.NS"/>
    <n v="1244.508165208149"/>
    <n v="1266.1259650237171"/>
    <n v="1229.732705411255"/>
    <n v="1262.258544921875"/>
    <n v="22740688"/>
    <n v="-1.19"/>
    <n v="3.87"/>
    <x v="6"/>
    <s v="Q1-2026"/>
  </r>
  <r>
    <d v="2026-03-16T00:00:00"/>
    <x v="5"/>
    <s v="WIPRO.NS"/>
    <n v="194.0241054617228"/>
    <n v="196.05094523243449"/>
    <n v="190.59328675018611"/>
    <n v="192.9068603515625"/>
    <n v="12631649"/>
    <n v="-1.77"/>
    <n v="3.14"/>
    <x v="6"/>
    <s v="Q1-2026"/>
  </r>
  <r>
    <d v="2026-03-16T00:00:00"/>
    <x v="6"/>
    <s v="HCLTECH.NS"/>
    <n v="1275.120838548173"/>
    <n v="1299.3060786269441"/>
    <n v="1265.019309481642"/>
    <n v="1290.46728515625"/>
    <n v="3618375"/>
    <n v="-0.79"/>
    <n v="8.84"/>
    <x v="6"/>
    <s v="Q1-2026"/>
  </r>
  <r>
    <d v="2026-03-16T00:00:00"/>
    <x v="7"/>
    <s v="BAJFINANCE.NS"/>
    <n v="844.90617771722054"/>
    <n v="876.51193995485983"/>
    <n v="844.90617771722054"/>
    <n v="872.78485107421875"/>
    <n v="8982957"/>
    <n v="0"/>
    <n v="3.73"/>
    <x v="6"/>
    <s v="Q1-2026"/>
  </r>
  <r>
    <d v="2026-03-16T00:00:00"/>
    <x v="8"/>
    <s v="MARUTI.NS"/>
    <n v="12407.391522178999"/>
    <n v="12745.990939716919"/>
    <n v="12276.704027690679"/>
    <n v="12630.154296875"/>
    <n v="1416170"/>
    <n v="-1.05"/>
    <n v="115.84"/>
    <x v="6"/>
    <s v="Q1-2026"/>
  </r>
  <r>
    <d v="2026-03-16T00:00:00"/>
    <x v="9"/>
    <s v="TMPV.NS"/>
    <n v="310.42493942347983"/>
    <n v="313.84656827452761"/>
    <n v="304.3751182568131"/>
    <n v="311.81341552734381"/>
    <n v="10394023"/>
    <n v="-1.95"/>
    <n v="2.0299999999999998"/>
    <x v="6"/>
    <s v="Q1-2026"/>
  </r>
  <r>
    <d v="2026-03-16T00:00:00"/>
    <x v="10"/>
    <s v="SUNPHARMA.NS"/>
    <n v="1796.890623346691"/>
    <n v="1813.2477783709089"/>
    <n v="1764.1764350494791"/>
    <n v="1778.538696289062"/>
    <n v="2452391"/>
    <n v="-1.82"/>
    <n v="34.71"/>
    <x v="6"/>
    <s v="Q1-2026"/>
  </r>
  <r>
    <d v="2026-03-16T00:00:00"/>
    <x v="11"/>
    <s v="ASIANPAINT.NS"/>
    <n v="2166.6025307917071"/>
    <n v="2208.6379791233671"/>
    <n v="2156.3913182449019"/>
    <n v="2198.624755859375"/>
    <n v="1111587"/>
    <n v="-0.47"/>
    <n v="10.01"/>
    <x v="6"/>
    <s v="Q1-2026"/>
  </r>
  <r>
    <d v="2026-03-16T00:00:00"/>
    <x v="12"/>
    <s v="HINDUNILVR.NS"/>
    <n v="2147.754047353541"/>
    <n v="2164.681719709848"/>
    <n v="2132.3110295750498"/>
    <n v="2153.79248046875"/>
    <n v="1981511"/>
    <n v="-0.72"/>
    <n v="10.89"/>
    <x v="6"/>
    <s v="Q1-2026"/>
  </r>
  <r>
    <d v="2026-03-16T00:00:00"/>
    <x v="13"/>
    <s v="LT.NS"/>
    <n v="3420.094715784528"/>
    <n v="3460.9952742784371"/>
    <n v="3363.7451992550609"/>
    <n v="3435.8408203125"/>
    <n v="8459233"/>
    <n v="-1.65"/>
    <n v="25.15"/>
    <x v="6"/>
    <s v="Q1-2026"/>
  </r>
  <r>
    <d v="2026-03-16T00:00:00"/>
    <x v="14"/>
    <s v="AXISBANK.NS"/>
    <n v="1198.2758601545111"/>
    <n v="1218.9599821354241"/>
    <n v="1179.1906028112271"/>
    <n v="1213.763916015625"/>
    <n v="8743794"/>
    <n v="-1.59"/>
    <n v="5.2"/>
    <x v="6"/>
    <s v="Q1-2026"/>
  </r>
  <r>
    <d v="2026-03-17T00:00:00"/>
    <x v="0"/>
    <s v="RELIANCE.NS"/>
    <n v="1392.561305614335"/>
    <n v="1399.4295736678141"/>
    <n v="1381.8109624429319"/>
    <n v="1391.167724609375"/>
    <n v="19007744"/>
    <n v="-0.77"/>
    <n v="8.26"/>
    <x v="6"/>
    <s v="Q1-2026"/>
  </r>
  <r>
    <d v="2026-03-17T00:00:00"/>
    <x v="1"/>
    <s v="TCS.NS"/>
    <n v="2374.6063631722791"/>
    <n v="2374.6063631722791"/>
    <n v="2315.731825242387"/>
    <n v="2346.837158203125"/>
    <n v="2993367"/>
    <n v="-2.48"/>
    <n v="27.77"/>
    <x v="6"/>
    <s v="Q1-2026"/>
  </r>
  <r>
    <d v="2026-03-17T00:00:00"/>
    <x v="2"/>
    <s v="INFY.NS"/>
    <n v="1218.629573886597"/>
    <n v="1218.629573886597"/>
    <n v="1189.3628638376749"/>
    <n v="1206.785888671875"/>
    <n v="11223276"/>
    <n v="-2.4"/>
    <n v="11.84"/>
    <x v="6"/>
    <s v="Q1-2026"/>
  </r>
  <r>
    <d v="2026-03-17T00:00:00"/>
    <x v="3"/>
    <s v="HDFCBANK.NS"/>
    <n v="833.90762586911399"/>
    <n v="835.0881134427475"/>
    <n v="821.51259640910018"/>
    <n v="831.5958251953125"/>
    <n v="38826979"/>
    <n v="-1.49"/>
    <n v="3.49"/>
    <x v="6"/>
    <s v="Q1-2026"/>
  </r>
  <r>
    <d v="2026-03-17T00:00:00"/>
    <x v="4"/>
    <s v="ICICIBANK.NS"/>
    <n v="1268.2083924442079"/>
    <n v="1283.578812107693"/>
    <n v="1262.3576923623409"/>
    <n v="1277.926391601562"/>
    <n v="22303102"/>
    <n v="-0.46"/>
    <n v="5.65"/>
    <x v="6"/>
    <s v="Q1-2026"/>
  </r>
  <r>
    <d v="2026-03-17T00:00:00"/>
    <x v="5"/>
    <s v="WIPRO.NS"/>
    <n v="192.79809150296359"/>
    <n v="192.90685000419401"/>
    <n v="186.12431141247629"/>
    <n v="189.15965270996091"/>
    <n v="21778468"/>
    <n v="-3.46"/>
    <n v="3.75"/>
    <x v="6"/>
    <s v="Q1-2026"/>
  </r>
  <r>
    <d v="2026-03-17T00:00:00"/>
    <x v="6"/>
    <s v="HCLTECH.NS"/>
    <n v="1290.4672342673121"/>
    <n v="1290.4672342673121"/>
    <n v="1260.4540852554569"/>
    <n v="1283.182495117188"/>
    <n v="2285672"/>
    <n v="-2.33"/>
    <n v="7.28"/>
    <x v="6"/>
    <s v="Q1-2026"/>
  </r>
  <r>
    <d v="2026-03-17T00:00:00"/>
    <x v="7"/>
    <s v="BAJFINANCE.NS"/>
    <n v="872.78485342689009"/>
    <n v="875.66709910500288"/>
    <n v="854.29845613172643"/>
    <n v="863.29315185546875"/>
    <n v="7941385"/>
    <n v="-2.12"/>
    <n v="12.37"/>
    <x v="6"/>
    <s v="Q1-2026"/>
  </r>
  <r>
    <d v="2026-03-17T00:00:00"/>
    <x v="8"/>
    <s v="MARUTI.NS"/>
    <n v="12662.826266881309"/>
    <n v="12969.743869909709"/>
    <n v="12559.8603613492"/>
    <n v="12843.0166015625"/>
    <n v="1178941"/>
    <n v="-0.81"/>
    <n v="126.73"/>
    <x v="6"/>
    <s v="Q1-2026"/>
  </r>
  <r>
    <d v="2026-03-17T00:00:00"/>
    <x v="9"/>
    <s v="TMPV.NS"/>
    <n v="312.40848551170382"/>
    <n v="318.3591233309744"/>
    <n v="310.42493957194699"/>
    <n v="316.57394409179688"/>
    <n v="7953108"/>
    <n v="-0.63"/>
    <n v="1.79"/>
    <x v="6"/>
    <s v="Q1-2026"/>
  </r>
  <r>
    <d v="2026-03-17T00:00:00"/>
    <x v="10"/>
    <s v="SUNPHARMA.NS"/>
    <n v="1789.410208154105"/>
    <n v="1801.378840220352"/>
    <n v="1776.444190082339"/>
    <n v="1789.70947265625"/>
    <n v="1979497"/>
    <n v="-0.72"/>
    <n v="11.67"/>
    <x v="6"/>
    <s v="Q1-2026"/>
  </r>
  <r>
    <d v="2026-03-17T00:00:00"/>
    <x v="11"/>
    <s v="ASIANPAINT.NS"/>
    <n v="2198.624813304225"/>
    <n v="2242.048124075623"/>
    <n v="2198.129113962179"/>
    <n v="2218.948486328125"/>
    <n v="875461"/>
    <n v="-0.02"/>
    <n v="23.1"/>
    <x v="6"/>
    <s v="Q1-2026"/>
  </r>
  <r>
    <d v="2026-03-17T00:00:00"/>
    <x v="12"/>
    <s v="HINDUNILVR.NS"/>
    <n v="2150.9218373390991"/>
    <n v="2162.8010077496442"/>
    <n v="2123.8966763186422"/>
    <n v="2136.46875"/>
    <n v="1705956"/>
    <n v="-1.26"/>
    <n v="26.33"/>
    <x v="6"/>
    <s v="Q1-2026"/>
  </r>
  <r>
    <d v="2026-03-17T00:00:00"/>
    <x v="13"/>
    <s v="LT.NS"/>
    <n v="3444.357759455057"/>
    <n v="3515.66131284228"/>
    <n v="3416.62859980447"/>
    <n v="3508.531005859375"/>
    <n v="5003418"/>
    <n v="-0.81"/>
    <n v="7.13"/>
    <x v="6"/>
    <s v="Q1-2026"/>
  </r>
  <r>
    <d v="2026-03-17T00:00:00"/>
    <x v="14"/>
    <s v="AXISBANK.NS"/>
    <n v="1218.760013352945"/>
    <n v="1231.3504009913361"/>
    <n v="1209.0675372579849"/>
    <n v="1227.153564453125"/>
    <n v="5707317"/>
    <n v="-0.8"/>
    <n v="4.2"/>
    <x v="6"/>
    <s v="Q1-2026"/>
  </r>
  <r>
    <d v="2026-03-18T00:00:00"/>
    <x v="0"/>
    <s v="RELIANCE.NS"/>
    <n v="1390.769647373806"/>
    <n v="1406.397464500815"/>
    <n v="1390.769647373806"/>
    <n v="1401.619506835938"/>
    <n v="9559327"/>
    <n v="0"/>
    <n v="4.78"/>
    <x v="6"/>
    <s v="Q1-2026"/>
  </r>
  <r>
    <d v="2026-03-18T00:00:00"/>
    <x v="1"/>
    <s v="TCS.NS"/>
    <n v="2364.7938043016079"/>
    <n v="2436.3262679516879"/>
    <n v="2364.7938043016079"/>
    <n v="2395.01611328125"/>
    <n v="3082388"/>
    <n v="0"/>
    <n v="41.31"/>
    <x v="6"/>
    <s v="Q1-2026"/>
  </r>
  <r>
    <d v="2026-03-18T00:00:00"/>
    <x v="2"/>
    <s v="INFY.NS"/>
    <n v="1211.7778669014499"/>
    <n v="1263.4595555454221"/>
    <n v="1208.7435520363661"/>
    <n v="1240.261474609375"/>
    <n v="12365381"/>
    <n v="-0.25"/>
    <n v="23.2"/>
    <x v="6"/>
    <s v="Q1-2026"/>
  </r>
  <r>
    <d v="2026-03-18T00:00:00"/>
    <x v="3"/>
    <s v="HDFCBANK.NS"/>
    <n v="831.59581809204258"/>
    <n v="833.02223806291181"/>
    <n v="818.06953568949086"/>
    <n v="829.333251953125"/>
    <n v="23507063"/>
    <n v="-1.63"/>
    <n v="3.69"/>
    <x v="6"/>
    <s v="Q1-2026"/>
  </r>
  <r>
    <d v="2026-03-18T00:00:00"/>
    <x v="4"/>
    <s v="ICICIBANK.NS"/>
    <n v="1275.249023996146"/>
    <n v="1286.256203648049"/>
    <n v="1260.176144605226"/>
    <n v="1278.521484375"/>
    <n v="12961135"/>
    <n v="-1.18"/>
    <n v="7.73"/>
    <x v="6"/>
    <s v="Q1-2026"/>
  </r>
  <r>
    <d v="2026-03-18T00:00:00"/>
    <x v="5"/>
    <s v="WIPRO.NS"/>
    <n v="190.8206791535338"/>
    <n v="195.7642200642471"/>
    <n v="190.5141820309079"/>
    <n v="192.10600280761719"/>
    <n v="24529164"/>
    <n v="-0.16"/>
    <n v="3.66"/>
    <x v="6"/>
    <s v="Q1-2026"/>
  </r>
  <r>
    <d v="2026-03-18T00:00:00"/>
    <x v="6"/>
    <s v="HCLTECH.NS"/>
    <n v="1288.427400675758"/>
    <n v="1338.8378142082261"/>
    <n v="1288.427400675758"/>
    <n v="1318.246215820312"/>
    <n v="2564106"/>
    <n v="0"/>
    <n v="20.59"/>
    <x v="6"/>
    <s v="Q1-2026"/>
  </r>
  <r>
    <d v="2026-03-18T00:00:00"/>
    <x v="7"/>
    <s v="BAJFINANCE.NS"/>
    <n v="870.74727810733611"/>
    <n v="888.48825657447799"/>
    <n v="852.95667791929316"/>
    <n v="874.72283935546875"/>
    <n v="12375517"/>
    <n v="-2.04"/>
    <n v="13.77"/>
    <x v="6"/>
    <s v="Q1-2026"/>
  </r>
  <r>
    <d v="2026-03-18T00:00:00"/>
    <x v="8"/>
    <s v="MARUTI.NS"/>
    <n v="12969.744674710681"/>
    <n v="13044.98899496091"/>
    <n v="12885.58984285187"/>
    <n v="12918.26171875"/>
    <n v="458827"/>
    <n v="-0.65"/>
    <n v="126.73"/>
    <x v="6"/>
    <s v="Q1-2026"/>
  </r>
  <r>
    <d v="2026-03-18T00:00:00"/>
    <x v="9"/>
    <s v="TMPV.NS"/>
    <n v="318.35912888595192"/>
    <n v="327.48345247464539"/>
    <n v="317.26817254674802"/>
    <n v="322.07827758789063"/>
    <n v="7533727"/>
    <n v="-0.34"/>
    <n v="5.41"/>
    <x v="6"/>
    <s v="Q1-2026"/>
  </r>
  <r>
    <d v="2026-03-18T00:00:00"/>
    <x v="10"/>
    <s v="SUNPHARMA.NS"/>
    <n v="1794.895860542458"/>
    <n v="1800.281769410607"/>
    <n v="1768.564845215792"/>
    <n v="1773.651611328125"/>
    <n v="2436459"/>
    <n v="-1.47"/>
    <n v="26.63"/>
    <x v="6"/>
    <s v="Q1-2026"/>
  </r>
  <r>
    <d v="2026-03-18T00:00:00"/>
    <x v="11"/>
    <s v="ASIANPAINT.NS"/>
    <n v="2215.8750606338972"/>
    <n v="2250.871236838399"/>
    <n v="2209.4309698707029"/>
    <n v="2242.642822265625"/>
    <n v="844912"/>
    <n v="-0.28999999999999998"/>
    <n v="8.23"/>
    <x v="6"/>
    <s v="Q1-2026"/>
  </r>
  <r>
    <d v="2026-03-18T00:00:00"/>
    <x v="12"/>
    <s v="HINDUNILVR.NS"/>
    <n v="2143.2002132585981"/>
    <n v="2153.099521402979"/>
    <n v="2108.2556071724648"/>
    <n v="2113.79931640625"/>
    <n v="2441148"/>
    <n v="-1.63"/>
    <n v="39.299999999999997"/>
    <x v="6"/>
    <s v="Q1-2026"/>
  </r>
  <r>
    <d v="2026-03-18T00:00:00"/>
    <x v="13"/>
    <s v="LT.NS"/>
    <n v="3534.4775913559911"/>
    <n v="3603.6024746450248"/>
    <n v="3520.6130112834262"/>
    <n v="3573.001220703125"/>
    <n v="4190485"/>
    <n v="-0.39"/>
    <n v="30.6"/>
    <x v="6"/>
    <s v="Q1-2026"/>
  </r>
  <r>
    <d v="2026-03-18T00:00:00"/>
    <x v="14"/>
    <s v="AXISBANK.NS"/>
    <n v="1227.0537204854679"/>
    <n v="1259.029061735904"/>
    <n v="1223.2565999214801"/>
    <n v="1252.234252929688"/>
    <n v="6018952"/>
    <n v="-0.31"/>
    <n v="6.79"/>
    <x v="6"/>
    <s v="Q1-2026"/>
  </r>
  <r>
    <d v="2026-03-19T00:00:00"/>
    <x v="0"/>
    <s v="RELIANCE.NS"/>
    <n v="1381.6119817895919"/>
    <n v="1409.1844489610969"/>
    <n v="1369.766725079176"/>
    <n v="1378.4267578125"/>
    <n v="16498373"/>
    <n v="-0.86"/>
    <n v="30.76"/>
    <x v="6"/>
    <s v="Q1-2026"/>
  </r>
  <r>
    <d v="2026-03-19T00:00:00"/>
    <x v="1"/>
    <s v="TCS.NS"/>
    <n v="2371.662415276156"/>
    <n v="2378.531110727929"/>
    <n v="2306.1153879098861"/>
    <n v="2311.806640625"/>
    <n v="2757060"/>
    <n v="-2.76"/>
    <n v="66.72"/>
    <x v="6"/>
    <s v="Q1-2026"/>
  </r>
  <r>
    <d v="2026-03-19T00:00:00"/>
    <x v="2"/>
    <s v="INFY.NS"/>
    <n v="1217.8465293278809"/>
    <n v="1228.4178221249231"/>
    <n v="1189.3629208552391"/>
    <n v="1194.942260742188"/>
    <n v="9156461"/>
    <n v="-2.34"/>
    <n v="33.479999999999997"/>
    <x v="6"/>
    <s v="Q1-2026"/>
  </r>
  <r>
    <d v="2026-03-19T00:00:00"/>
    <x v="3"/>
    <s v="HDFCBANK.NS"/>
    <n v="757.47182476686089"/>
    <n v="802.37910696630456"/>
    <n v="757.47182476686089"/>
    <n v="785.2130126953125"/>
    <n v="171637393"/>
    <n v="0"/>
    <n v="17.170000000000002"/>
    <x v="6"/>
    <s v="Q1-2026"/>
  </r>
  <r>
    <d v="2026-03-19T00:00:00"/>
    <x v="4"/>
    <s v="ICICIBANK.NS"/>
    <n v="1257.0027465645269"/>
    <n v="1275.1498056385731"/>
    <n v="1233.3025281122909"/>
    <n v="1239.649047851562"/>
    <n v="14422899"/>
    <n v="-1.89"/>
    <n v="35.5"/>
    <x v="6"/>
    <s v="Q1-2026"/>
  </r>
  <r>
    <d v="2026-03-19T00:00:00"/>
    <x v="5"/>
    <s v="WIPRO.NS"/>
    <n v="189.8121969255088"/>
    <n v="190.61304815752561"/>
    <n v="185.560748627745"/>
    <n v="186.28251647949219"/>
    <n v="13685195"/>
    <n v="-2.2400000000000002"/>
    <n v="4.33"/>
    <x v="6"/>
    <s v="Q1-2026"/>
  </r>
  <r>
    <d v="2026-03-19T00:00:00"/>
    <x v="6"/>
    <s v="HCLTECH.NS"/>
    <n v="1302.8998258213489"/>
    <n v="1315.332375426053"/>
    <n v="1271.623943120358"/>
    <n v="1274.1494140625"/>
    <n v="1663249"/>
    <n v="-2.4"/>
    <n v="41.18"/>
    <x v="6"/>
    <s v="Q1-2026"/>
  </r>
  <r>
    <d v="2026-03-19T00:00:00"/>
    <x v="7"/>
    <s v="BAJFINANCE.NS"/>
    <n v="862.89559120550359"/>
    <n v="864.5852168883157"/>
    <n v="821.64914277019864"/>
    <n v="827.11553955078125"/>
    <n v="11585591"/>
    <n v="-4.78"/>
    <n v="37.47"/>
    <x v="6"/>
    <s v="Q1-2026"/>
  </r>
  <r>
    <d v="2026-03-19T00:00:00"/>
    <x v="8"/>
    <s v="MARUTI.NS"/>
    <n v="12641.045184637671"/>
    <n v="12710.34916043064"/>
    <n v="12380.66024701551"/>
    <n v="12473.7255859375"/>
    <n v="569346"/>
    <n v="-2.06"/>
    <n v="236.62"/>
    <x v="6"/>
    <s v="Q1-2026"/>
  </r>
  <r>
    <d v="2026-03-19T00:00:00"/>
    <x v="9"/>
    <s v="TMPV.NS"/>
    <n v="315.38380814003392"/>
    <n v="316.32600457913151"/>
    <n v="304.97019183352342"/>
    <n v="306.75537109375"/>
    <n v="10146164"/>
    <n v="-3.3"/>
    <n v="9.57"/>
    <x v="6"/>
    <s v="Q1-2026"/>
  </r>
  <r>
    <d v="2026-03-19T00:00:00"/>
    <x v="10"/>
    <s v="SUNPHARMA.NS"/>
    <n v="1755.8981006464251"/>
    <n v="1779.336672282433"/>
    <n v="1733.35720078502"/>
    <n v="1739.840209960938"/>
    <n v="2301164"/>
    <n v="-1.28"/>
    <n v="39.5"/>
    <x v="6"/>
    <s v="Q1-2026"/>
  </r>
  <r>
    <d v="2026-03-19T00:00:00"/>
    <x v="11"/>
    <s v="ASIANPAINT.NS"/>
    <n v="2200.9050648123002"/>
    <n v="2219.7416396913241"/>
    <n v="2161.8440537215479"/>
    <n v="2167.197509765625"/>
    <n v="889334"/>
    <n v="-1.77"/>
    <n v="52.54"/>
    <x v="6"/>
    <s v="Q1-2026"/>
  </r>
  <r>
    <d v="2026-03-19T00:00:00"/>
    <x v="12"/>
    <s v="HINDUNILVR.NS"/>
    <n v="2090.7340994504279"/>
    <n v="2112.116703958658"/>
    <n v="2049.2560906465828"/>
    <n v="2056.383544921875"/>
    <n v="2098905"/>
    <n v="-1.98"/>
    <n v="55.73"/>
    <x v="6"/>
    <s v="Q1-2026"/>
  </r>
  <r>
    <d v="2026-03-19T00:00:00"/>
    <x v="13"/>
    <s v="LT.NS"/>
    <n v="3492.5866784623031"/>
    <n v="3494.171298598927"/>
    <n v="3388.8994751953978"/>
    <n v="3401.278564453125"/>
    <n v="4898518"/>
    <n v="-2.97"/>
    <n v="92.89"/>
    <x v="6"/>
    <s v="Q1-2026"/>
  </r>
  <r>
    <d v="2026-03-19T00:00:00"/>
    <x v="14"/>
    <s v="AXISBANK.NS"/>
    <n v="1220.0590351044691"/>
    <n v="1240.543236758557"/>
    <n v="1201.07367747385"/>
    <n v="1206.06982421875"/>
    <n v="8264698"/>
    <n v="-1.56"/>
    <n v="34.47"/>
    <x v="6"/>
    <s v="Q1-2026"/>
  </r>
  <r>
    <d v="2026-03-20T00:00:00"/>
    <x v="0"/>
    <s v="RELIANCE.NS"/>
    <n v="1391.5659566755689"/>
    <n v="1423.4186824363831"/>
    <n v="1389.674676781819"/>
    <n v="1407.890502929688"/>
    <n v="22994918"/>
    <n v="-0.14000000000000001"/>
    <n v="15.53"/>
    <x v="6"/>
    <s v="Q1-2026"/>
  </r>
  <r>
    <d v="2026-03-20T00:00:00"/>
    <x v="1"/>
    <s v="TCS.NS"/>
    <n v="2341.244002337442"/>
    <n v="2362.6351312433571"/>
    <n v="2319.8528734315291"/>
    <n v="2345.7578125"/>
    <n v="4206320"/>
    <n v="-0.91"/>
    <n v="16.88"/>
    <x v="6"/>
    <s v="Q1-2026"/>
  </r>
  <r>
    <d v="2026-03-20T00:00:00"/>
    <x v="2"/>
    <s v="INFY.NS"/>
    <n v="1215.6930991638781"/>
    <n v="1238.010218343388"/>
    <n v="1203.164169188587"/>
    <n v="1229.298706054688"/>
    <n v="27299975"/>
    <n v="-1.03"/>
    <n v="8.7100000000000009"/>
    <x v="6"/>
    <s v="Q1-2026"/>
  </r>
  <r>
    <d v="2026-03-20T00:00:00"/>
    <x v="3"/>
    <s v="HDFCBANK.NS"/>
    <n v="772.22778903366134"/>
    <n v="780.8354236248008"/>
    <n v="765.53843930268022"/>
    <n v="767.7518310546875"/>
    <n v="103129469"/>
    <n v="-0.87"/>
    <n v="13.08"/>
    <x v="6"/>
    <s v="Q1-2026"/>
  </r>
  <r>
    <d v="2026-03-20T00:00:00"/>
    <x v="4"/>
    <s v="ICICIBANK.NS"/>
    <n v="1247.879722517707"/>
    <n v="1263.3492813446201"/>
    <n v="1231.3192629188679"/>
    <n v="1234.988403320312"/>
    <n v="16421006"/>
    <n v="-1.33"/>
    <n v="28.36"/>
    <x v="6"/>
    <s v="Q1-2026"/>
  </r>
  <r>
    <d v="2026-03-20T00:00:00"/>
    <x v="5"/>
    <s v="WIPRO.NS"/>
    <n v="189.03111858510189"/>
    <n v="190.12858526393211"/>
    <n v="186.28251106271449"/>
    <n v="188.744384765625"/>
    <n v="24395304"/>
    <n v="-1.45"/>
    <n v="1.38"/>
    <x v="6"/>
    <s v="Q1-2026"/>
  </r>
  <r>
    <d v="2026-03-20T00:00:00"/>
    <x v="6"/>
    <s v="HCLTECH.NS"/>
    <n v="1296.5864057201211"/>
    <n v="1313.6812357960659"/>
    <n v="1290.7586146555909"/>
    <n v="1295.420776367188"/>
    <n v="5050431"/>
    <n v="-0.45"/>
    <n v="18.260000000000002"/>
    <x v="6"/>
    <s v="Q1-2026"/>
  </r>
  <r>
    <d v="2026-03-20T00:00:00"/>
    <x v="7"/>
    <s v="BAJFINANCE.NS"/>
    <n v="831.58803561704133"/>
    <n v="836.80595975149106"/>
    <n v="814.24463755199156"/>
    <n v="825.4755859375"/>
    <n v="14881843"/>
    <n v="-2.09"/>
    <n v="11.33"/>
    <x v="6"/>
    <s v="Q1-2026"/>
  </r>
  <r>
    <d v="2026-03-20T00:00:00"/>
    <x v="8"/>
    <s v="MARUTI.NS"/>
    <n v="12479.66628198841"/>
    <n v="12629.16486259771"/>
    <n v="12431.153497552281"/>
    <n v="12475.7060546875"/>
    <n v="725481"/>
    <n v="-0.39"/>
    <n v="153.46"/>
    <x v="6"/>
    <s v="Q1-2026"/>
  </r>
  <r>
    <d v="2026-03-20T00:00:00"/>
    <x v="9"/>
    <s v="TMPV.NS"/>
    <n v="308.44139736110878"/>
    <n v="314.29285190083118"/>
    <n v="308.24303065813137"/>
    <n v="311.51589965820313"/>
    <n v="13905760"/>
    <n v="-0.06"/>
    <n v="2.78"/>
    <x v="6"/>
    <s v="Q1-2026"/>
  </r>
  <r>
    <d v="2026-03-20T00:00:00"/>
    <x v="10"/>
    <s v="SUNPHARMA.NS"/>
    <n v="1750.5122189773599"/>
    <n v="1776.6438063436231"/>
    <n v="1749.714383194033"/>
    <n v="1772.454711914062"/>
    <n v="3591446"/>
    <n v="-0.05"/>
    <n v="4.1900000000000004"/>
    <x v="6"/>
    <s v="Q1-2026"/>
  </r>
  <r>
    <d v="2026-03-20T00:00:00"/>
    <x v="11"/>
    <s v="ASIANPAINT.NS"/>
    <n v="2191.883035494523"/>
    <n v="2205.366153071308"/>
    <n v="2166.2059089506888"/>
    <n v="2176.516357421875"/>
    <n v="875920"/>
    <n v="-1.17"/>
    <n v="28.85"/>
    <x v="6"/>
    <s v="Q1-2026"/>
  </r>
  <r>
    <d v="2026-03-20T00:00:00"/>
    <x v="12"/>
    <s v="HINDUNILVR.NS"/>
    <n v="2078.5578289353589"/>
    <n v="2078.656918696704"/>
    <n v="2048.166999131025"/>
    <n v="2061.72900390625"/>
    <n v="2429744"/>
    <n v="-1.46"/>
    <n v="16.93"/>
    <x v="6"/>
    <s v="Q1-2026"/>
  </r>
  <r>
    <d v="2026-03-20T00:00:00"/>
    <x v="13"/>
    <s v="LT.NS"/>
    <n v="3441.3867859706002"/>
    <n v="3489.9128154706168"/>
    <n v="3377.0155223481279"/>
    <n v="3401.57568359375"/>
    <n v="4743217"/>
    <n v="-1.87"/>
    <n v="88.34"/>
    <x v="6"/>
    <s v="Q1-2026"/>
  </r>
  <r>
    <d v="2026-03-20T00:00:00"/>
    <x v="14"/>
    <s v="AXISBANK.NS"/>
    <n v="1207.668619393366"/>
    <n v="1230.850814485364"/>
    <n v="1198.7754534047699"/>
    <n v="1202.972290039062"/>
    <n v="7518686"/>
    <n v="-0.74"/>
    <n v="27.88"/>
    <x v="6"/>
    <s v="Q1-2026"/>
  </r>
  <r>
    <d v="2026-03-23T00:00:00"/>
    <x v="0"/>
    <s v="RELIANCE.NS"/>
    <n v="1393.5567722314411"/>
    <n v="1409.0849519631761"/>
    <n v="1384.598192981382"/>
    <n v="1401.320922851562"/>
    <n v="18979554"/>
    <n v="-0.64"/>
    <n v="7.76"/>
    <x v="6"/>
    <s v="Q1-2026"/>
  </r>
  <r>
    <d v="2026-03-23T00:00:00"/>
    <x v="1"/>
    <s v="TCS.NS"/>
    <n v="2320.6378037995519"/>
    <n v="2361.6537756859011"/>
    <n v="2303.9566863938048"/>
    <n v="2339.085205078125"/>
    <n v="3860515"/>
    <n v="-0.72"/>
    <n v="22.57"/>
    <x v="6"/>
    <s v="Q1-2026"/>
  </r>
  <r>
    <d v="2026-03-23T00:00:00"/>
    <x v="2"/>
    <s v="INFY.NS"/>
    <n v="1211.9735596886819"/>
    <n v="1234.388537237181"/>
    <n v="1201.4023868626341"/>
    <n v="1230.1796875"/>
    <n v="12420293"/>
    <n v="-0.87"/>
    <n v="4.21"/>
    <x v="6"/>
    <s v="Q1-2026"/>
  </r>
  <r>
    <d v="2026-03-23T00:00:00"/>
    <x v="3"/>
    <s v="HDFCBANK.NS"/>
    <n v="750.73334477377762"/>
    <n v="756.1930326018271"/>
    <n v="728.99288237267217"/>
    <n v="732.04248046875"/>
    <n v="72341738"/>
    <n v="-2.9"/>
    <n v="24.15"/>
    <x v="6"/>
    <s v="Q1-2026"/>
  </r>
  <r>
    <d v="2026-03-23T00:00:00"/>
    <x v="4"/>
    <s v="ICICIBANK.NS"/>
    <n v="1216.345569527803"/>
    <n v="1224.576229742949"/>
    <n v="1207.916629737512"/>
    <n v="1212.478149414062"/>
    <n v="17049534"/>
    <n v="-0.69"/>
    <n v="12.1"/>
    <x v="6"/>
    <s v="Q1-2026"/>
  </r>
  <r>
    <d v="2026-03-23T00:00:00"/>
    <x v="5"/>
    <s v="WIPRO.NS"/>
    <n v="187.27122739211961"/>
    <n v="188.4675558887426"/>
    <n v="184.88843696343741"/>
    <n v="185.4223327636719"/>
    <n v="12014988"/>
    <n v="-1.27"/>
    <n v="3.05"/>
    <x v="6"/>
    <s v="Q1-2026"/>
  </r>
  <r>
    <d v="2026-03-23T00:00:00"/>
    <x v="6"/>
    <s v="HCLTECH.NS"/>
    <n v="1277.0633953429881"/>
    <n v="1325.822535675198"/>
    <n v="1272.401114823816"/>
    <n v="1319.606201171875"/>
    <n v="5166409"/>
    <n v="-0.37"/>
    <n v="6.22"/>
    <x v="6"/>
    <s v="Q1-2026"/>
  </r>
  <r>
    <d v="2026-03-23T00:00:00"/>
    <x v="7"/>
    <s v="BAJFINANCE.NS"/>
    <n v="813.10165069426546"/>
    <n v="813.79738605428133"/>
    <n v="783.08621140623643"/>
    <n v="807.63525390625"/>
    <n v="15835828"/>
    <n v="-3.69"/>
    <n v="6.16"/>
    <x v="6"/>
    <s v="Q1-2026"/>
  </r>
  <r>
    <d v="2026-03-23T00:00:00"/>
    <x v="8"/>
    <s v="MARUTI.NS"/>
    <n v="12376.700643400951"/>
    <n v="12376.700643400951"/>
    <n v="12155.91796653683"/>
    <n v="12232.15234375"/>
    <n v="517985"/>
    <n v="-1.78"/>
    <n v="144.55000000000001"/>
    <x v="6"/>
    <s v="Q1-2026"/>
  </r>
  <r>
    <d v="2026-03-23T00:00:00"/>
    <x v="9"/>
    <s v="TMPV.NS"/>
    <n v="308.49094869672979"/>
    <n v="308.49094869672979"/>
    <n v="301.00307540206222"/>
    <n v="302.73867797851563"/>
    <n v="10816349"/>
    <n v="-2.4300000000000002"/>
    <n v="5.75"/>
    <x v="6"/>
    <s v="Q1-2026"/>
  </r>
  <r>
    <d v="2026-03-23T00:00:00"/>
    <x v="10"/>
    <s v="SUNPHARMA.NS"/>
    <n v="1770.160743823709"/>
    <n v="1770.3601723257359"/>
    <n v="1736.5487621491011"/>
    <n v="1753.803588867188"/>
    <n v="2783613"/>
    <n v="-1.9"/>
    <n v="16.559999999999999"/>
    <x v="6"/>
    <s v="Q1-2026"/>
  </r>
  <r>
    <d v="2026-03-23T00:00:00"/>
    <x v="11"/>
    <s v="ASIANPAINT.NS"/>
    <n v="2161.2490060531641"/>
    <n v="2161.2490060531641"/>
    <n v="2096.8080953222211"/>
    <n v="2103.053955078125"/>
    <n v="978398"/>
    <n v="-2.98"/>
    <n v="58.2"/>
    <x v="6"/>
    <s v="Q1-2026"/>
  </r>
  <r>
    <d v="2026-03-23T00:00:00"/>
    <x v="12"/>
    <s v="HINDUNILVR.NS"/>
    <n v="2041.5345315172119"/>
    <n v="2075.8850852106948"/>
    <n v="2012.826535584398"/>
    <n v="2031.5361328125"/>
    <n v="2599535"/>
    <n v="-1.41"/>
    <n v="44.35"/>
    <x v="6"/>
    <s v="Q1-2026"/>
  </r>
  <r>
    <d v="2026-03-23T00:00:00"/>
    <x v="13"/>
    <s v="LT.NS"/>
    <n v="3372.1630410371399"/>
    <n v="3376.9164178857459"/>
    <n v="3256.2947656601809"/>
    <n v="3310.0693359375"/>
    <n v="5645839"/>
    <n v="-3.44"/>
    <n v="66.849999999999994"/>
    <x v="6"/>
    <s v="Q1-2026"/>
  </r>
  <r>
    <d v="2026-03-23T00:00:00"/>
    <x v="14"/>
    <s v="AXISBANK.NS"/>
    <n v="1180.089885818476"/>
    <n v="1184.186701839702"/>
    <n v="1164.102215900529"/>
    <n v="1169.697875976562"/>
    <n v="6697446"/>
    <n v="-1.35"/>
    <n v="14.49"/>
    <x v="6"/>
    <s v="Q1-2026"/>
  </r>
  <r>
    <d v="2026-03-24T00:00:00"/>
    <x v="0"/>
    <s v="RELIANCE.NS"/>
    <n v="1413.464702589589"/>
    <n v="1415.853681318202"/>
    <n v="1400.126349404296"/>
    <n v="1405.302490234375"/>
    <n v="18620893"/>
    <n v="-0.94"/>
    <n v="10.55"/>
    <x v="6"/>
    <s v="Q1-2026"/>
  </r>
  <r>
    <d v="2026-03-24T00:00:00"/>
    <x v="1"/>
    <s v="TCS.NS"/>
    <n v="2359.0045869106289"/>
    <n v="2389.7172776589059"/>
    <n v="2334.4735306828702"/>
    <n v="2353.803955078125"/>
    <n v="3420182"/>
    <n v="-1.04"/>
    <n v="35.909999999999997"/>
    <x v="6"/>
    <s v="Q1-2026"/>
  </r>
  <r>
    <d v="2026-03-24T00:00:00"/>
    <x v="2"/>
    <s v="INFY.NS"/>
    <n v="1242.1213008151201"/>
    <n v="1269.5282325903941"/>
    <n v="1224.5025589595859"/>
    <n v="1251.224365234375"/>
    <n v="13613495"/>
    <n v="-1.42"/>
    <n v="18.3"/>
    <x v="6"/>
    <s v="Q1-2026"/>
  </r>
  <r>
    <d v="2026-03-24T00:00:00"/>
    <x v="3"/>
    <s v="HDFCBANK.NS"/>
    <n v="742.71588642370375"/>
    <n v="760.17708772704248"/>
    <n v="735.53467198060844"/>
    <n v="752.454833984375"/>
    <n v="61269986"/>
    <n v="-0.97"/>
    <n v="7.72"/>
    <x v="6"/>
    <s v="Q1-2026"/>
  </r>
  <r>
    <d v="2026-03-24T00:00:00"/>
    <x v="4"/>
    <s v="ICICIBANK.NS"/>
    <n v="1226.7577689534389"/>
    <n v="1243.4173686829899"/>
    <n v="1213.4697692941299"/>
    <n v="1240.739868164062"/>
    <n v="20617782"/>
    <n v="-1.08"/>
    <n v="2.68"/>
    <x v="6"/>
    <s v="Q1-2026"/>
  </r>
  <r>
    <d v="2026-03-24T00:00:00"/>
    <x v="5"/>
    <s v="WIPRO.NS"/>
    <n v="189.33762442635029"/>
    <n v="189.33762442635029"/>
    <n v="185.67940702392249"/>
    <n v="186.6087951660156"/>
    <n v="11843191"/>
    <n v="-1.93"/>
    <n v="2.73"/>
    <x v="6"/>
    <s v="Q1-2026"/>
  </r>
  <r>
    <d v="2026-03-24T00:00:00"/>
    <x v="6"/>
    <s v="HCLTECH.NS"/>
    <n v="1340.3920525322769"/>
    <n v="1353.990232775358"/>
    <n v="1320.9660807564469"/>
    <n v="1333.884399414062"/>
    <n v="3555664"/>
    <n v="-1.45"/>
    <n v="20.11"/>
    <x v="6"/>
    <s v="Q1-2026"/>
  </r>
  <r>
    <d v="2026-03-24T00:00:00"/>
    <x v="7"/>
    <s v="BAJFINANCE.NS"/>
    <n v="824.92901014635788"/>
    <n v="848.78237911444523"/>
    <n v="812.60474524794427"/>
    <n v="843.81292724609375"/>
    <n v="18828248"/>
    <n v="-1.49"/>
    <n v="4.97"/>
    <x v="6"/>
    <s v="Q1-2026"/>
  </r>
  <r>
    <d v="2026-03-24T00:00:00"/>
    <x v="8"/>
    <s v="MARUTI.NS"/>
    <n v="12474.716088585121"/>
    <n v="12524.218930206491"/>
    <n v="12209.38085749458"/>
    <n v="12340.068359375"/>
    <n v="583568"/>
    <n v="-2.13"/>
    <n v="184.15"/>
    <x v="6"/>
    <s v="Q1-2026"/>
  </r>
  <r>
    <d v="2026-03-24T00:00:00"/>
    <x v="9"/>
    <s v="TMPV.NS"/>
    <n v="310.37534257312763"/>
    <n v="311.61505870376561"/>
    <n v="302.98662232792242"/>
    <n v="308.63973999023438"/>
    <n v="8524890"/>
    <n v="-2.38"/>
    <n v="2.98"/>
    <x v="6"/>
    <s v="Q1-2026"/>
  </r>
  <r>
    <d v="2026-03-24T00:00:00"/>
    <x v="10"/>
    <s v="SUNPHARMA.NS"/>
    <n v="1770.3602699819551"/>
    <n v="1775.247486063419"/>
    <n v="1740.538402210605"/>
    <n v="1748.717041015625"/>
    <n v="2040152"/>
    <n v="-1.68"/>
    <n v="26.53"/>
    <x v="6"/>
    <s v="Q1-2026"/>
  </r>
  <r>
    <d v="2026-03-24T00:00:00"/>
    <x v="11"/>
    <s v="ASIANPAINT.NS"/>
    <n v="2165.2146480848351"/>
    <n v="2205.366293344649"/>
    <n v="2134.778757987383"/>
    <n v="2198.228271484375"/>
    <n v="1561016"/>
    <n v="-1.41"/>
    <n v="7.14"/>
    <x v="6"/>
    <s v="Q1-2026"/>
  </r>
  <r>
    <d v="2026-03-24T00:00:00"/>
    <x v="12"/>
    <s v="HINDUNILVR.NS"/>
    <n v="2049.156896357913"/>
    <n v="2093.7037854091732"/>
    <n v="2045.1971728866911"/>
    <n v="2064.005859375"/>
    <n v="1702418"/>
    <n v="-0.19"/>
    <n v="29.7"/>
    <x v="6"/>
    <s v="Q1-2026"/>
  </r>
  <r>
    <d v="2026-03-24T00:00:00"/>
    <x v="13"/>
    <s v="LT.NS"/>
    <n v="3406.7252993843099"/>
    <n v="3512.7894308529371"/>
    <n v="3357.7041068495651"/>
    <n v="3482.782470703125"/>
    <n v="6037848"/>
    <n v="-1.44"/>
    <n v="30.01"/>
    <x v="6"/>
    <s v="Q1-2026"/>
  </r>
  <r>
    <d v="2026-03-24T00:00:00"/>
    <x v="14"/>
    <s v="AXISBANK.NS"/>
    <n v="1186.0852033826379"/>
    <n v="1201.873075436356"/>
    <n v="1168.698588811437"/>
    <n v="1191.78076171875"/>
    <n v="8274701"/>
    <n v="-1.47"/>
    <n v="10.09"/>
    <x v="6"/>
    <s v="Q1-2026"/>
  </r>
  <r>
    <d v="2026-03-25T00:00:00"/>
    <x v="0"/>
    <s v="RELIANCE.NS"/>
    <n v="1413.4647038319849"/>
    <n v="1423.9163794589119"/>
    <n v="1401.9181150601289"/>
    <n v="1406.596435546875"/>
    <n v="19041331"/>
    <n v="-0.82"/>
    <n v="17.32"/>
    <x v="6"/>
    <s v="Q1-2026"/>
  </r>
  <r>
    <d v="2026-03-25T00:00:00"/>
    <x v="1"/>
    <s v="TCS.NS"/>
    <n v="2355.8643681269782"/>
    <n v="2376.176273884641"/>
    <n v="2325.3478785890729"/>
    <n v="2332.80517578125"/>
    <n v="5843778"/>
    <n v="-1.3"/>
    <n v="43.37"/>
    <x v="6"/>
    <s v="Q1-2026"/>
  </r>
  <r>
    <d v="2026-03-25T00:00:00"/>
    <x v="2"/>
    <s v="INFY.NS"/>
    <n v="1243.1000954631661"/>
    <n v="1263.2637424060149"/>
    <n v="1230.473306817026"/>
    <n v="1252.00732421875"/>
    <n v="10824030"/>
    <n v="-1.02"/>
    <n v="11.26"/>
    <x v="6"/>
    <s v="Q1-2026"/>
  </r>
  <r>
    <d v="2026-03-25T00:00:00"/>
    <x v="3"/>
    <s v="HDFCBANK.NS"/>
    <n v="755.70115184368569"/>
    <n v="781.86833730304943"/>
    <n v="755.70115184368569"/>
    <n v="769.57171630859375"/>
    <n v="59230640"/>
    <n v="0"/>
    <n v="12.3"/>
    <x v="6"/>
    <s v="Q1-2026"/>
  </r>
  <r>
    <d v="2026-03-25T00:00:00"/>
    <x v="4"/>
    <s v="ICICIBANK.NS"/>
    <n v="1248.3755838951449"/>
    <n v="1262.2585434912951"/>
    <n v="1243.913204024954"/>
    <n v="1249.168823242188"/>
    <n v="17290030"/>
    <n v="-0.36"/>
    <n v="13.09"/>
    <x v="6"/>
    <s v="Q1-2026"/>
  </r>
  <r>
    <d v="2026-03-25T00:00:00"/>
    <x v="5"/>
    <s v="WIPRO.NS"/>
    <n v="186.8658447771559"/>
    <n v="188.4675471904263"/>
    <n v="185.7782597517936"/>
    <n v="186.915283203125"/>
    <n v="13862888"/>
    <n v="-0.57999999999999996"/>
    <n v="1.55"/>
    <x v="6"/>
    <s v="Q1-2026"/>
  </r>
  <r>
    <d v="2026-03-25T00:00:00"/>
    <x v="6"/>
    <s v="HCLTECH.NS"/>
    <n v="1309.3104947943591"/>
    <n v="1370.8908489008511"/>
    <n v="1309.3104947943591"/>
    <n v="1341.65478515625"/>
    <n v="4167275"/>
    <n v="0"/>
    <n v="29.24"/>
    <x v="6"/>
    <s v="Q1-2026"/>
  </r>
  <r>
    <d v="2026-03-25T00:00:00"/>
    <x v="7"/>
    <s v="BAJFINANCE.NS"/>
    <n v="856.7831474745351"/>
    <n v="883.36971382159948"/>
    <n v="848.08660708063553"/>
    <n v="877.356689453125"/>
    <n v="15995501"/>
    <n v="-1.02"/>
    <n v="6.01"/>
    <x v="6"/>
    <s v="Q1-2026"/>
  </r>
  <r>
    <d v="2026-03-25T00:00:00"/>
    <x v="8"/>
    <s v="MARUTI.NS"/>
    <n v="12424.22309901058"/>
    <n v="12652.926225623971"/>
    <n v="12381.65065552843"/>
    <n v="12584.6123046875"/>
    <n v="540649"/>
    <n v="-0.34"/>
    <n v="68.31"/>
    <x v="6"/>
    <s v="Q1-2026"/>
  </r>
  <r>
    <d v="2026-03-25T00:00:00"/>
    <x v="9"/>
    <s v="TMPV.NS"/>
    <n v="313.40025911385669"/>
    <n v="319.59884018810232"/>
    <n v="312.01178300652748"/>
    <n v="315.334228515625"/>
    <n v="7857557"/>
    <n v="-0.44"/>
    <n v="4.26"/>
    <x v="6"/>
    <s v="Q1-2026"/>
  </r>
  <r>
    <d v="2026-03-25T00:00:00"/>
    <x v="10"/>
    <s v="SUNPHARMA.NS"/>
    <n v="1762.0818569629701"/>
    <n v="1804.7700279040189"/>
    <n v="1750.911182086491"/>
    <n v="1790.706909179688"/>
    <n v="1900794"/>
    <n v="-0.63"/>
    <n v="14.06"/>
    <x v="6"/>
    <s v="Q1-2026"/>
  </r>
  <r>
    <d v="2026-03-25T00:00:00"/>
    <x v="11"/>
    <s v="ASIANPAINT.NS"/>
    <n v="2205.9611632253841"/>
    <n v="2270.0053687672471"/>
    <n v="2202.8877306912259"/>
    <n v="2250.673095703125"/>
    <n v="1270855"/>
    <n v="-0.14000000000000001"/>
    <n v="19.329999999999998"/>
    <x v="6"/>
    <s v="Q1-2026"/>
  </r>
  <r>
    <d v="2026-03-25T00:00:00"/>
    <x v="12"/>
    <s v="HINDUNILVR.NS"/>
    <n v="2076.874939459462"/>
    <n v="2133.0039707547162"/>
    <n v="2064.9957691670338"/>
    <n v="2113.304443359375"/>
    <n v="2069217"/>
    <n v="-0.56999999999999995"/>
    <n v="19.7"/>
    <x v="6"/>
    <s v="Q1-2026"/>
  </r>
  <r>
    <d v="2026-03-25T00:00:00"/>
    <x v="13"/>
    <s v="LT.NS"/>
    <n v="3535.3686156571589"/>
    <n v="3624.5971840303009"/>
    <n v="3511.6998946916519"/>
    <n v="3614.000732421875"/>
    <n v="5090205"/>
    <n v="-0.67"/>
    <n v="10.6"/>
    <x v="6"/>
    <s v="Q1-2026"/>
  </r>
  <r>
    <d v="2026-03-25T00:00:00"/>
    <x v="14"/>
    <s v="AXISBANK.NS"/>
    <n v="1199.075258182062"/>
    <n v="1238.045204072979"/>
    <n v="1197.076799418425"/>
    <n v="1221.158203125"/>
    <n v="9645791"/>
    <n v="-0.17"/>
    <n v="16.89"/>
    <x v="6"/>
    <s v="Q1-2026"/>
  </r>
  <r>
    <d v="2026-03-27T00:00:00"/>
    <x v="0"/>
    <s v="RELIANCE.NS"/>
    <n v="1394.5521930958421"/>
    <n v="1398.235116023098"/>
    <n v="1338.809921280448"/>
    <n v="1341.895629882812"/>
    <n v="23266517"/>
    <n v="-4"/>
    <n v="56.34"/>
    <x v="6"/>
    <s v="Q1-2026"/>
  </r>
  <r>
    <d v="2026-03-27T00:00:00"/>
    <x v="1"/>
    <s v="TCS.NS"/>
    <n v="2358.8080275261391"/>
    <n v="2376.6668272056968"/>
    <n v="2340.262645780238"/>
    <n v="2344.97265625"/>
    <n v="4979411"/>
    <n v="-0.79"/>
    <n v="31.69"/>
    <x v="6"/>
    <s v="Q1-2026"/>
  </r>
  <r>
    <d v="2026-03-27T00:00:00"/>
    <x v="2"/>
    <s v="INFY.NS"/>
    <n v="1257.978090495805"/>
    <n v="1267.3748481809971"/>
    <n v="1236.4440731892589"/>
    <n v="1242.806396484375"/>
    <n v="13092541"/>
    <n v="-1.71"/>
    <n v="24.57"/>
    <x v="6"/>
    <s v="Q1-2026"/>
  </r>
  <r>
    <d v="2026-03-27T00:00:00"/>
    <x v="3"/>
    <s v="HDFCBANK.NS"/>
    <n v="760.6197661066401"/>
    <n v="762.29211849525382"/>
    <n v="742.27318438942586"/>
    <n v="743.8963623046875"/>
    <n v="65485199"/>
    <n v="-2.41"/>
    <n v="18.399999999999999"/>
    <x v="6"/>
    <s v="Q1-2026"/>
  </r>
  <r>
    <d v="2026-03-27T00:00:00"/>
    <x v="4"/>
    <s v="ICICIBANK.NS"/>
    <n v="1245.499833090769"/>
    <n v="1250.358893273775"/>
    <n v="1219.816333023284"/>
    <n v="1223.485473632812"/>
    <n v="23630905"/>
    <n v="-2.06"/>
    <n v="26.87"/>
    <x v="6"/>
    <s v="Q1-2026"/>
  </r>
  <r>
    <d v="2026-03-27T00:00:00"/>
    <x v="5"/>
    <s v="WIPRO.NS"/>
    <n v="186.91528404898321"/>
    <n v="190.11868889002051"/>
    <n v="185.77826059250631"/>
    <n v="189.4364929199219"/>
    <n v="26269256"/>
    <n v="-0.61"/>
    <n v="0.68"/>
    <x v="6"/>
    <s v="Q1-2026"/>
  </r>
  <r>
    <d v="2026-03-27T00:00:00"/>
    <x v="6"/>
    <s v="HCLTECH.NS"/>
    <n v="1337.478083932732"/>
    <n v="1367.0055831374009"/>
    <n v="1320.7717965419581"/>
    <n v="1325.23974609375"/>
    <n v="8956139"/>
    <n v="-1.25"/>
    <n v="41.77"/>
    <x v="6"/>
    <s v="Q1-2026"/>
  </r>
  <r>
    <d v="2026-03-27T00:00:00"/>
    <x v="7"/>
    <s v="BAJFINANCE.NS"/>
    <n v="869.65404393359506"/>
    <n v="869.80315174888449"/>
    <n v="836.1102450961564"/>
    <n v="838.6446533203125"/>
    <n v="11282824"/>
    <n v="-3.86"/>
    <n v="31.16"/>
    <x v="6"/>
    <s v="Q1-2026"/>
  </r>
  <r>
    <d v="2026-03-27T00:00:00"/>
    <x v="8"/>
    <s v="MARUTI.NS"/>
    <n v="12500.456933979989"/>
    <n v="12520.25806962704"/>
    <n v="12219.28080779194"/>
    <n v="12265.8134765625"/>
    <n v="775339"/>
    <n v="-2.25"/>
    <n v="254.44"/>
    <x v="6"/>
    <s v="Q1-2026"/>
  </r>
  <r>
    <d v="2026-03-27T00:00:00"/>
    <x v="9"/>
    <s v="TMPV.NS"/>
    <n v="309.92904260765039"/>
    <n v="310.27616918867272"/>
    <n v="298.57323037990301"/>
    <n v="300.70556640625"/>
    <n v="19009638"/>
    <n v="-3.66"/>
    <n v="9.57"/>
    <x v="6"/>
    <s v="Q1-2026"/>
  </r>
  <r>
    <d v="2026-03-27T00:00:00"/>
    <x v="10"/>
    <s v="SUNPHARMA.NS"/>
    <n v="1780.3341252885441"/>
    <n v="1814.2452514845161"/>
    <n v="1780.3341252885441"/>
    <n v="1788.91162109375"/>
    <n v="2975423"/>
    <n v="0"/>
    <n v="25.33"/>
    <x v="6"/>
    <s v="Q1-2026"/>
  </r>
  <r>
    <d v="2026-03-27T00:00:00"/>
    <x v="11"/>
    <s v="ASIANPAINT.NS"/>
    <n v="2226.9788836137618"/>
    <n v="2249.4835850427639"/>
    <n v="2182.1677120818681"/>
    <n v="2188.413330078125"/>
    <n v="1089010"/>
    <n v="-2.0099999999999998"/>
    <n v="61.07"/>
    <x v="6"/>
    <s v="Q1-2026"/>
  </r>
  <r>
    <d v="2026-03-27T00:00:00"/>
    <x v="12"/>
    <s v="HINDUNILVR.NS"/>
    <n v="2101.9202145719491"/>
    <n v="2105.5829103672909"/>
    <n v="2048.6618866972781"/>
    <n v="2053.512451171875"/>
    <n v="2789151"/>
    <n v="-2.5299999999999998"/>
    <n v="52.07"/>
    <x v="6"/>
    <s v="Q1-2026"/>
  </r>
  <r>
    <d v="2026-03-27T00:00:00"/>
    <x v="13"/>
    <s v="LT.NS"/>
    <n v="3604.790732013596"/>
    <n v="3604.790732013596"/>
    <n v="3512.690309464896"/>
    <n v="3529.625"/>
    <n v="3991388"/>
    <n v="-2.5499999999999998"/>
    <n v="75.17"/>
    <x v="6"/>
    <s v="Q1-2026"/>
  </r>
  <r>
    <d v="2026-03-27T00:00:00"/>
    <x v="14"/>
    <s v="AXISBANK.NS"/>
    <n v="1208.567975502476"/>
    <n v="1212.5648931560611"/>
    <n v="1201.0737549020059"/>
    <n v="1204.271240234375"/>
    <n v="9479301"/>
    <n v="-0.62"/>
    <n v="8.2899999999999991"/>
    <x v="6"/>
    <s v="Q1-2026"/>
  </r>
  <r>
    <d v="2026-03-30T00:00:00"/>
    <x v="0"/>
    <s v="RELIANCE.NS"/>
    <n v="1328.8559021708061"/>
    <n v="1358.717832556667"/>
    <n v="1327.9600199575291"/>
    <n v="1337.714965820312"/>
    <n v="24393861"/>
    <n v="-7.0000000000000007E-2"/>
    <n v="21"/>
    <x v="6"/>
    <s v="Q1-2026"/>
  </r>
  <r>
    <d v="2026-03-30T00:00:00"/>
    <x v="1"/>
    <s v="TCS.NS"/>
    <n v="2330.5484146912081"/>
    <n v="2353.018764954119"/>
    <n v="2302.190371743895"/>
    <n v="2314.652099609375"/>
    <n v="6804756"/>
    <n v="-1.22"/>
    <n v="38.369999999999997"/>
    <x v="6"/>
    <s v="Q1-2026"/>
  </r>
  <r>
    <d v="2026-03-30T00:00:00"/>
    <x v="2"/>
    <s v="INFY.NS"/>
    <n v="1223.52369443768"/>
    <n v="1238.6953882487071"/>
    <n v="1216.6719617488291"/>
    <n v="1224.110961914062"/>
    <n v="14108486"/>
    <n v="-0.56000000000000005"/>
    <n v="14.58"/>
    <x v="6"/>
    <s v="Q1-2026"/>
  </r>
  <r>
    <d v="2026-03-30T00:00:00"/>
    <x v="3"/>
    <s v="HDFCBANK.NS"/>
    <n v="733.07533338891176"/>
    <n v="738.78095324308981"/>
    <n v="714.82716073333631"/>
    <n v="719.64739990234375"/>
    <n v="103500135"/>
    <n v="-2.4900000000000002"/>
    <n v="19.13"/>
    <x v="6"/>
    <s v="Q1-2026"/>
  </r>
  <r>
    <d v="2026-03-30T00:00:00"/>
    <x v="4"/>
    <s v="ICICIBANK.NS"/>
    <n v="1206.330085599034"/>
    <n v="1212.3790655174359"/>
    <n v="1190.3647054702001"/>
    <n v="1195.818725585938"/>
    <n v="23952775"/>
    <n v="-1.32"/>
    <n v="16.559999999999999"/>
    <x v="6"/>
    <s v="Q1-2026"/>
  </r>
  <r>
    <d v="2026-03-30T00:00:00"/>
    <x v="5"/>
    <s v="WIPRO.NS"/>
    <n v="187.84468006738419"/>
    <n v="189.46616094402069"/>
    <n v="184.39408294994581"/>
    <n v="185.5212097167969"/>
    <n v="27946986"/>
    <n v="-1.84"/>
    <n v="3.94"/>
    <x v="6"/>
    <s v="Q1-2026"/>
  </r>
  <r>
    <d v="2026-03-30T00:00:00"/>
    <x v="6"/>
    <s v="HCLTECH.NS"/>
    <n v="1311.2530477771161"/>
    <n v="1320.1889470463921"/>
    <n v="1297.8490803064849"/>
    <n v="1303.094116210938"/>
    <n v="5541018"/>
    <n v="-1.02"/>
    <n v="17.09"/>
    <x v="6"/>
    <s v="Q1-2026"/>
  </r>
  <r>
    <d v="2026-03-30T00:00:00"/>
    <x v="7"/>
    <s v="BAJFINANCE.NS"/>
    <n v="825.92285294718977"/>
    <n v="829.79904944613827"/>
    <n v="794.11836282166621"/>
    <n v="796.65277099609375"/>
    <n v="20377282"/>
    <n v="-3.85"/>
    <n v="33.15"/>
    <x v="6"/>
    <s v="Q1-2026"/>
  </r>
  <r>
    <d v="2026-03-30T00:00:00"/>
    <x v="8"/>
    <s v="MARUTI.NS"/>
    <n v="12177.69833122562"/>
    <n v="12300.46537131277"/>
    <n v="12079.68271051088"/>
    <n v="12183.638671875"/>
    <n v="635675"/>
    <n v="-0.8"/>
    <n v="116.83"/>
    <x v="6"/>
    <s v="Q1-2026"/>
  </r>
  <r>
    <d v="2026-03-30T00:00:00"/>
    <x v="9"/>
    <s v="TMPV.NS"/>
    <n v="294.80450254289099"/>
    <n v="301.00308333647581"/>
    <n v="291.87876030171589"/>
    <n v="293.76315307617188"/>
    <n v="16410266"/>
    <n v="-0.99"/>
    <n v="7.24"/>
    <x v="6"/>
    <s v="Q1-2026"/>
  </r>
  <r>
    <d v="2026-03-30T00:00:00"/>
    <x v="10"/>
    <s v="SUNPHARMA.NS"/>
    <n v="1782.129413447178"/>
    <n v="1785.3210000540471"/>
    <n v="1745.525272965167"/>
    <n v="1752.606689453125"/>
    <n v="4182503"/>
    <n v="-2.0499999999999998"/>
    <n v="32.71"/>
    <x v="6"/>
    <s v="Q1-2026"/>
  </r>
  <r>
    <d v="2026-03-30T00:00:00"/>
    <x v="11"/>
    <s v="ASIANPAINT.NS"/>
    <n v="2166.5033802872831"/>
    <n v="2183.9518501917291"/>
    <n v="2132.4983603496312"/>
    <n v="2146.576171875"/>
    <n v="1513565"/>
    <n v="-1.57"/>
    <n v="37.380000000000003"/>
    <x v="6"/>
    <s v="Q1-2026"/>
  </r>
  <r>
    <d v="2026-03-30T00:00:00"/>
    <x v="12"/>
    <s v="HINDUNILVR.NS"/>
    <n v="2043.2172992976209"/>
    <n v="2061.4319304866399"/>
    <n v="2025.5964816164351"/>
    <n v="2034.505859375"/>
    <n v="2482193"/>
    <n v="-0.86"/>
    <n v="26.93"/>
    <x v="6"/>
    <s v="Q1-2026"/>
  </r>
  <r>
    <d v="2026-03-30T00:00:00"/>
    <x v="13"/>
    <s v="LT.NS"/>
    <n v="3466.1448844036918"/>
    <n v="3509.323243103895"/>
    <n v="3457.33106983784"/>
    <n v="3470.205322265625"/>
    <n v="3549203"/>
    <n v="-0.25"/>
    <n v="39.119999999999997"/>
    <x v="6"/>
    <s v="Q1-2026"/>
  </r>
  <r>
    <d v="2026-03-30T00:00:00"/>
    <x v="14"/>
    <s v="AXISBANK.NS"/>
    <n v="1184.186737908751"/>
    <n v="1187.883959875634"/>
    <n v="1153.010829409666"/>
    <n v="1160.405151367188"/>
    <n v="18534887"/>
    <n v="-2.63"/>
    <n v="27.48"/>
    <x v="6"/>
    <s v="Q1-2026"/>
  </r>
  <r>
    <d v="2026-04-01T00:00:00"/>
    <x v="0"/>
    <s v="RELIANCE.NS"/>
    <n v="1377.8294025098969"/>
    <n v="1378.0285549484649"/>
    <n v="1356.6275051009461"/>
    <n v="1362.8984375"/>
    <n v="14404619"/>
    <n v="-1.54"/>
    <n v="15.13"/>
    <x v="7"/>
    <s v="Q2-2026"/>
  </r>
  <r>
    <d v="2026-04-01T00:00:00"/>
    <x v="1"/>
    <s v="TCS.NS"/>
    <n v="2383.4372287798028"/>
    <n v="2425.630642051739"/>
    <n v="2352.920501495902"/>
    <n v="2363.02734375"/>
    <n v="4132661"/>
    <n v="-1.28"/>
    <n v="62.6"/>
    <x v="7"/>
    <s v="Q2-2026"/>
  </r>
  <r>
    <d v="2026-04-01T00:00:00"/>
    <x v="2"/>
    <s v="INFY.NS"/>
    <n v="1262.676480455448"/>
    <n v="1275.4011271577131"/>
    <n v="1242.6106914249549"/>
    <n v="1248.679321289062"/>
    <n v="8137156"/>
    <n v="-1.59"/>
    <n v="26.72"/>
    <x v="7"/>
    <s v="Q2-2026"/>
  </r>
  <r>
    <d v="2026-04-01T00:00:00"/>
    <x v="3"/>
    <s v="HDFCBANK.NS"/>
    <n v="730.91113708845569"/>
    <n v="743.6012737142313"/>
    <n v="727.07456739914858"/>
    <n v="730.17333984375"/>
    <n v="78862761"/>
    <n v="-0.52"/>
    <n v="13.43"/>
    <x v="7"/>
    <s v="Q2-2026"/>
  </r>
  <r>
    <d v="2026-04-01T00:00:00"/>
    <x v="4"/>
    <s v="ICICIBANK.NS"/>
    <n v="1217.8330476356739"/>
    <n v="1223.683747787243"/>
    <n v="1199.884388024768"/>
    <n v="1202.561767578125"/>
    <n v="25472333"/>
    <n v="-1.47"/>
    <n v="21.12"/>
    <x v="7"/>
    <s v="Q2-2026"/>
  </r>
  <r>
    <d v="2026-04-01T00:00:00"/>
    <x v="5"/>
    <s v="WIPRO.NS"/>
    <n v="189.3475004894465"/>
    <n v="192.29386176497869"/>
    <n v="188.25993052973439"/>
    <n v="189.02122497558591"/>
    <n v="11769673"/>
    <n v="-0.56999999999999995"/>
    <n v="3.27"/>
    <x v="7"/>
    <s v="Q2-2026"/>
  </r>
  <r>
    <d v="2026-04-01T00:00:00"/>
    <x v="6"/>
    <s v="HCLTECH.NS"/>
    <n v="1359.5264850203221"/>
    <n v="1359.5264850203221"/>
    <n v="1310.281697700231"/>
    <n v="1315.526733398438"/>
    <n v="2469237"/>
    <n v="-3.62"/>
    <n v="44"/>
    <x v="7"/>
    <s v="Q2-2026"/>
  </r>
  <r>
    <d v="2026-04-01T00:00:00"/>
    <x v="7"/>
    <s v="BAJFINANCE.NS"/>
    <n v="827.71188017921804"/>
    <n v="836.90536601481233"/>
    <n v="809.82185368833177"/>
    <n v="812.30657958984375"/>
    <n v="15094026"/>
    <n v="-2.16"/>
    <n v="24.6"/>
    <x v="7"/>
    <s v="Q2-2026"/>
  </r>
  <r>
    <d v="2026-04-01T00:00:00"/>
    <x v="8"/>
    <s v="MARUTI.NS"/>
    <n v="12771.733320759049"/>
    <n v="12771.733320759049"/>
    <n v="12210.3710887536"/>
    <n v="12384.62109375"/>
    <n v="501882"/>
    <n v="-4.4000000000000004"/>
    <n v="387.11"/>
    <x v="7"/>
    <s v="Q2-2026"/>
  </r>
  <r>
    <d v="2026-04-01T00:00:00"/>
    <x v="9"/>
    <s v="TMPV.NS"/>
    <n v="307.44962912506071"/>
    <n v="307.44962912506071"/>
    <n v="299.5650216908947"/>
    <n v="300.4576416015625"/>
    <n v="8911554"/>
    <n v="-2.56"/>
    <n v="6.99"/>
    <x v="7"/>
    <s v="Q2-2026"/>
  </r>
  <r>
    <d v="2026-04-01T00:00:00"/>
    <x v="10"/>
    <s v="SUNPHARMA.NS"/>
    <n v="1757.4939589216369"/>
    <n v="1783.3262823279761"/>
    <n v="1708.7217560446361"/>
    <n v="1723.981811523438"/>
    <n v="3245628"/>
    <n v="-2.78"/>
    <n v="59.34"/>
    <x v="7"/>
    <s v="Q2-2026"/>
  </r>
  <r>
    <d v="2026-04-01T00:00:00"/>
    <x v="11"/>
    <s v="ASIANPAINT.NS"/>
    <n v="2205.663630707204"/>
    <n v="2227.2761683701569"/>
    <n v="2179.490562715499"/>
    <n v="2206.655029296875"/>
    <n v="1209900"/>
    <n v="-1.19"/>
    <n v="20.62"/>
    <x v="7"/>
    <s v="Q2-2026"/>
  </r>
  <r>
    <d v="2026-04-01T00:00:00"/>
    <x v="12"/>
    <s v="HINDUNILVR.NS"/>
    <n v="2098.5542902611742"/>
    <n v="2098.5542902611742"/>
    <n v="2031.338082923151"/>
    <n v="2043.91015625"/>
    <n v="2028470"/>
    <n v="-3.2"/>
    <n v="54.64"/>
    <x v="7"/>
    <s v="Q2-2026"/>
  </r>
  <r>
    <d v="2026-04-01T00:00:00"/>
    <x v="13"/>
    <s v="LT.NS"/>
    <n v="3619.6455172871192"/>
    <n v="3647.2755464119618"/>
    <n v="3562.5036924972519"/>
    <n v="3572.60498046875"/>
    <n v="4099786"/>
    <n v="-1.58"/>
    <n v="74.67"/>
    <x v="7"/>
    <s v="Q2-2026"/>
  </r>
  <r>
    <d v="2026-04-01T00:00:00"/>
    <x v="14"/>
    <s v="AXISBANK.NS"/>
    <n v="1174.0945147139701"/>
    <n v="1207.0690840633829"/>
    <n v="1174.0945147139701"/>
    <n v="1192.180541992188"/>
    <n v="6595695"/>
    <n v="0"/>
    <n v="14.89"/>
    <x v="7"/>
    <s v="Q2-2026"/>
  </r>
  <r>
    <d v="2026-04-02T00:00:00"/>
    <x v="0"/>
    <s v="RELIANCE.NS"/>
    <n v="1350.7546307176449"/>
    <n v="1351.9490593116359"/>
    <n v="1321.888098447334"/>
    <n v="1344.284545898438"/>
    <n v="21280051"/>
    <n v="-2.14"/>
    <n v="7.66"/>
    <x v="7"/>
    <s v="Q2-2026"/>
  </r>
  <r>
    <d v="2026-04-02T00:00:00"/>
    <x v="1"/>
    <s v="TCS.NS"/>
    <n v="2341.24390183887"/>
    <n v="2423.570027038862"/>
    <n v="2331.137059212092"/>
    <n v="2404.730224609375"/>
    <n v="5378361"/>
    <n v="-0.43"/>
    <n v="18.84"/>
    <x v="7"/>
    <s v="Q2-2026"/>
  </r>
  <r>
    <d v="2026-04-02T00:00:00"/>
    <x v="2"/>
    <s v="INFY.NS"/>
    <n v="1233.3119397486189"/>
    <n v="1277.7503462365089"/>
    <n v="1233.1162237425549"/>
    <n v="1273.247802734375"/>
    <n v="12873492"/>
    <n v="-0.02"/>
    <n v="4.5"/>
    <x v="7"/>
    <s v="Q2-2026"/>
  </r>
  <r>
    <d v="2026-04-02T00:00:00"/>
    <x v="3"/>
    <s v="HDFCBANK.NS"/>
    <n v="718.12264351389513"/>
    <n v="742.71588473012446"/>
    <n v="714.8271732077576"/>
    <n v="738.6826171875"/>
    <n v="49310300"/>
    <n v="-0.46"/>
    <n v="4.03"/>
    <x v="7"/>
    <s v="Q2-2026"/>
  </r>
  <r>
    <d v="2026-04-02T00:00:00"/>
    <x v="4"/>
    <s v="ICICIBANK.NS"/>
    <n v="1186.0014654862721"/>
    <n v="1211.883245832491"/>
    <n v="1177.6716650973101"/>
    <n v="1205.635986328125"/>
    <n v="20851722"/>
    <n v="-0.7"/>
    <n v="6.25"/>
    <x v="7"/>
    <s v="Q2-2026"/>
  </r>
  <r>
    <d v="2026-04-02T00:00:00"/>
    <x v="5"/>
    <s v="WIPRO.NS"/>
    <n v="188.3489148575087"/>
    <n v="193.13425899481061"/>
    <n v="186.45059689609531"/>
    <n v="192.70912170410159"/>
    <n v="16623045"/>
    <n v="-1.01"/>
    <n v="0.43"/>
    <x v="7"/>
    <s v="Q2-2026"/>
  </r>
  <r>
    <d v="2026-04-02T00:00:00"/>
    <x v="6"/>
    <s v="HCLTECH.NS"/>
    <n v="1308.339082036789"/>
    <n v="1372.250570887395"/>
    <n v="1302.7055032991821"/>
    <n v="1361.954711914062"/>
    <n v="6509389"/>
    <n v="-0.43"/>
    <n v="10.3"/>
    <x v="7"/>
    <s v="Q2-2026"/>
  </r>
  <r>
    <d v="2026-04-02T00:00:00"/>
    <x v="7"/>
    <s v="BAJFINANCE.NS"/>
    <n v="804.05729915827067"/>
    <n v="824.97867904965392"/>
    <n v="787.60842587530806"/>
    <n v="821.7982177734375"/>
    <n v="9113618"/>
    <n v="-2.0499999999999998"/>
    <n v="3.18"/>
    <x v="7"/>
    <s v="Q2-2026"/>
  </r>
  <r>
    <d v="2026-04-02T00:00:00"/>
    <x v="8"/>
    <s v="MARUTI.NS"/>
    <n v="12265.813485067119"/>
    <n v="12546.98961145013"/>
    <n v="12117.30496761131"/>
    <n v="12505.4072265625"/>
    <n v="438227"/>
    <n v="-1.21"/>
    <n v="41.58"/>
    <x v="7"/>
    <s v="Q2-2026"/>
  </r>
  <r>
    <d v="2026-04-02T00:00:00"/>
    <x v="9"/>
    <s v="TMPV.NS"/>
    <n v="295.54833358722732"/>
    <n v="301.79649094907887"/>
    <n v="292.62259133269691"/>
    <n v="300.80471801757813"/>
    <n v="9098035"/>
    <n v="-0.99"/>
    <n v="0.99"/>
    <x v="7"/>
    <s v="Q2-2026"/>
  </r>
  <r>
    <d v="2026-04-02T00:00:00"/>
    <x v="10"/>
    <s v="SUNPHARMA.NS"/>
    <n v="1660.6477572282661"/>
    <n v="1695.556268641473"/>
    <n v="1615.7653854112859"/>
    <n v="1689.172973632812"/>
    <n v="3937824"/>
    <n v="-2.7"/>
    <n v="6.38"/>
    <x v="7"/>
    <s v="Q2-2026"/>
  </r>
  <r>
    <d v="2026-04-02T00:00:00"/>
    <x v="11"/>
    <s v="ASIANPAINT.NS"/>
    <n v="2166.206128976487"/>
    <n v="2166.3053656613679"/>
    <n v="2123.9724481353128"/>
    <n v="2150.34375"/>
    <n v="1854061"/>
    <n v="-1.95"/>
    <n v="15.96"/>
    <x v="7"/>
    <s v="Q2-2026"/>
  </r>
  <r>
    <d v="2026-04-02T00:00:00"/>
    <x v="12"/>
    <s v="HINDUNILVR.NS"/>
    <n v="2034.3079361718801"/>
    <n v="2049.057809449776"/>
    <n v="2002.13518292342"/>
    <n v="2044.504272460938"/>
    <n v="1431905"/>
    <n v="-1.58"/>
    <n v="4.55"/>
    <x v="7"/>
    <s v="Q2-2026"/>
  </r>
  <r>
    <d v="2026-04-02T00:00:00"/>
    <x v="13"/>
    <s v="LT.NS"/>
    <n v="3505.0649310073668"/>
    <n v="3593.8972280231892"/>
    <n v="3436.4352111436938"/>
    <n v="3578.151123046875"/>
    <n v="4121638"/>
    <n v="-1.96"/>
    <n v="15.75"/>
    <x v="7"/>
    <s v="Q2-2026"/>
  </r>
  <r>
    <d v="2026-04-02T00:00:00"/>
    <x v="14"/>
    <s v="AXISBANK.NS"/>
    <n v="1173.6948347826519"/>
    <n v="1201.37356248843"/>
    <n v="1149.413633425557"/>
    <n v="1196.976928710938"/>
    <n v="9501543"/>
    <n v="-2.0699999999999998"/>
    <n v="4.4000000000000004"/>
    <x v="7"/>
    <s v="Q2-2026"/>
  </r>
  <r>
    <d v="2026-04-06T00:00:00"/>
    <x v="0"/>
    <s v="RELIANCE.NS"/>
    <n v="1352.7454554606611"/>
    <n v="1352.7454554606611"/>
    <n v="1284.063015117184"/>
    <n v="1298.6953125"/>
    <n v="29274881"/>
    <n v="-5.08"/>
    <n v="54.05"/>
    <x v="7"/>
    <s v="Q2-2026"/>
  </r>
  <r>
    <d v="2026-04-06T00:00:00"/>
    <x v="1"/>
    <s v="TCS.NS"/>
    <n v="2427.5933372373729"/>
    <n v="2435.4432752720941"/>
    <n v="2402.2772391631788"/>
    <n v="2427.4951171875"/>
    <n v="2572417"/>
    <n v="-1.04"/>
    <n v="7.95"/>
    <x v="7"/>
    <s v="Q2-2026"/>
  </r>
  <r>
    <d v="2026-04-06T00:00:00"/>
    <x v="2"/>
    <s v="INFY.NS"/>
    <n v="1273.8350657038361"/>
    <n v="1292.0410751383829"/>
    <n v="1271.4858762157271"/>
    <n v="1278.533325195312"/>
    <n v="10208682"/>
    <n v="-0.18"/>
    <n v="13.51"/>
    <x v="7"/>
    <s v="Q2-2026"/>
  </r>
  <r>
    <d v="2026-04-06T00:00:00"/>
    <x v="3"/>
    <s v="HDFCBANK.NS"/>
    <n v="746.65081050887648"/>
    <n v="760.17709330795037"/>
    <n v="732.87859529527407"/>
    <n v="758.45556640625"/>
    <n v="42976659"/>
    <n v="-1.84"/>
    <n v="1.72"/>
    <x v="7"/>
    <s v="Q2-2026"/>
  </r>
  <r>
    <d v="2026-04-06T00:00:00"/>
    <x v="4"/>
    <s v="ICICIBANK.NS"/>
    <n v="1202.859269308972"/>
    <n v="1224.080388624631"/>
    <n v="1190.463769831345"/>
    <n v="1221.10546875"/>
    <n v="10058414"/>
    <n v="-1.03"/>
    <n v="2.97"/>
    <x v="7"/>
    <s v="Q2-2026"/>
  </r>
  <r>
    <d v="2026-04-06T00:00:00"/>
    <x v="5"/>
    <s v="WIPRO.NS"/>
    <n v="194.7755218511451"/>
    <n v="198.90831502251191"/>
    <n v="193.89557212746001"/>
    <n v="195.06224060058591"/>
    <n v="23282287"/>
    <n v="-0.45"/>
    <n v="3.85"/>
    <x v="7"/>
    <s v="Q2-2026"/>
  </r>
  <r>
    <d v="2026-04-06T00:00:00"/>
    <x v="6"/>
    <s v="HCLTECH.NS"/>
    <n v="1356.90408708059"/>
    <n v="1381.4779880528311"/>
    <n v="1354.087297545819"/>
    <n v="1363.023315429688"/>
    <n v="2134581"/>
    <n v="-0.21"/>
    <n v="18.45"/>
    <x v="7"/>
    <s v="Q2-2026"/>
  </r>
  <r>
    <d v="2026-04-06T00:00:00"/>
    <x v="7"/>
    <s v="BAJFINANCE.NS"/>
    <n v="823.83570640748428"/>
    <n v="847.78843873522032"/>
    <n v="809.27518902714326"/>
    <n v="845.65155029296875"/>
    <n v="12504591"/>
    <n v="-1.77"/>
    <n v="2.14"/>
    <x v="7"/>
    <s v="Q2-2026"/>
  </r>
  <r>
    <d v="2026-04-06T00:00:00"/>
    <x v="8"/>
    <s v="MARUTI.NS"/>
    <n v="12505.407582074969"/>
    <n v="12593.52263827041"/>
    <n v="12296.505594914979"/>
    <n v="12561.8408203125"/>
    <n v="382650"/>
    <n v="-1.67"/>
    <n v="31.68"/>
    <x v="7"/>
    <s v="Q2-2026"/>
  </r>
  <r>
    <d v="2026-04-06T00:00:00"/>
    <x v="9"/>
    <s v="TMPV.NS"/>
    <n v="300.80472700334138"/>
    <n v="305.56525537665829"/>
    <n v="297.38312844735719"/>
    <n v="304.87100219726563"/>
    <n v="6425909"/>
    <n v="-1.1399999999999999"/>
    <n v="0.69"/>
    <x v="7"/>
    <s v="Q2-2026"/>
  </r>
  <r>
    <d v="2026-04-06T00:00:00"/>
    <x v="10"/>
    <s v="SUNPHARMA.NS"/>
    <n v="1679.8974066842579"/>
    <n v="1694.5589332152349"/>
    <n v="1650.574231871077"/>
    <n v="1690.17041015625"/>
    <n v="3533715"/>
    <n v="-1.75"/>
    <n v="4.3899999999999997"/>
    <x v="7"/>
    <s v="Q2-2026"/>
  </r>
  <r>
    <d v="2026-04-06T00:00:00"/>
    <x v="11"/>
    <s v="ASIANPAINT.NS"/>
    <n v="2150.3435162351889"/>
    <n v="2174.3353134208269"/>
    <n v="2127.4421122612298"/>
    <n v="2165.511962890625"/>
    <n v="2048228"/>
    <n v="-1.07"/>
    <n v="8.82"/>
    <x v="7"/>
    <s v="Q2-2026"/>
  </r>
  <r>
    <d v="2026-04-06T00:00:00"/>
    <x v="12"/>
    <s v="HINDUNILVR.NS"/>
    <n v="2044.50420996908"/>
    <n v="2071.727308039528"/>
    <n v="2021.339804169992"/>
    <n v="2063.807861328125"/>
    <n v="1661298"/>
    <n v="-1.1299999999999999"/>
    <n v="7.92"/>
    <x v="7"/>
    <s v="Q2-2026"/>
  </r>
  <r>
    <d v="2026-04-06T00:00:00"/>
    <x v="13"/>
    <s v="LT.NS"/>
    <n v="3581.6171367018501"/>
    <n v="3700.8524244990999"/>
    <n v="3542.4000862813159"/>
    <n v="3691.642333984375"/>
    <n v="3353246"/>
    <n v="-1.0900000000000001"/>
    <n v="9.2100000000000009"/>
    <x v="7"/>
    <s v="Q2-2026"/>
  </r>
  <r>
    <d v="2026-04-06T00:00:00"/>
    <x v="14"/>
    <s v="AXISBANK.NS"/>
    <n v="1201.1735518383609"/>
    <n v="1248.836864011161"/>
    <n v="1195.477993454301"/>
    <n v="1244.34033203125"/>
    <n v="7847086"/>
    <n v="-0.47"/>
    <n v="4.5"/>
    <x v="7"/>
    <s v="Q2-2026"/>
  </r>
  <r>
    <d v="2026-04-07T00:00:00"/>
    <x v="0"/>
    <s v="RELIANCE.NS"/>
    <n v="1289.0400315028619"/>
    <n v="1302.278869618998"/>
    <n v="1285.0584406719649"/>
    <n v="1298.595825195312"/>
    <n v="28388922"/>
    <n v="-0.31"/>
    <n v="3.68"/>
    <x v="7"/>
    <s v="Q2-2026"/>
  </r>
  <r>
    <d v="2026-04-07T00:00:00"/>
    <x v="1"/>
    <s v="TCS.NS"/>
    <n v="2414.8372404515958"/>
    <n v="2496.1821292811319"/>
    <n v="2402.081090867739"/>
    <n v="2492.1591796875"/>
    <n v="4516550"/>
    <n v="-0.53"/>
    <n v="4.0199999999999996"/>
    <x v="7"/>
    <s v="Q2-2026"/>
  </r>
  <r>
    <d v="2026-04-07T00:00:00"/>
    <x v="2"/>
    <s v="INFY.NS"/>
    <n v="1274.4222980187039"/>
    <n v="1316.6093716982591"/>
    <n v="1266.1023367797191"/>
    <n v="1311.030151367188"/>
    <n v="15355792"/>
    <n v="-0.65"/>
    <n v="5.58"/>
    <x v="7"/>
    <s v="Q2-2026"/>
  </r>
  <r>
    <d v="2026-04-07T00:00:00"/>
    <x v="3"/>
    <s v="HDFCBANK.NS"/>
    <n v="753.53689227326538"/>
    <n v="761.40672926828654"/>
    <n v="748.61824415137733"/>
    <n v="759.43927001953125"/>
    <n v="51309793"/>
    <n v="-0.65"/>
    <n v="1.97"/>
    <x v="7"/>
    <s v="Q2-2026"/>
  </r>
  <r>
    <d v="2026-04-07T00:00:00"/>
    <x v="4"/>
    <s v="ICICIBANK.NS"/>
    <n v="1218.725465680355"/>
    <n v="1239.946584247971"/>
    <n v="1206.4291064220349"/>
    <n v="1235.087524414062"/>
    <n v="25600557"/>
    <n v="-1.01"/>
    <n v="4.8600000000000003"/>
    <x v="7"/>
    <s v="Q2-2026"/>
  </r>
  <r>
    <d v="2026-04-07T00:00:00"/>
    <x v="5"/>
    <s v="WIPRO.NS"/>
    <n v="194.78539372423401"/>
    <n v="202.95213297211239"/>
    <n v="194.78539372423401"/>
    <n v="202.40834045410159"/>
    <n v="24771466"/>
    <n v="0"/>
    <n v="0.54"/>
    <x v="7"/>
    <s v="Q2-2026"/>
  </r>
  <r>
    <d v="2026-04-07T00:00:00"/>
    <x v="6"/>
    <s v="HCLTECH.NS"/>
    <n v="1351.076197160832"/>
    <n v="1404.98326325891"/>
    <n v="1348.2594078315551"/>
    <n v="1400.223876953125"/>
    <n v="3459049"/>
    <n v="-0.21"/>
    <n v="4.76"/>
    <x v="7"/>
    <s v="Q2-2026"/>
  </r>
  <r>
    <d v="2026-04-07T00:00:00"/>
    <x v="7"/>
    <s v="BAJFINANCE.NS"/>
    <n v="842.81901316192386"/>
    <n v="857.5285781459786"/>
    <n v="839.29071456710449"/>
    <n v="849.8756103515625"/>
    <n v="11569047"/>
    <n v="-0.42"/>
    <n v="7.65"/>
    <x v="7"/>
    <s v="Q2-2026"/>
  </r>
  <r>
    <d v="2026-04-07T00:00:00"/>
    <x v="8"/>
    <s v="MARUTI.NS"/>
    <n v="12514.3180941358"/>
    <n v="12707.379172328559"/>
    <n v="12371.749913316529"/>
    <n v="12670.7470703125"/>
    <n v="359542"/>
    <n v="-1.1399999999999999"/>
    <n v="36.630000000000003"/>
    <x v="7"/>
    <s v="Q2-2026"/>
  </r>
  <r>
    <d v="2026-04-07T00:00:00"/>
    <x v="9"/>
    <s v="TMPV.NS"/>
    <n v="303.97839633346189"/>
    <n v="306.80495517485588"/>
    <n v="299.36665836408599"/>
    <n v="306.16030883789063"/>
    <n v="8543428"/>
    <n v="-1.52"/>
    <n v="0.64"/>
    <x v="7"/>
    <s v="Q2-2026"/>
  </r>
  <r>
    <d v="2026-04-07T00:00:00"/>
    <x v="10"/>
    <s v="SUNPHARMA.NS"/>
    <n v="1685.382918654537"/>
    <n v="1719.393757048661"/>
    <n v="1676.90513761855"/>
    <n v="1713.509155273438"/>
    <n v="2471378"/>
    <n v="-0.5"/>
    <n v="5.88"/>
    <x v="7"/>
    <s v="Q2-2026"/>
  </r>
  <r>
    <d v="2026-04-07T00:00:00"/>
    <x v="11"/>
    <s v="ASIANPAINT.NS"/>
    <n v="2149.0548763211232"/>
    <n v="2179.7882354882622"/>
    <n v="2126.5501746294531"/>
    <n v="2167.395751953125"/>
    <n v="1793007"/>
    <n v="-1.05"/>
    <n v="12.39"/>
    <x v="7"/>
    <s v="Q2-2026"/>
  </r>
  <r>
    <d v="2026-04-07T00:00:00"/>
    <x v="12"/>
    <s v="HINDUNILVR.NS"/>
    <n v="2043.9101735971369"/>
    <n v="2098.158432405809"/>
    <n v="2030.1502314824129"/>
    <n v="2089.34814453125"/>
    <n v="2709707"/>
    <n v="-0.67"/>
    <n v="8.81"/>
    <x v="7"/>
    <s v="Q2-2026"/>
  </r>
  <r>
    <d v="2026-04-07T00:00:00"/>
    <x v="13"/>
    <s v="LT.NS"/>
    <n v="3644.4037006454218"/>
    <n v="3700.0600348918551"/>
    <n v="3622.616504608955"/>
    <n v="3687.284912109375"/>
    <n v="3083714"/>
    <n v="-0.6"/>
    <n v="12.78"/>
    <x v="7"/>
    <s v="Q2-2026"/>
  </r>
  <r>
    <d v="2026-04-07T00:00:00"/>
    <x v="14"/>
    <s v="AXISBANK.NS"/>
    <n v="1236.8461487557429"/>
    <n v="1254.532459610896"/>
    <n v="1220.059046742258"/>
    <n v="1249.136596679688"/>
    <n v="9248545"/>
    <n v="-1.36"/>
    <n v="5.4"/>
    <x v="7"/>
    <s v="Q2-2026"/>
  </r>
  <r>
    <d v="2026-04-08T00:00:00"/>
    <x v="0"/>
    <s v="RELIANCE.NS"/>
    <n v="1342.7914745147671"/>
    <n v="1344.3840865060411"/>
    <n v="1320.096358736467"/>
    <n v="1341.597045898438"/>
    <n v="21817543"/>
    <n v="-1.69"/>
    <n v="2.79"/>
    <x v="7"/>
    <s v="Q2-2026"/>
  </r>
  <r>
    <d v="2026-04-08T00:00:00"/>
    <x v="1"/>
    <s v="TCS.NS"/>
    <n v="2523.7550168218731"/>
    <n v="2531.8993752471638"/>
    <n v="2492.4534854936592"/>
    <n v="2511.195068359375"/>
    <n v="4769337"/>
    <n v="-1.24"/>
    <n v="20.7"/>
    <x v="7"/>
    <s v="Q2-2026"/>
  </r>
  <r>
    <d v="2026-04-08T00:00:00"/>
    <x v="2"/>
    <s v="INFY.NS"/>
    <n v="1320.426776036061"/>
    <n v="1347.735848896245"/>
    <n v="1302.808034769457"/>
    <n v="1317.68603515625"/>
    <n v="16030133"/>
    <n v="-1.33"/>
    <n v="30.05"/>
    <x v="7"/>
    <s v="Q2-2026"/>
  </r>
  <r>
    <d v="2026-04-08T00:00:00"/>
    <x v="3"/>
    <s v="HDFCBANK.NS"/>
    <n v="786.98375332492412"/>
    <n v="804.49412982798458"/>
    <n v="783.0488345582994"/>
    <n v="802.82177734375"/>
    <n v="70269512"/>
    <n v="-0.5"/>
    <n v="1.67"/>
    <x v="7"/>
    <s v="Q2-2026"/>
  </r>
  <r>
    <d v="2026-04-08T00:00:00"/>
    <x v="4"/>
    <s v="ICICIBANK.NS"/>
    <n v="1299.048365281531"/>
    <n v="1322.3519046587189"/>
    <n v="1281.595525957938"/>
    <n v="1298.255004882812"/>
    <n v="25148651"/>
    <n v="-1.34"/>
    <n v="24.1"/>
    <x v="7"/>
    <s v="Q2-2026"/>
  </r>
  <r>
    <d v="2026-04-08T00:00:00"/>
    <x v="5"/>
    <s v="WIPRO.NS"/>
    <n v="205.35468616494671"/>
    <n v="206.6400098174729"/>
    <n v="200.51002211291271"/>
    <n v="201.1230163574219"/>
    <n v="22084158"/>
    <n v="-2.36"/>
    <n v="5.52"/>
    <x v="7"/>
    <s v="Q2-2026"/>
  </r>
  <r>
    <d v="2026-04-08T00:00:00"/>
    <x v="6"/>
    <s v="HCLTECH.NS"/>
    <n v="1408.285748805986"/>
    <n v="1423.923631275132"/>
    <n v="1390.802375434258"/>
    <n v="1419.067138671875"/>
    <n v="4239052"/>
    <n v="-1.24"/>
    <n v="4.8600000000000003"/>
    <x v="7"/>
    <s v="Q2-2026"/>
  </r>
  <r>
    <d v="2026-04-08T00:00:00"/>
    <x v="7"/>
    <s v="BAJFINANCE.NS"/>
    <n v="884.56240950698361"/>
    <n v="920.34246202636723"/>
    <n v="875.61739637713777"/>
    <n v="909.4593505859375"/>
    <n v="13826150"/>
    <n v="-1.01"/>
    <n v="10.88"/>
    <x v="7"/>
    <s v="Q2-2026"/>
  </r>
  <r>
    <d v="2026-04-08T00:00:00"/>
    <x v="8"/>
    <s v="MARUTI.NS"/>
    <n v="13217.25860986091"/>
    <n v="13608.33105562084"/>
    <n v="13078.650654401699"/>
    <n v="13466.7529296875"/>
    <n v="1026292"/>
    <n v="-1.05"/>
    <n v="141.58000000000001"/>
    <x v="7"/>
    <s v="Q2-2026"/>
  </r>
  <r>
    <d v="2026-04-08T00:00:00"/>
    <x v="9"/>
    <s v="TMPV.NS"/>
    <n v="318.3591238396483"/>
    <n v="334.22749138305761"/>
    <n v="316.32600135475258"/>
    <n v="331.99600219726563"/>
    <n v="20930060"/>
    <n v="-0.64"/>
    <n v="2.23"/>
    <x v="7"/>
    <s v="Q2-2026"/>
  </r>
  <r>
    <d v="2026-04-08T00:00:00"/>
    <x v="10"/>
    <s v="SUNPHARMA.NS"/>
    <n v="1725.4778110185509"/>
    <n v="1744.627573862314"/>
    <n v="1681.0941332206751"/>
    <n v="1710.118041992188"/>
    <n v="4859877"/>
    <n v="-2.57"/>
    <n v="34.51"/>
    <x v="7"/>
    <s v="Q2-2026"/>
  </r>
  <r>
    <d v="2026-04-08T00:00:00"/>
    <x v="11"/>
    <s v="ASIANPAINT.NS"/>
    <n v="2264.850100281215"/>
    <n v="2316.799290072403"/>
    <n v="2225.8880869174882"/>
    <n v="2262.76806640625"/>
    <n v="2914767"/>
    <n v="-1.72"/>
    <n v="54.03"/>
    <x v="7"/>
    <s v="Q2-2026"/>
  </r>
  <r>
    <d v="2026-04-08T00:00:00"/>
    <x v="12"/>
    <s v="HINDUNILVR.NS"/>
    <n v="2108.5528307953982"/>
    <n v="2170.7205400586058"/>
    <n v="2108.5528307953982"/>
    <n v="2123.995849609375"/>
    <n v="3794437"/>
    <n v="0"/>
    <n v="46.72"/>
    <x v="7"/>
    <s v="Q2-2026"/>
  </r>
  <r>
    <d v="2026-04-08T00:00:00"/>
    <x v="13"/>
    <s v="LT.NS"/>
    <n v="3909.811522872209"/>
    <n v="3992.9990020822561"/>
    <n v="3892.9759616035089"/>
    <n v="3967.1513671875"/>
    <n v="7368477"/>
    <n v="-0.43"/>
    <n v="25.85"/>
    <x v="7"/>
    <s v="Q2-2026"/>
  </r>
  <r>
    <d v="2026-04-08T00:00:00"/>
    <x v="14"/>
    <s v="AXISBANK.NS"/>
    <n v="1299.0981069582681"/>
    <n v="1334.570750341893"/>
    <n v="1299.0981069582681"/>
    <n v="1331.972778320312"/>
    <n v="13519723"/>
    <n v="0"/>
    <n v="2.6"/>
    <x v="7"/>
    <s v="Q2-2026"/>
  </r>
  <r>
    <d v="2026-04-09T00:00:00"/>
    <x v="0"/>
    <s v="RELIANCE.NS"/>
    <n v="1339.805269031955"/>
    <n v="1343.7868597274439"/>
    <n v="1320.195983460075"/>
    <n v="1323.87890625"/>
    <n v="20725390"/>
    <n v="-1.46"/>
    <n v="19.91"/>
    <x v="7"/>
    <s v="Q2-2026"/>
  </r>
  <r>
    <d v="2026-04-09T00:00:00"/>
    <x v="1"/>
    <s v="TCS.NS"/>
    <n v="2506.092799275481"/>
    <n v="2556.1361558780841"/>
    <n v="2483.622446743067"/>
    <n v="2540.436279296875"/>
    <n v="5628261"/>
    <n v="-0.9"/>
    <n v="15.7"/>
    <x v="7"/>
    <s v="Q2-2026"/>
  </r>
  <r>
    <d v="2026-04-09T00:00:00"/>
    <x v="2"/>
    <s v="INFY.NS"/>
    <n v="1301.7313192842821"/>
    <n v="1309.1703192575089"/>
    <n v="1286.1680743957879"/>
    <n v="1303.395263671875"/>
    <n v="14894607"/>
    <n v="-1.2"/>
    <n v="5.78"/>
    <x v="7"/>
    <s v="Q2-2026"/>
  </r>
  <r>
    <d v="2026-04-09T00:00:00"/>
    <x v="3"/>
    <s v="HDFCBANK.NS"/>
    <n v="801.73970315811982"/>
    <n v="805.67462194662596"/>
    <n v="780.19599877421058"/>
    <n v="784.72119140625"/>
    <n v="48879392"/>
    <n v="-2.69"/>
    <n v="20.95"/>
    <x v="7"/>
    <s v="Q2-2026"/>
  </r>
  <r>
    <d v="2026-04-09T00:00:00"/>
    <x v="4"/>
    <s v="ICICIBANK.NS"/>
    <n v="1289.032858674316"/>
    <n v="1297.065118454786"/>
    <n v="1265.2334987026679"/>
    <n v="1270.58837890625"/>
    <n v="22923062"/>
    <n v="-1.85"/>
    <n v="26.48"/>
    <x v="7"/>
    <s v="Q2-2026"/>
  </r>
  <r>
    <d v="2026-04-09T00:00:00"/>
    <x v="5"/>
    <s v="WIPRO.NS"/>
    <n v="201.40974996967779"/>
    <n v="201.85466563334421"/>
    <n v="199.3532351450643"/>
    <n v="200.5792236328125"/>
    <n v="14540807"/>
    <n v="-1.02"/>
    <n v="1.28"/>
    <x v="7"/>
    <s v="Q2-2026"/>
  </r>
  <r>
    <d v="2026-04-09T00:00:00"/>
    <x v="6"/>
    <s v="HCLTECH.NS"/>
    <n v="1417.0274334936839"/>
    <n v="1426.8375248250879"/>
    <n v="1394.7846736887859"/>
    <n v="1422.855224609375"/>
    <n v="3101205"/>
    <n v="-1.57"/>
    <n v="3.98"/>
    <x v="7"/>
    <s v="Q2-2026"/>
  </r>
  <r>
    <d v="2026-04-09T00:00:00"/>
    <x v="7"/>
    <s v="BAJFINANCE.NS"/>
    <n v="896.4890823934403"/>
    <n v="907.81945648016506"/>
    <n v="885.9538691047153"/>
    <n v="897.7314453125"/>
    <n v="9457820"/>
    <n v="-1.18"/>
    <n v="10.09"/>
    <x v="7"/>
    <s v="Q2-2026"/>
  </r>
  <r>
    <d v="2026-04-09T00:00:00"/>
    <x v="8"/>
    <s v="MARUTI.NS"/>
    <n v="13435.070756764429"/>
    <n v="13636.05228687668"/>
    <n v="13197.457125104631"/>
    <n v="13453.8818359375"/>
    <n v="549914"/>
    <n v="-1.77"/>
    <n v="182.17"/>
    <x v="7"/>
    <s v="Q2-2026"/>
  </r>
  <r>
    <d v="2026-04-09T00:00:00"/>
    <x v="9"/>
    <s v="TMPV.NS"/>
    <n v="331.7480474702416"/>
    <n v="336.40939238135951"/>
    <n v="327.73137918146517"/>
    <n v="330.50833129882813"/>
    <n v="11110200"/>
    <n v="-1.21"/>
    <n v="5.9"/>
    <x v="7"/>
    <s v="Q2-2026"/>
  </r>
  <r>
    <d v="2026-04-09T00:00:00"/>
    <x v="10"/>
    <s v="SUNPHARMA.NS"/>
    <n v="1698.249188710168"/>
    <n v="1726.3755485377769"/>
    <n v="1698.249188710168"/>
    <n v="1712.611572265625"/>
    <n v="3276165"/>
    <n v="0"/>
    <n v="13.76"/>
    <x v="7"/>
    <s v="Q2-2026"/>
  </r>
  <r>
    <d v="2026-04-09T00:00:00"/>
    <x v="11"/>
    <s v="ASIANPAINT.NS"/>
    <n v="2255.4318247875872"/>
    <n v="2269.9063412266701"/>
    <n v="2232.629656888636"/>
    <n v="2250.078369140625"/>
    <n v="1980060"/>
    <n v="-1.01"/>
    <n v="19.829999999999998"/>
    <x v="7"/>
    <s v="Q2-2026"/>
  </r>
  <r>
    <d v="2026-04-09T00:00:00"/>
    <x v="12"/>
    <s v="HINDUNILVR.NS"/>
    <n v="2123.896656880212"/>
    <n v="2141.1213571449211"/>
    <n v="2093.7037656964098"/>
    <n v="2111.720458984375"/>
    <n v="2506245"/>
    <n v="-1.42"/>
    <n v="29.4"/>
    <x v="7"/>
    <s v="Q2-2026"/>
  </r>
  <r>
    <d v="2026-04-09T00:00:00"/>
    <x v="13"/>
    <s v="LT.NS"/>
    <n v="3949.4245285448469"/>
    <n v="3949.4245285448469"/>
    <n v="3848.0151288364709"/>
    <n v="3858.512451171875"/>
    <n v="4415151"/>
    <n v="-2.57"/>
    <n v="90.91"/>
    <x v="7"/>
    <s v="Q2-2026"/>
  </r>
  <r>
    <d v="2026-04-09T00:00:00"/>
    <x v="14"/>
    <s v="AXISBANK.NS"/>
    <n v="1321.281007006804"/>
    <n v="1337.568372086906"/>
    <n v="1311.788328262907"/>
    <n v="1317.48388671875"/>
    <n v="6542529"/>
    <n v="-0.72"/>
    <n v="20.079999999999998"/>
    <x v="7"/>
    <s v="Q2-2026"/>
  </r>
  <r>
    <d v="2026-04-10T00:00:00"/>
    <x v="0"/>
    <s v="RELIANCE.NS"/>
    <n v="1330.8467605257399"/>
    <n v="1346.076394346828"/>
    <n v="1325.3720730291859"/>
    <n v="1343.985961914062"/>
    <n v="19364461"/>
    <n v="-0.41"/>
    <n v="2.09"/>
    <x v="7"/>
    <s v="Q2-2026"/>
  </r>
  <r>
    <d v="2026-04-10T00:00:00"/>
    <x v="1"/>
    <s v="TCS.NS"/>
    <n v="2517.6712578981992"/>
    <n v="2517.6712578981992"/>
    <n v="2454.184936145557"/>
    <n v="2476.94970703125"/>
    <n v="10480239"/>
    <n v="-2.52"/>
    <n v="40.72"/>
    <x v="7"/>
    <s v="Q2-2026"/>
  </r>
  <r>
    <d v="2026-04-10T00:00:00"/>
    <x v="2"/>
    <s v="INFY.NS"/>
    <n v="1290.083419215425"/>
    <n v="1290.964380196815"/>
    <n v="1256.1184483091879"/>
    <n v="1265.12353515625"/>
    <n v="19233369"/>
    <n v="-2.63"/>
    <n v="25.84"/>
    <x v="7"/>
    <s v="Q2-2026"/>
  </r>
  <r>
    <d v="2026-04-10T00:00:00"/>
    <x v="3"/>
    <s v="HDFCBANK.NS"/>
    <n v="790.91866490960535"/>
    <n v="799.0344347920734"/>
    <n v="787.96747586143522"/>
    <n v="797.11614990234375"/>
    <n v="38156026"/>
    <n v="-0.37"/>
    <n v="1.92"/>
    <x v="7"/>
    <s v="Q2-2026"/>
  </r>
  <r>
    <d v="2026-04-10T00:00:00"/>
    <x v="4"/>
    <s v="ICICIBANK.NS"/>
    <n v="1278.223898317528"/>
    <n v="1312.9312966426739"/>
    <n v="1277.728078341454"/>
    <n v="1310.848876953125"/>
    <n v="18174755"/>
    <n v="-0.04"/>
    <n v="2.08"/>
    <x v="7"/>
    <s v="Q2-2026"/>
  </r>
  <r>
    <d v="2026-04-10T00:00:00"/>
    <x v="5"/>
    <s v="WIPRO.NS"/>
    <n v="206.34340110912891"/>
    <n v="206.34340110912891"/>
    <n v="198.35463693487119"/>
    <n v="202.56654357910159"/>
    <n v="51219565"/>
    <n v="-3.87"/>
    <n v="3.78"/>
    <x v="7"/>
    <s v="Q2-2026"/>
  </r>
  <r>
    <d v="2026-04-10T00:00:00"/>
    <x v="6"/>
    <s v="HCLTECH.NS"/>
    <n v="1410.325426072679"/>
    <n v="1415.764673975043"/>
    <n v="1380.3122786226661"/>
    <n v="1409.54833984375"/>
    <n v="3450066"/>
    <n v="-2.13"/>
    <n v="6.22"/>
    <x v="7"/>
    <s v="Q2-2026"/>
  </r>
  <r>
    <d v="2026-04-10T00:00:00"/>
    <x v="7"/>
    <s v="BAJFINANCE.NS"/>
    <n v="910.15508325055475"/>
    <n v="921.63450460054366"/>
    <n v="906.72614942854432"/>
    <n v="918.90130615234375"/>
    <n v="9491544"/>
    <n v="-0.38"/>
    <n v="2.73"/>
    <x v="7"/>
    <s v="Q2-2026"/>
  </r>
  <r>
    <d v="2026-04-10T00:00:00"/>
    <x v="8"/>
    <s v="MARUTI.NS"/>
    <n v="13514.275126200169"/>
    <n v="13659.813473713089"/>
    <n v="13454.87171905204"/>
    <n v="13572.6884765625"/>
    <n v="471921"/>
    <n v="-0.44"/>
    <n v="87.12"/>
    <x v="7"/>
    <s v="Q2-2026"/>
  </r>
  <r>
    <d v="2026-04-10T00:00:00"/>
    <x v="9"/>
    <s v="TMPV.NS"/>
    <n v="333.83079515359191"/>
    <n v="340.97154253593828"/>
    <n v="332.2439523131228"/>
    <n v="339.78143310546881"/>
    <n v="10666149"/>
    <n v="-0.48"/>
    <n v="1.19"/>
    <x v="7"/>
    <s v="Q2-2026"/>
  </r>
  <r>
    <d v="2026-04-10T00:00:00"/>
    <x v="10"/>
    <s v="SUNPHARMA.NS"/>
    <n v="1694.7583482564621"/>
    <n v="1695.5563058067451"/>
    <n v="1626.1382602251381"/>
    <n v="1650.57421875"/>
    <n v="8089531"/>
    <n v="-4.05"/>
    <n v="44.98"/>
    <x v="7"/>
    <s v="Q2-2026"/>
  </r>
  <r>
    <d v="2026-04-10T00:00:00"/>
    <x v="11"/>
    <s v="ASIANPAINT.NS"/>
    <n v="2248.1946997294722"/>
    <n v="2356.455385323462"/>
    <n v="2248.1946997294722"/>
    <n v="2340.394775390625"/>
    <n v="3018178"/>
    <n v="0"/>
    <n v="16.059999999999999"/>
    <x v="7"/>
    <s v="Q2-2026"/>
  </r>
  <r>
    <d v="2026-04-10T00:00:00"/>
    <x v="12"/>
    <s v="HINDUNILVR.NS"/>
    <n v="2111.7205746871009"/>
    <n v="2148.150080611827"/>
    <n v="2100.0393415804838"/>
    <n v="2133.59814453125"/>
    <n v="2144484"/>
    <n v="-0.55000000000000004"/>
    <n v="14.55"/>
    <x v="7"/>
    <s v="Q2-2026"/>
  </r>
  <r>
    <d v="2026-04-10T00:00:00"/>
    <x v="13"/>
    <s v="LT.NS"/>
    <n v="3893.9661619938661"/>
    <n v="3926.6469563340988"/>
    <n v="3877.7248942455021"/>
    <n v="3921.59619140625"/>
    <n v="2822017"/>
    <n v="-0.42"/>
    <n v="5.05"/>
    <x v="7"/>
    <s v="Q2-2026"/>
  </r>
  <r>
    <d v="2026-04-10T00:00:00"/>
    <x v="14"/>
    <s v="AXISBANK.NS"/>
    <n v="1327.775987854385"/>
    <n v="1357.5529488228451"/>
    <n v="1325.0779954667521"/>
    <n v="1349.759033203125"/>
    <n v="6755589"/>
    <n v="-0.2"/>
    <n v="7.79"/>
    <x v="7"/>
    <s v="Q2-2026"/>
  </r>
  <r>
    <d v="2026-04-13T00:00:00"/>
    <x v="0"/>
    <s v="RELIANCE.NS"/>
    <n v="1315.1193869938079"/>
    <n v="1321.489956548176"/>
    <n v="1303.9709814050459"/>
    <n v="1309.047485351562"/>
    <n v="28753269"/>
    <n v="-0.85"/>
    <n v="12.44"/>
    <x v="7"/>
    <s v="Q2-2026"/>
  </r>
  <r>
    <d v="2026-04-13T00:00:00"/>
    <x v="1"/>
    <s v="TCS.NS"/>
    <n v="2443.1950261421921"/>
    <n v="2457.913660155406"/>
    <n v="2423.6684008424359"/>
    <n v="2426.2197265625"/>
    <n v="3739587"/>
    <n v="-0.8"/>
    <n v="31.69"/>
    <x v="7"/>
    <s v="Q2-2026"/>
  </r>
  <r>
    <d v="2026-04-13T00:00:00"/>
    <x v="2"/>
    <s v="INFY.NS"/>
    <n v="1245.0577246851819"/>
    <n v="1261.697647106289"/>
    <n v="1238.891117405818"/>
    <n v="1249.756103515625"/>
    <n v="10366082"/>
    <n v="-0.5"/>
    <n v="11.94"/>
    <x v="7"/>
    <s v="Q2-2026"/>
  </r>
  <r>
    <d v="2026-04-13T00:00:00"/>
    <x v="3"/>
    <s v="HDFCBANK.NS"/>
    <n v="778.6220116333144"/>
    <n v="785.50811912722872"/>
    <n v="774.53950960222824"/>
    <n v="781.76995849609375"/>
    <n v="47549328"/>
    <n v="-0.52"/>
    <n v="3.74"/>
    <x v="7"/>
    <s v="Q2-2026"/>
  </r>
  <r>
    <d v="2026-04-13T00:00:00"/>
    <x v="4"/>
    <s v="ICICIBANK.NS"/>
    <n v="1293.990971075717"/>
    <n v="1345.6553873069461"/>
    <n v="1285.85945100596"/>
    <n v="1339.8046875"/>
    <n v="30572141"/>
    <n v="-0.63"/>
    <n v="5.85"/>
    <x v="7"/>
    <s v="Q2-2026"/>
  </r>
  <r>
    <d v="2026-04-13T00:00:00"/>
    <x v="5"/>
    <s v="WIPRO.NS"/>
    <n v="200.71764227509871"/>
    <n v="201.10323786200141"/>
    <n v="198.0481332052737"/>
    <n v="200.6781005859375"/>
    <n v="21930624"/>
    <n v="-1.33"/>
    <n v="0.43"/>
    <x v="7"/>
    <s v="Q2-2026"/>
  </r>
  <r>
    <d v="2026-04-13T00:00:00"/>
    <x v="6"/>
    <s v="HCLTECH.NS"/>
    <n v="1399.641184766916"/>
    <n v="1406.246062211934"/>
    <n v="1376.81566926239"/>
    <n v="1388.374145507812"/>
    <n v="2252652"/>
    <n v="-1.63"/>
    <n v="17.87"/>
    <x v="7"/>
    <s v="Q2-2026"/>
  </r>
  <r>
    <d v="2026-04-13T00:00:00"/>
    <x v="7"/>
    <s v="BAJFINANCE.NS"/>
    <n v="890.67488275764879"/>
    <n v="900.36531390232801"/>
    <n v="875.71678410195591"/>
    <n v="893.457763671875"/>
    <n v="10723313"/>
    <n v="-1.68"/>
    <n v="6.91"/>
    <x v="7"/>
    <s v="Q2-2026"/>
  </r>
  <r>
    <d v="2026-04-13T00:00:00"/>
    <x v="8"/>
    <s v="MARUTI.NS"/>
    <n v="13268.740931322171"/>
    <n v="13286.56195331619"/>
    <n v="12837.076176356009"/>
    <n v="12945.982421875"/>
    <n v="1347910"/>
    <n v="-3.25"/>
    <n v="340.58"/>
    <x v="7"/>
    <s v="Q2-2026"/>
  </r>
  <r>
    <d v="2026-04-13T00:00:00"/>
    <x v="9"/>
    <s v="TMPV.NS"/>
    <n v="329.26862711706309"/>
    <n v="343.9468550144731"/>
    <n v="329.26862711706309"/>
    <n v="342.65756225585938"/>
    <n v="13113105"/>
    <n v="0"/>
    <n v="1.29"/>
    <x v="7"/>
    <s v="Q2-2026"/>
  </r>
  <r>
    <d v="2026-04-13T00:00:00"/>
    <x v="10"/>
    <s v="SUNPHARMA.NS"/>
    <n v="1650.574118771287"/>
    <n v="1664.337972545746"/>
    <n v="1635.81275724378"/>
    <n v="1647.881103515625"/>
    <n v="3751005"/>
    <n v="-0.89"/>
    <n v="16.46"/>
    <x v="7"/>
    <s v="Q2-2026"/>
  </r>
  <r>
    <d v="2026-04-13T00:00:00"/>
    <x v="11"/>
    <s v="ASIANPAINT.NS"/>
    <n v="2260.2896157134242"/>
    <n v="2342.179238497919"/>
    <n v="2242.5436772411822"/>
    <n v="2332.166015625"/>
    <n v="1734562"/>
    <n v="-0.79"/>
    <n v="10.01"/>
    <x v="7"/>
    <s v="Q2-2026"/>
  </r>
  <r>
    <d v="2026-04-13T00:00:00"/>
    <x v="12"/>
    <s v="HINDUNILVR.NS"/>
    <n v="2109.5427916939389"/>
    <n v="2119.145073286812"/>
    <n v="2092.219000584299"/>
    <n v="2105.781005859375"/>
    <n v="1994541"/>
    <n v="-0.82"/>
    <n v="13.36"/>
    <x v="7"/>
    <s v="Q2-2026"/>
  </r>
  <r>
    <d v="2026-04-13T00:00:00"/>
    <x v="13"/>
    <s v="LT.NS"/>
    <n v="3788.0011935064008"/>
    <n v="3933.2821321015372"/>
    <n v="3778.6922153895471"/>
    <n v="3916.050537109375"/>
    <n v="4897563"/>
    <n v="-0.25"/>
    <n v="17.23"/>
    <x v="7"/>
    <s v="Q2-2026"/>
  </r>
  <r>
    <d v="2026-04-13T00:00:00"/>
    <x v="14"/>
    <s v="AXISBANK.NS"/>
    <n v="1316.984342696536"/>
    <n v="1365.8466845104961"/>
    <n v="1314.2864721203571"/>
    <n v="1352.556884765625"/>
    <n v="8974851"/>
    <n v="-0.2"/>
    <n v="13.29"/>
    <x v="7"/>
    <s v="Q2-2026"/>
  </r>
  <r>
    <d v="2026-04-15T00:00:00"/>
    <x v="0"/>
    <s v="RELIANCE.NS"/>
    <n v="1330.846762929749"/>
    <n v="1340.80074021419"/>
    <n v="1328.0596006867011"/>
    <n v="1337.9140625"/>
    <n v="15313779"/>
    <n v="-0.21"/>
    <n v="2.89"/>
    <x v="7"/>
    <s v="Q2-2026"/>
  </r>
  <r>
    <d v="2026-04-15T00:00:00"/>
    <x v="1"/>
    <s v="TCS.NS"/>
    <n v="2454.9699887251031"/>
    <n v="2510.9990192902542"/>
    <n v="2446.6294292628259"/>
    <n v="2506.975830078125"/>
    <n v="5261384"/>
    <n v="-0.34"/>
    <n v="4.0199999999999996"/>
    <x v="7"/>
    <s v="Q2-2026"/>
  </r>
  <r>
    <d v="2026-04-15T00:00:00"/>
    <x v="2"/>
    <s v="INFY.NS"/>
    <n v="1278.631284802942"/>
    <n v="1294.4881045276461"/>
    <n v="1272.954086909795"/>
    <n v="1277.652465820312"/>
    <n v="12098912"/>
    <n v="-0.44"/>
    <n v="16.84"/>
    <x v="7"/>
    <s v="Q2-2026"/>
  </r>
  <r>
    <d v="2026-04-15T00:00:00"/>
    <x v="3"/>
    <s v="HDFCBANK.NS"/>
    <n v="791.85318254315689"/>
    <n v="801.54289544136714"/>
    <n v="790.91862738049531"/>
    <n v="796.72265625"/>
    <n v="39769515"/>
    <n v="-0.12"/>
    <n v="4.82"/>
    <x v="7"/>
    <s v="Q2-2026"/>
  </r>
  <r>
    <d v="2026-04-15T00:00:00"/>
    <x v="4"/>
    <s v="ICICIBANK.NS"/>
    <n v="1346.6470940048271"/>
    <n v="1353.3902942945811"/>
    <n v="1326.8142943876719"/>
    <n v="1336.829833984375"/>
    <n v="23827473"/>
    <n v="-1.47"/>
    <n v="16.559999999999999"/>
    <x v="7"/>
    <s v="Q2-2026"/>
  </r>
  <r>
    <d v="2026-04-15T00:00:00"/>
    <x v="5"/>
    <s v="WIPRO.NS"/>
    <n v="204.1682443539207"/>
    <n v="208.11319552342101"/>
    <n v="202.78405890137151"/>
    <n v="207.38154602050781"/>
    <n v="27890080"/>
    <n v="-0.68"/>
    <n v="0.73"/>
    <x v="7"/>
    <s v="Q2-2026"/>
  </r>
  <r>
    <d v="2026-04-15T00:00:00"/>
    <x v="6"/>
    <s v="HCLTECH.NS"/>
    <n v="1403.5262800644291"/>
    <n v="1432.568127842771"/>
    <n v="1395.85299848776"/>
    <n v="1409.6455078125"/>
    <n v="3993858"/>
    <n v="-0.55000000000000004"/>
    <n v="22.92"/>
    <x v="7"/>
    <s v="Q2-2026"/>
  </r>
  <r>
    <d v="2026-04-15T00:00:00"/>
    <x v="7"/>
    <s v="BAJFINANCE.NS"/>
    <n v="919.3485600943784"/>
    <n v="919.3485600943784"/>
    <n v="905.53346016968101"/>
    <n v="907.57098388671875"/>
    <n v="5975197"/>
    <n v="-1.5"/>
    <n v="11.78"/>
    <x v="7"/>
    <s v="Q2-2026"/>
  </r>
  <r>
    <d v="2026-04-15T00:00:00"/>
    <x v="8"/>
    <s v="MARUTI.NS"/>
    <n v="13118.25301794482"/>
    <n v="13339.035691378909"/>
    <n v="13068.75017636767"/>
    <n v="13156.865234375"/>
    <n v="699458"/>
    <n v="-0.38"/>
    <n v="182.17"/>
    <x v="7"/>
    <s v="Q2-2026"/>
  </r>
  <r>
    <d v="2026-04-15T00:00:00"/>
    <x v="9"/>
    <s v="TMPV.NS"/>
    <n v="349.15365802659522"/>
    <n v="359.12099442208807"/>
    <n v="346.37670584865691"/>
    <n v="354.95553588867188"/>
    <n v="12495093"/>
    <n v="-0.8"/>
    <n v="4.17"/>
    <x v="7"/>
    <s v="Q2-2026"/>
  </r>
  <r>
    <d v="2026-04-15T00:00:00"/>
    <x v="10"/>
    <s v="SUNPHARMA.NS"/>
    <n v="1670.6216466368751"/>
    <n v="1694.7583405325699"/>
    <n v="1653.366819138284"/>
    <n v="1692.165161132812"/>
    <n v="3760449"/>
    <n v="-1.03"/>
    <n v="2.59"/>
    <x v="7"/>
    <s v="Q2-2026"/>
  </r>
  <r>
    <d v="2026-04-15T00:00:00"/>
    <x v="11"/>
    <s v="ASIANPAINT.NS"/>
    <n v="2379.852351350899"/>
    <n v="2405.133015778913"/>
    <n v="2360.520078553006"/>
    <n v="2402.258056640625"/>
    <n v="1182431"/>
    <n v="-0.81"/>
    <n v="2.87"/>
    <x v="7"/>
    <s v="Q2-2026"/>
  </r>
  <r>
    <d v="2026-04-15T00:00:00"/>
    <x v="12"/>
    <s v="HINDUNILVR.NS"/>
    <n v="2119.3429606745322"/>
    <n v="2146.170184655668"/>
    <n v="2119.3429606745322"/>
    <n v="2135.875"/>
    <n v="1552971"/>
    <n v="0"/>
    <n v="10.3"/>
    <x v="7"/>
    <s v="Q2-2026"/>
  </r>
  <r>
    <d v="2026-04-15T00:00:00"/>
    <x v="13"/>
    <s v="LT.NS"/>
    <n v="4006.2693514998941"/>
    <n v="4064.3026191378149"/>
    <n v="3992.1078666937128"/>
    <n v="4036.87060546875"/>
    <n v="4562142"/>
    <n v="-0.35"/>
    <n v="27.43"/>
    <x v="7"/>
    <s v="Q2-2026"/>
  </r>
  <r>
    <d v="2026-04-15T00:00:00"/>
    <x v="14"/>
    <s v="AXISBANK.NS"/>
    <n v="1365.9465823734611"/>
    <n v="1383.4330967783881"/>
    <n v="1347.9604532712499"/>
    <n v="1354.455444335938"/>
    <n v="6789879"/>
    <n v="-1.32"/>
    <n v="28.98"/>
    <x v="7"/>
    <s v="Q2-2026"/>
  </r>
  <r>
    <d v="2026-04-16T00:00:00"/>
    <x v="0"/>
    <s v="RELIANCE.NS"/>
    <n v="1345.777709360166"/>
    <n v="1347.5694738488121"/>
    <n v="1323.8789596516419"/>
    <n v="1337.117797851562"/>
    <n v="30211012"/>
    <n v="-1.63"/>
    <n v="10.45"/>
    <x v="7"/>
    <s v="Q2-2026"/>
  </r>
  <r>
    <d v="2026-04-16T00:00:00"/>
    <x v="1"/>
    <s v="TCS.NS"/>
    <n v="2523.754997213638"/>
    <n v="2545.34232611671"/>
    <n v="2510.0176060935009"/>
    <n v="2528.56298828125"/>
    <n v="3905403"/>
    <n v="-0.54"/>
    <n v="16.78"/>
    <x v="7"/>
    <s v="Q2-2026"/>
  </r>
  <r>
    <d v="2026-04-16T00:00:00"/>
    <x v="2"/>
    <s v="INFY.NS"/>
    <n v="1294.0965334739731"/>
    <n v="1302.8080461846271"/>
    <n v="1281.2740288923189"/>
    <n v="1291.257934570312"/>
    <n v="18527029"/>
    <n v="-0.99"/>
    <n v="11.55"/>
    <x v="7"/>
    <s v="Q2-2026"/>
  </r>
  <r>
    <d v="2026-04-16T00:00:00"/>
    <x v="3"/>
    <s v="HDFCBANK.NS"/>
    <n v="804.69084276240608"/>
    <n v="806.70747650907686"/>
    <n v="779.31063014579991"/>
    <n v="782.50775146484375"/>
    <n v="62861293"/>
    <n v="-3.15"/>
    <n v="24.2"/>
    <x v="7"/>
    <s v="Q2-2026"/>
  </r>
  <r>
    <d v="2026-04-16T00:00:00"/>
    <x v="4"/>
    <s v="ICICIBANK.NS"/>
    <n v="1340.6972467542271"/>
    <n v="1355.472706597795"/>
    <n v="1328.9958466244691"/>
    <n v="1334.251586914062"/>
    <n v="24017236"/>
    <n v="-0.87"/>
    <n v="21.22"/>
    <x v="7"/>
    <s v="Q2-2026"/>
  </r>
  <r>
    <d v="2026-04-16T00:00:00"/>
    <x v="5"/>
    <s v="WIPRO.NS"/>
    <n v="210.57506011256089"/>
    <n v="210.57506011256089"/>
    <n v="205.85893304222711"/>
    <n v="207.8857727050781"/>
    <n v="36305074"/>
    <n v="-2.2400000000000002"/>
    <n v="2.69"/>
    <x v="7"/>
    <s v="Q2-2026"/>
  </r>
  <r>
    <d v="2026-04-16T00:00:00"/>
    <x v="6"/>
    <s v="HCLTECH.NS"/>
    <n v="1418.095921915401"/>
    <n v="1426.546172105606"/>
    <n v="1393.910563643363"/>
    <n v="1408.5771484375"/>
    <n v="5229848"/>
    <n v="-1.71"/>
    <n v="17.97"/>
    <x v="7"/>
    <s v="Q2-2026"/>
  </r>
  <r>
    <d v="2026-04-16T00:00:00"/>
    <x v="7"/>
    <s v="BAJFINANCE.NS"/>
    <n v="913.38523477479782"/>
    <n v="926.90211931613953"/>
    <n v="898.47687947379461"/>
    <n v="900.36529541015625"/>
    <n v="11805227"/>
    <n v="-1.63"/>
    <n v="26.54"/>
    <x v="7"/>
    <s v="Q2-2026"/>
  </r>
  <r>
    <d v="2026-04-16T00:00:00"/>
    <x v="8"/>
    <s v="MARUTI.NS"/>
    <n v="13246.95978188273"/>
    <n v="13301.41290505191"/>
    <n v="13105.381661642879"/>
    <n v="13202.4072265625"/>
    <n v="527309"/>
    <n v="-1.07"/>
    <n v="99.01"/>
    <x v="7"/>
    <s v="Q2-2026"/>
  </r>
  <r>
    <d v="2026-04-16T00:00:00"/>
    <x v="9"/>
    <s v="TMPV.NS"/>
    <n v="357.03825480902401"/>
    <n v="357.03825480902401"/>
    <n v="351.1868005751777"/>
    <n v="353.36868286132813"/>
    <n v="6871023"/>
    <n v="-1.64"/>
    <n v="3.67"/>
    <x v="7"/>
    <s v="Q2-2026"/>
  </r>
  <r>
    <d v="2026-04-16T00:00:00"/>
    <x v="10"/>
    <s v="SUNPHARMA.NS"/>
    <n v="1709.41999518632"/>
    <n v="1709.41999518632"/>
    <n v="1662.243585776017"/>
    <n v="1688.67431640625"/>
    <n v="4512633"/>
    <n v="-2.76"/>
    <n v="20.75"/>
    <x v="7"/>
    <s v="Q2-2026"/>
  </r>
  <r>
    <d v="2026-04-16T00:00:00"/>
    <x v="11"/>
    <s v="ASIANPAINT.NS"/>
    <n v="2414.055597591268"/>
    <n v="2425.5559181989379"/>
    <n v="2390.8569671041969"/>
    <n v="2419.31005859375"/>
    <n v="1496210"/>
    <n v="-0.96"/>
    <n v="6.25"/>
    <x v="7"/>
    <s v="Q2-2026"/>
  </r>
  <r>
    <d v="2026-04-16T00:00:00"/>
    <x v="12"/>
    <s v="HINDUNILVR.NS"/>
    <n v="2136.2708765847569"/>
    <n v="2141.913434363456"/>
    <n v="2107.6619703228948"/>
    <n v="2117.561279296875"/>
    <n v="1845734"/>
    <n v="-1.34"/>
    <n v="24.35"/>
    <x v="7"/>
    <s v="Q2-2026"/>
  </r>
  <r>
    <d v="2026-04-16T00:00:00"/>
    <x v="13"/>
    <s v="LT.NS"/>
    <n v="4088.0703386726868"/>
    <n v="4108.8672081281447"/>
    <n v="4049.4475811125531"/>
    <n v="4079.949462890625"/>
    <n v="5092608"/>
    <n v="-0.94"/>
    <n v="28.92"/>
    <x v="7"/>
    <s v="Q2-2026"/>
  </r>
  <r>
    <d v="2026-04-16T00:00:00"/>
    <x v="14"/>
    <s v="AXISBANK.NS"/>
    <n v="1360.950405135781"/>
    <n v="1363.4484785666471"/>
    <n v="1341.9650470612"/>
    <n v="1348.559936523438"/>
    <n v="5232398"/>
    <n v="-1.4"/>
    <n v="14.89"/>
    <x v="7"/>
    <s v="Q2-2026"/>
  </r>
  <r>
    <d v="2026-04-17T00:00:00"/>
    <x v="0"/>
    <s v="RELIANCE.NS"/>
    <n v="1333.8329523666439"/>
    <n v="1362.1022720767139"/>
    <n v="1333.8329523666439"/>
    <n v="1358.717895507812"/>
    <n v="13869105"/>
    <n v="0"/>
    <n v="3.38"/>
    <x v="7"/>
    <s v="Q2-2026"/>
  </r>
  <r>
    <d v="2026-04-17T00:00:00"/>
    <x v="1"/>
    <s v="TCS.NS"/>
    <n v="2521.7923752088182"/>
    <n v="2540.4359764263149"/>
    <n v="2507.956764796666"/>
    <n v="2533.07666015625"/>
    <n v="2718206"/>
    <n v="-0.55000000000000004"/>
    <n v="7.36"/>
    <x v="7"/>
    <s v="Q2-2026"/>
  </r>
  <r>
    <d v="2026-04-17T00:00:00"/>
    <x v="2"/>
    <s v="INFY.NS"/>
    <n v="1285.1893342368039"/>
    <n v="1300.1653125819739"/>
    <n v="1278.4354593069279"/>
    <n v="1290.7685546875"/>
    <n v="12064048"/>
    <n v="-0.53"/>
    <n v="9.4"/>
    <x v="7"/>
    <s v="Q2-2026"/>
  </r>
  <r>
    <d v="2026-04-17T00:00:00"/>
    <x v="3"/>
    <s v="HDFCBANK.NS"/>
    <n v="777.2447773125524"/>
    <n v="790.86946907557842"/>
    <n v="775.3757269911107"/>
    <n v="786.8853759765625"/>
    <n v="37282544"/>
    <n v="-0.24"/>
    <n v="3.98"/>
    <x v="7"/>
    <s v="Q2-2026"/>
  </r>
  <r>
    <d v="2026-04-17T00:00:00"/>
    <x v="4"/>
    <s v="ICICIBANK.NS"/>
    <n v="1335.739051060157"/>
    <n v="1341.5897511433579"/>
    <n v="1322.8477313394581"/>
    <n v="1335.540771484375"/>
    <n v="18151993"/>
    <n v="-0.97"/>
    <n v="6.05"/>
    <x v="7"/>
    <s v="Q2-2026"/>
  </r>
  <r>
    <d v="2026-04-17T00:00:00"/>
    <x v="5"/>
    <s v="WIPRO.NS"/>
    <n v="202.6851774819952"/>
    <n v="204.11880132981381"/>
    <n v="200.21340702489769"/>
    <n v="202.01286315917969"/>
    <n v="80542603"/>
    <n v="-1.22"/>
    <n v="2.11"/>
    <x v="7"/>
    <s v="Q2-2026"/>
  </r>
  <r>
    <d v="2026-04-17T00:00:00"/>
    <x v="6"/>
    <s v="HCLTECH.NS"/>
    <n v="1401.8751070484179"/>
    <n v="1416.1531469053491"/>
    <n v="1388.9567901746559"/>
    <n v="1400.90380859375"/>
    <n v="3319268"/>
    <n v="-0.92"/>
    <n v="15.25"/>
    <x v="7"/>
    <s v="Q2-2026"/>
  </r>
  <r>
    <d v="2026-04-17T00:00:00"/>
    <x v="7"/>
    <s v="BAJFINANCE.NS"/>
    <n v="896.63822074777124"/>
    <n v="904.88749867884405"/>
    <n v="890.32698050663873"/>
    <n v="902.700927734375"/>
    <n v="6035241"/>
    <n v="-0.7"/>
    <n v="2.19"/>
    <x v="7"/>
    <s v="Q2-2026"/>
  </r>
  <r>
    <d v="2026-04-17T00:00:00"/>
    <x v="8"/>
    <s v="MARUTI.NS"/>
    <n v="13167.75568181818"/>
    <n v="13511.30539772727"/>
    <n v="13124.19318181818"/>
    <n v="13319.234375"/>
    <n v="549308"/>
    <n v="-0.33"/>
    <n v="192.07"/>
    <x v="7"/>
    <s v="Q2-2026"/>
  </r>
  <r>
    <d v="2026-04-17T00:00:00"/>
    <x v="9"/>
    <s v="TMPV.NS"/>
    <n v="349.15366063428422"/>
    <n v="358.37716737959011"/>
    <n v="349.10408409257923"/>
    <n v="357.137451171875"/>
    <n v="7314044"/>
    <n v="-0.01"/>
    <n v="1.24"/>
    <x v="7"/>
    <s v="Q2-2026"/>
  </r>
  <r>
    <d v="2026-04-17T00:00:00"/>
    <x v="10"/>
    <s v="SUNPHARMA.NS"/>
    <n v="1692.4644475896939"/>
    <n v="1692.4644475896939"/>
    <n v="1666.1334309750121"/>
    <n v="1671.120361328125"/>
    <n v="3146482"/>
    <n v="-1.56"/>
    <n v="21.34"/>
    <x v="7"/>
    <s v="Q2-2026"/>
  </r>
  <r>
    <d v="2026-04-17T00:00:00"/>
    <x v="11"/>
    <s v="ASIANPAINT.NS"/>
    <n v="2404.141606912985"/>
    <n v="2464.7161582374529"/>
    <n v="2396.7061174070682"/>
    <n v="2442.80615234375"/>
    <n v="1286575"/>
    <n v="-0.31"/>
    <n v="21.91"/>
    <x v="7"/>
    <s v="Q2-2026"/>
  </r>
  <r>
    <d v="2026-04-17T00:00:00"/>
    <x v="12"/>
    <s v="HINDUNILVR.NS"/>
    <n v="2120.4318458384041"/>
    <n v="2222.3947217120531"/>
    <n v="2111.5224683348811"/>
    <n v="2218.237060546875"/>
    <n v="4882697"/>
    <n v="-0.42"/>
    <n v="4.16"/>
    <x v="7"/>
    <s v="Q2-2026"/>
  </r>
  <r>
    <d v="2026-04-17T00:00:00"/>
    <x v="13"/>
    <s v="LT.NS"/>
    <n v="4094.012304958997"/>
    <n v="4102.8261195957284"/>
    <n v="4033.404333705842"/>
    <n v="4056.47900390625"/>
    <n v="2796673"/>
    <n v="-1.48"/>
    <n v="46.35"/>
    <x v="7"/>
    <s v="Q2-2026"/>
  </r>
  <r>
    <d v="2026-04-17T00:00:00"/>
    <x v="14"/>
    <s v="AXISBANK.NS"/>
    <n v="1351.9573375432369"/>
    <n v="1363.2486782141759"/>
    <n v="1343.0641717554281"/>
    <n v="1358.052612304688"/>
    <n v="4062181"/>
    <n v="-0.66"/>
    <n v="5.2"/>
    <x v="7"/>
    <s v="Q2-2026"/>
  </r>
  <r>
    <d v="2026-04-20T00:00:00"/>
    <x v="0"/>
    <s v="RELIANCE.NS"/>
    <n v="1356.926119857382"/>
    <n v="1366.681066092033"/>
    <n v="1346.5740808024591"/>
    <n v="1357.025756835938"/>
    <n v="13614733"/>
    <n v="-0.76"/>
    <n v="9.66"/>
    <x v="7"/>
    <s v="Q2-2026"/>
  </r>
  <r>
    <d v="2026-04-20T00:00:00"/>
    <x v="1"/>
    <s v="TCS.NS"/>
    <n v="2538.5719634831148"/>
    <n v="2545.3424392975162"/>
    <n v="2513.1576450441398"/>
    <n v="2531.212646484375"/>
    <n v="2288558"/>
    <n v="-1"/>
    <n v="14.13"/>
    <x v="7"/>
    <s v="Q2-2026"/>
  </r>
  <r>
    <d v="2026-04-20T00:00:00"/>
    <x v="2"/>
    <s v="INFY.NS"/>
    <n v="1292.0410136169869"/>
    <n v="1296.837250367513"/>
    <n v="1280.3930442184931"/>
    <n v="1284.797729492188"/>
    <n v="7172300"/>
    <n v="-0.9"/>
    <n v="12.04"/>
    <x v="7"/>
    <s v="Q2-2026"/>
  </r>
  <r>
    <d v="2026-04-20T00:00:00"/>
    <x v="3"/>
    <s v="HDFCBANK.NS"/>
    <n v="784.13086934002604"/>
    <n v="796.77183119596214"/>
    <n v="777.14641293679801"/>
    <n v="782.50775146484375"/>
    <n v="52148044"/>
    <n v="-0.89"/>
    <n v="14.26"/>
    <x v="7"/>
    <s v="Q2-2026"/>
  </r>
  <r>
    <d v="2026-04-20T00:00:00"/>
    <x v="4"/>
    <s v="ICICIBANK.NS"/>
    <n v="1353.2910001768839"/>
    <n v="1364.893260297481"/>
    <n v="1341.6888611060861"/>
    <n v="1344.862060546875"/>
    <n v="21551520"/>
    <n v="-0.86"/>
    <n v="20.03"/>
    <x v="7"/>
    <s v="Q2-2026"/>
  </r>
  <r>
    <d v="2026-04-20T00:00:00"/>
    <x v="5"/>
    <s v="WIPRO.NS"/>
    <n v="202.19082884058901"/>
    <n v="202.88292156993359"/>
    <n v="199.71905831686539"/>
    <n v="200.1936340332031"/>
    <n v="27927164"/>
    <n v="-1.22"/>
    <n v="2.69"/>
    <x v="7"/>
    <s v="Q2-2026"/>
  </r>
  <r>
    <d v="2026-04-20T00:00:00"/>
    <x v="6"/>
    <s v="HCLTECH.NS"/>
    <n v="1404.4006171427261"/>
    <n v="1410.228408525654"/>
    <n v="1383.129154881693"/>
    <n v="1387.305786132812"/>
    <n v="2352656"/>
    <n v="-1.51"/>
    <n v="22.92"/>
    <x v="7"/>
    <s v="Q2-2026"/>
  </r>
  <r>
    <d v="2026-04-20T00:00:00"/>
    <x v="7"/>
    <s v="BAJFINANCE.NS"/>
    <n v="902.70092482477207"/>
    <n v="915.27366221825423"/>
    <n v="892.51354857434114"/>
    <n v="912.14288330078125"/>
    <n v="6184179"/>
    <n v="-1.1299999999999999"/>
    <n v="3.13"/>
    <x v="7"/>
    <s v="Q2-2026"/>
  </r>
  <r>
    <d v="2026-04-20T00:00:00"/>
    <x v="8"/>
    <s v="MARUTI.NS"/>
    <n v="13340.025034560869"/>
    <n v="13398.43838449698"/>
    <n v="13196.466801667049"/>
    <n v="13316.263671875"/>
    <n v="348629"/>
    <n v="-1.08"/>
    <n v="82.17"/>
    <x v="7"/>
    <s v="Q2-2026"/>
  </r>
  <r>
    <d v="2026-04-20T00:00:00"/>
    <x v="9"/>
    <s v="TMPV.NS"/>
    <n v="354.36046363299522"/>
    <n v="356.83989601292518"/>
    <n v="349.59996557013301"/>
    <n v="352.77365112304688"/>
    <n v="7216605"/>
    <n v="-1.34"/>
    <n v="4.07"/>
    <x v="7"/>
    <s v="Q2-2026"/>
  </r>
  <r>
    <d v="2026-04-20T00:00:00"/>
    <x v="10"/>
    <s v="SUNPHARMA.NS"/>
    <n v="1675.6085061778799"/>
    <n v="1675.6085061778799"/>
    <n v="1660.647715944149"/>
    <n v="1664.23828125"/>
    <n v="1834532"/>
    <n v="-0.89"/>
    <n v="11.37"/>
    <x v="7"/>
    <s v="Q2-2026"/>
  </r>
  <r>
    <d v="2026-04-20T00:00:00"/>
    <x v="11"/>
    <s v="ASIANPAINT.NS"/>
    <n v="2448.754595703695"/>
    <n v="2502.0918899615722"/>
    <n v="2435.3707143101728"/>
    <n v="2495.152099609375"/>
    <n v="1203157"/>
    <n v="-0.55000000000000004"/>
    <n v="6.94"/>
    <x v="7"/>
    <s v="Q2-2026"/>
  </r>
  <r>
    <d v="2026-04-20T00:00:00"/>
    <x v="12"/>
    <s v="HINDUNILVR.NS"/>
    <n v="2218.237167251717"/>
    <n v="2230.7101513472421"/>
    <n v="2200.8142870671272"/>
    <n v="2209.03076171875"/>
    <n v="1460822"/>
    <n v="-0.79"/>
    <n v="21.68"/>
    <x v="7"/>
    <s v="Q2-2026"/>
  </r>
  <r>
    <d v="2026-04-20T00:00:00"/>
    <x v="13"/>
    <s v="LT.NS"/>
    <n v="4060.341214698145"/>
    <n v="4090.0510284642291"/>
    <n v="3985.0763531573989"/>
    <n v="4011.815185546875"/>
    <n v="3545024"/>
    <n v="-1.85"/>
    <n v="78.239999999999995"/>
    <x v="7"/>
    <s v="Q2-2026"/>
  </r>
  <r>
    <d v="2026-04-20T00:00:00"/>
    <x v="14"/>
    <s v="AXISBANK.NS"/>
    <n v="1358.452355721932"/>
    <n v="1372.941181877113"/>
    <n v="1346.961217736789"/>
    <n v="1353.656005859375"/>
    <n v="4878641"/>
    <n v="-0.85"/>
    <n v="19.29"/>
    <x v="7"/>
    <s v="Q2-2026"/>
  </r>
  <r>
    <d v="2026-04-21T00:00:00"/>
    <x v="0"/>
    <s v="RELIANCE.NS"/>
    <n v="1352.745495720188"/>
    <n v="1363.4958396538179"/>
    <n v="1343.886431748206"/>
    <n v="1347.07177734375"/>
    <n v="27293629"/>
    <n v="-0.65"/>
    <n v="16.420000000000002"/>
    <x v="7"/>
    <s v="Q2-2026"/>
  </r>
  <r>
    <d v="2026-04-21T00:00:00"/>
    <x v="1"/>
    <s v="TCS.NS"/>
    <n v="2511.9802240950012"/>
    <n v="2564.967306947005"/>
    <n v="2511.9802240950012"/>
    <n v="2561.532958984375"/>
    <n v="2719959"/>
    <n v="0"/>
    <n v="3.43"/>
    <x v="7"/>
    <s v="Q2-2026"/>
  </r>
  <r>
    <d v="2026-04-21T00:00:00"/>
    <x v="2"/>
    <s v="INFY.NS"/>
    <n v="1282.2528368892561"/>
    <n v="1296.935121281118"/>
    <n v="1271.779521816956"/>
    <n v="1285.385009765625"/>
    <n v="10057440"/>
    <n v="-0.82"/>
    <n v="11.55"/>
    <x v="7"/>
    <s v="Q2-2026"/>
  </r>
  <r>
    <d v="2026-04-21T00:00:00"/>
    <x v="3"/>
    <s v="HDFCBANK.NS"/>
    <n v="782.26182784322759"/>
    <n v="801.64131391093406"/>
    <n v="782.26182784322759"/>
    <n v="798.54254150390625"/>
    <n v="49135752"/>
    <n v="0"/>
    <n v="3.1"/>
    <x v="7"/>
    <s v="Q2-2026"/>
  </r>
  <r>
    <d v="2026-04-21T00:00:00"/>
    <x v="4"/>
    <s v="ICICIBANK.NS"/>
    <n v="1356.5634890022859"/>
    <n v="1381.4536282235811"/>
    <n v="1348.630369183559"/>
    <n v="1376.79296875"/>
    <n v="23312455"/>
    <n v="-0.57999999999999996"/>
    <n v="4.66"/>
    <x v="7"/>
    <s v="Q2-2026"/>
  </r>
  <r>
    <d v="2026-04-21T00:00:00"/>
    <x v="5"/>
    <s v="WIPRO.NS"/>
    <n v="200.70777025254301"/>
    <n v="203.3772794504265"/>
    <n v="200.19363774984629"/>
    <n v="202.695068359375"/>
    <n v="21530723"/>
    <n v="-0.26"/>
    <n v="0.68"/>
    <x v="7"/>
    <s v="Q2-2026"/>
  </r>
  <r>
    <d v="2026-04-21T00:00:00"/>
    <x v="6"/>
    <s v="HCLTECH.NS"/>
    <n v="1388.9569526803889"/>
    <n v="1413.239416888088"/>
    <n v="1381.575107274592"/>
    <n v="1399.83544921875"/>
    <n v="3091487"/>
    <n v="-0.53"/>
    <n v="13.4"/>
    <x v="7"/>
    <s v="Q2-2026"/>
  </r>
  <r>
    <d v="2026-04-21T00:00:00"/>
    <x v="7"/>
    <s v="BAJFINANCE.NS"/>
    <n v="913.88219817973049"/>
    <n v="940.17061068396379"/>
    <n v="913.38525299311846"/>
    <n v="933.11395263671875"/>
    <n v="6713975"/>
    <n v="-0.05"/>
    <n v="7.06"/>
    <x v="7"/>
    <s v="Q2-2026"/>
  </r>
  <r>
    <d v="2026-04-21T00:00:00"/>
    <x v="8"/>
    <s v="MARUTI.NS"/>
    <n v="13322.204012981951"/>
    <n v="13408.33895272106"/>
    <n v="13287.55202573058"/>
    <n v="13327.154296875"/>
    <n v="292879"/>
    <n v="-0.26"/>
    <n v="81.180000000000007"/>
    <x v="7"/>
    <s v="Q2-2026"/>
  </r>
  <r>
    <d v="2026-04-21T00:00:00"/>
    <x v="9"/>
    <s v="TMPV.NS"/>
    <n v="351.08762232219817"/>
    <n v="355.94730369652018"/>
    <n v="350.54215930937443"/>
    <n v="352.97198486328119"/>
    <n v="5922373"/>
    <n v="-0.16"/>
    <n v="2.98"/>
    <x v="7"/>
    <s v="Q2-2026"/>
  </r>
  <r>
    <d v="2026-04-21T00:00:00"/>
    <x v="10"/>
    <s v="SUNPHARMA.NS"/>
    <n v="1662.841940028165"/>
    <n v="1678.5009737453111"/>
    <n v="1655.5610950620339"/>
    <n v="1660.84716796875"/>
    <n v="3631490"/>
    <n v="-0.44"/>
    <n v="17.649999999999999"/>
    <x v="7"/>
    <s v="Q2-2026"/>
  </r>
  <r>
    <d v="2026-04-21T00:00:00"/>
    <x v="11"/>
    <s v="ASIANPAINT.NS"/>
    <n v="2494.656448384103"/>
    <n v="2559.7912906799452"/>
    <n v="2492.0787151016139"/>
    <n v="2521.7216796875"/>
    <n v="1681872"/>
    <n v="-0.1"/>
    <n v="38.07"/>
    <x v="7"/>
    <s v="Q2-2026"/>
  </r>
  <r>
    <d v="2026-04-21T00:00:00"/>
    <x v="12"/>
    <s v="HINDUNILVR.NS"/>
    <n v="2216.1580861785019"/>
    <n v="2312.181376055642"/>
    <n v="2204.7738817085319"/>
    <n v="2287.43310546875"/>
    <n v="3217281"/>
    <n v="-0.51"/>
    <n v="24.75"/>
    <x v="7"/>
    <s v="Q2-2026"/>
  </r>
  <r>
    <d v="2026-04-21T00:00:00"/>
    <x v="13"/>
    <s v="LT.NS"/>
    <n v="3999.9311938449291"/>
    <n v="4052.2205135637091"/>
    <n v="3992.9989040809"/>
    <n v="4035.97900390625"/>
    <n v="2426718"/>
    <n v="-0.17"/>
    <n v="16.239999999999998"/>
    <x v="7"/>
    <s v="Q2-2026"/>
  </r>
  <r>
    <d v="2026-04-21T00:00:00"/>
    <x v="14"/>
    <s v="AXISBANK.NS"/>
    <n v="1359.951223352441"/>
    <n v="1379.236399704072"/>
    <n v="1353.6560292958729"/>
    <n v="1376.638305664062"/>
    <n v="5145338"/>
    <n v="-0.46"/>
    <n v="2.6"/>
    <x v="7"/>
    <s v="Q2-2026"/>
  </r>
  <r>
    <d v="2026-04-22T00:00:00"/>
    <x v="0"/>
    <s v="RELIANCE.NS"/>
    <n v="1344.0855568558529"/>
    <n v="1359.7132520720179"/>
    <n v="1342.891006716131"/>
    <n v="1355.831176757812"/>
    <n v="9525953"/>
    <n v="-0.09"/>
    <n v="3.88"/>
    <x v="7"/>
    <s v="Q2-2026"/>
  </r>
  <r>
    <d v="2026-04-22T00:00:00"/>
    <x v="1"/>
    <s v="TCS.NS"/>
    <n v="2531.605099822114"/>
    <n v="2531.605099822114"/>
    <n v="2456.638284938645"/>
    <n v="2490.883544921875"/>
    <n v="5232045"/>
    <n v="-2.96"/>
    <n v="40.72"/>
    <x v="7"/>
    <s v="Q2-2026"/>
  </r>
  <r>
    <d v="2026-04-22T00:00:00"/>
    <x v="2"/>
    <s v="INFY.NS"/>
    <n v="1267.5705813427951"/>
    <n v="1270.213344799575"/>
    <n v="1229.298783054026"/>
    <n v="1241.729736328125"/>
    <n v="20088378"/>
    <n v="-3.02"/>
    <n v="28.48"/>
    <x v="7"/>
    <s v="Q2-2026"/>
  </r>
  <r>
    <d v="2026-04-22T00:00:00"/>
    <x v="3"/>
    <s v="HDFCBANK.NS"/>
    <n v="796.82102148690763"/>
    <n v="799.82138492976685"/>
    <n v="785.01626561302749"/>
    <n v="786.8853759765625"/>
    <n v="23876412"/>
    <n v="-1.48"/>
    <n v="12.94"/>
    <x v="7"/>
    <s v="Q2-2026"/>
  </r>
  <r>
    <d v="2026-04-22T00:00:00"/>
    <x v="4"/>
    <s v="ICICIBANK.NS"/>
    <n v="1368.463107425001"/>
    <n v="1368.562247208333"/>
    <n v="1353.5885084312511"/>
    <n v="1356.166748046875"/>
    <n v="13613487"/>
    <n v="-1.0900000000000001"/>
    <n v="12.4"/>
    <x v="7"/>
    <s v="Q2-2026"/>
  </r>
  <r>
    <d v="2026-04-22T00:00:00"/>
    <x v="5"/>
    <s v="WIPRO.NS"/>
    <n v="201.20211806951781"/>
    <n v="203.06089430737001"/>
    <n v="199.9167943962475"/>
    <n v="201.69647216796881"/>
    <n v="21790433"/>
    <n v="-0.64"/>
    <n v="1.36"/>
    <x v="7"/>
    <s v="Q2-2026"/>
  </r>
  <r>
    <d v="2026-04-22T00:00:00"/>
    <x v="6"/>
    <s v="HCLTECH.NS"/>
    <n v="1306.396508350414"/>
    <n v="1319.0233891002699"/>
    <n v="1244.233403120357"/>
    <n v="1248.410034179688"/>
    <n v="33066256"/>
    <n v="-4.76"/>
    <n v="70.61"/>
    <x v="7"/>
    <s v="Q2-2026"/>
  </r>
  <r>
    <d v="2026-04-22T00:00:00"/>
    <x v="7"/>
    <s v="BAJFINANCE.NS"/>
    <n v="932.26914509122594"/>
    <n v="940.56810522026069"/>
    <n v="924.46713013548083"/>
    <n v="929.03900146484375"/>
    <n v="5759028"/>
    <n v="-0.84"/>
    <n v="11.53"/>
    <x v="7"/>
    <s v="Q2-2026"/>
  </r>
  <r>
    <d v="2026-04-22T00:00:00"/>
    <x v="8"/>
    <s v="MARUTI.NS"/>
    <n v="13318.24422863791"/>
    <n v="13395.46865993688"/>
    <n v="13167.755593286071"/>
    <n v="13204.3876953125"/>
    <n v="434640"/>
    <n v="-1.1299999999999999"/>
    <n v="191.08"/>
    <x v="7"/>
    <s v="Q2-2026"/>
  </r>
  <r>
    <d v="2026-04-22T00:00:00"/>
    <x v="9"/>
    <s v="TMPV.NS"/>
    <n v="352.52570606839049"/>
    <n v="364.92286790415449"/>
    <n v="350.49255336742021"/>
    <n v="358.873046875"/>
    <n v="14994313"/>
    <n v="-0.57999999999999996"/>
    <n v="6.05"/>
    <x v="7"/>
    <s v="Q2-2026"/>
  </r>
  <r>
    <d v="2026-04-22T00:00:00"/>
    <x v="10"/>
    <s v="SUNPHARMA.NS"/>
    <n v="1660.847229426962"/>
    <n v="1669.524561257251"/>
    <n v="1648.080760825027"/>
    <n v="1665.435302734375"/>
    <n v="2169514"/>
    <n v="-0.77"/>
    <n v="4.09"/>
    <x v="7"/>
    <s v="Q2-2026"/>
  </r>
  <r>
    <d v="2026-04-22T00:00:00"/>
    <x v="11"/>
    <s v="ASIANPAINT.NS"/>
    <n v="2478.4965913284491"/>
    <n v="2549.8772931587091"/>
    <n v="2478.4965913284491"/>
    <n v="2540.85546875"/>
    <n v="1126584"/>
    <n v="0"/>
    <n v="9.02"/>
    <x v="7"/>
    <s v="Q2-2026"/>
  </r>
  <r>
    <d v="2026-04-22T00:00:00"/>
    <x v="12"/>
    <s v="HINDUNILVR.NS"/>
    <n v="2287.1361356275661"/>
    <n v="2383.7534831109788"/>
    <n v="2287.1361356275661"/>
    <n v="2344.9482421875"/>
    <n v="5558325"/>
    <n v="0"/>
    <n v="38.81"/>
    <x v="7"/>
    <s v="Q2-2026"/>
  </r>
  <r>
    <d v="2026-04-22T00:00:00"/>
    <x v="13"/>
    <s v="LT.NS"/>
    <n v="4030.6314906487551"/>
    <n v="4030.6314906487551"/>
    <n v="3972.202188941561"/>
    <n v="3982.20458984375"/>
    <n v="2178082"/>
    <n v="-1.45"/>
    <n v="48.43"/>
    <x v="7"/>
    <s v="Q2-2026"/>
  </r>
  <r>
    <d v="2026-04-22T00:00:00"/>
    <x v="14"/>
    <s v="AXISBANK.NS"/>
    <n v="1368.9442873242861"/>
    <n v="1389.9281048672131"/>
    <n v="1364.947369697062"/>
    <n v="1378.536865234375"/>
    <n v="3997911"/>
    <n v="-0.28999999999999998"/>
    <n v="11.39"/>
    <x v="7"/>
    <s v="Q2-2026"/>
  </r>
  <r>
    <d v="2026-04-23T00:00:00"/>
    <x v="0"/>
    <s v="RELIANCE.NS"/>
    <n v="1339.8052948565"/>
    <n v="1349.2615729405541"/>
    <n v="1334.529638479888"/>
    <n v="1337.21728515625"/>
    <n v="16385079"/>
    <n v="-0.39"/>
    <n v="12.04"/>
    <x v="7"/>
    <s v="Q2-2026"/>
  </r>
  <r>
    <d v="2026-04-23T00:00:00"/>
    <x v="1"/>
    <s v="TCS.NS"/>
    <n v="2481.561722665821"/>
    <n v="2511.4896121641632"/>
    <n v="2469.0999936393869"/>
    <n v="2474.496826171875"/>
    <n v="2509050"/>
    <n v="-0.5"/>
    <n v="36.99"/>
    <x v="7"/>
    <s v="Q2-2026"/>
  </r>
  <r>
    <d v="2026-04-23T00:00:00"/>
    <x v="2"/>
    <s v="INFY.NS"/>
    <n v="1227.438951608261"/>
    <n v="1238.891085420282"/>
    <n v="1200.0320212693209"/>
    <n v="1214.32275390625"/>
    <n v="14792854"/>
    <n v="-2.23"/>
    <n v="24.57"/>
    <x v="7"/>
    <s v="Q2-2026"/>
  </r>
  <r>
    <d v="2026-04-23T00:00:00"/>
    <x v="3"/>
    <s v="HDFCBANK.NS"/>
    <n v="779.11387362177732"/>
    <n v="783.68824045722693"/>
    <n v="769.76844205686962"/>
    <n v="771.58831787109375"/>
    <n v="37677616"/>
    <n v="-1.2"/>
    <n v="12.1"/>
    <x v="7"/>
    <s v="Q2-2026"/>
  </r>
  <r>
    <d v="2026-04-23T00:00:00"/>
    <x v="4"/>
    <s v="ICICIBANK.NS"/>
    <n v="1337.127393098476"/>
    <n v="1342.6805528589809"/>
    <n v="1332.2683329143581"/>
    <n v="1336.730712890625"/>
    <n v="20111792"/>
    <n v="-0.36"/>
    <n v="5.95"/>
    <x v="7"/>
    <s v="Q2-2026"/>
  </r>
  <r>
    <d v="2026-04-23T00:00:00"/>
    <x v="5"/>
    <s v="WIPRO.NS"/>
    <n v="201.6964778731373"/>
    <n v="202.5863092409227"/>
    <n v="200.01567690815921"/>
    <n v="200.47047424316409"/>
    <n v="20307250"/>
    <n v="-0.83"/>
    <n v="2.12"/>
    <x v="7"/>
    <s v="Q2-2026"/>
  </r>
  <r>
    <d v="2026-04-23T00:00:00"/>
    <x v="6"/>
    <s v="HCLTECH.NS"/>
    <n v="1252.9751562640481"/>
    <n v="1257.1517875449499"/>
    <n v="1235.491781990597"/>
    <n v="1240.931030273438"/>
    <n v="8304759"/>
    <n v="-1.4"/>
    <n v="16.22"/>
    <x v="7"/>
    <s v="Q2-2026"/>
  </r>
  <r>
    <d v="2026-04-23T00:00:00"/>
    <x v="7"/>
    <s v="BAJFINANCE.NS"/>
    <n v="920.44184714275718"/>
    <n v="924.16893602924745"/>
    <n v="903.79418344976682"/>
    <n v="912.73919677734375"/>
    <n v="9143598"/>
    <n v="-1.81"/>
    <n v="11.43"/>
    <x v="7"/>
    <s v="Q2-2026"/>
  </r>
  <r>
    <d v="2026-04-23T00:00:00"/>
    <x v="8"/>
    <s v="MARUTI.NS"/>
    <n v="13118.252572752421"/>
    <n v="13225.17870693033"/>
    <n v="12994.495473009471"/>
    <n v="13029.1474609375"/>
    <n v="541086"/>
    <n v="-0.94"/>
    <n v="196.03"/>
    <x v="7"/>
    <s v="Q2-2026"/>
  </r>
  <r>
    <d v="2026-04-23T00:00:00"/>
    <x v="9"/>
    <s v="TMPV.NS"/>
    <n v="356.98868805216279"/>
    <n v="358.22840424866769"/>
    <n v="347.12053502138008"/>
    <n v="349.05450439453119"/>
    <n v="11374109"/>
    <n v="-2.76"/>
    <n v="9.17"/>
    <x v="7"/>
    <s v="Q2-2026"/>
  </r>
  <r>
    <d v="2026-04-23T00:00:00"/>
    <x v="10"/>
    <s v="SUNPHARMA.NS"/>
    <n v="1664.637291322138"/>
    <n v="1708.5222768333269"/>
    <n v="1656.8576315537559"/>
    <n v="1675.708251953125"/>
    <n v="3245164"/>
    <n v="-0.47"/>
    <n v="32.81"/>
    <x v="7"/>
    <s v="Q2-2026"/>
  </r>
  <r>
    <d v="2026-04-23T00:00:00"/>
    <x v="11"/>
    <s v="ASIANPAINT.NS"/>
    <n v="2508.238527355777"/>
    <n v="2519.8378428883771"/>
    <n v="2488.4105548075099"/>
    <n v="2499.71240234375"/>
    <n v="1378614"/>
    <n v="-0.79"/>
    <n v="20.13"/>
    <x v="7"/>
    <s v="Q2-2026"/>
  </r>
  <r>
    <d v="2026-04-23T00:00:00"/>
    <x v="12"/>
    <s v="HINDUNILVR.NS"/>
    <n v="2312.478464472606"/>
    <n v="2375.8340388417191"/>
    <n v="2312.478464472606"/>
    <n v="2342.572265625"/>
    <n v="2063531"/>
    <n v="0"/>
    <n v="33.26"/>
    <x v="7"/>
    <s v="Q2-2026"/>
  </r>
  <r>
    <d v="2026-04-23T00:00:00"/>
    <x v="13"/>
    <s v="LT.NS"/>
    <n v="3971.112601997007"/>
    <n v="4024.689395633784"/>
    <n v="3940.016427295524"/>
    <n v="4014.88525390625"/>
    <n v="2229134"/>
    <n v="-0.78"/>
    <n v="9.8000000000000007"/>
    <x v="7"/>
    <s v="Q2-2026"/>
  </r>
  <r>
    <d v="2026-04-23T00:00:00"/>
    <x v="14"/>
    <s v="AXISBANK.NS"/>
    <n v="1367.945042422019"/>
    <n v="1383.1332804429269"/>
    <n v="1364.347840993514"/>
    <n v="1368.544555664062"/>
    <n v="5671255"/>
    <n v="-0.26"/>
    <n v="14.59"/>
    <x v="7"/>
    <s v="Q2-2026"/>
  </r>
  <r>
    <d v="2026-04-24T00:00:00"/>
    <x v="0"/>
    <s v="RELIANCE.NS"/>
    <n v="1333.832889995696"/>
    <n v="1339.7057606040939"/>
    <n v="1318.901924809177"/>
    <n v="1321.689086914062"/>
    <n v="11744802"/>
    <n v="-1.1200000000000001"/>
    <n v="18.02"/>
    <x v="7"/>
    <s v="Q2-2026"/>
  </r>
  <r>
    <d v="2026-04-24T00:00:00"/>
    <x v="1"/>
    <s v="TCS.NS"/>
    <n v="2441.3307179215672"/>
    <n v="2458.0118361710311"/>
    <n v="2343.991534636913"/>
    <n v="2351.939453125"/>
    <n v="5107719"/>
    <n v="-3.99"/>
    <n v="106.07"/>
    <x v="7"/>
    <s v="Q2-2026"/>
  </r>
  <r>
    <d v="2026-04-24T00:00:00"/>
    <x v="2"/>
    <s v="INFY.NS"/>
    <n v="1174.582689422818"/>
    <n v="1197.9764852174351"/>
    <n v="1127.795097833583"/>
    <n v="1130.144287109375"/>
    <n v="42078914"/>
    <n v="-3.98"/>
    <n v="67.83"/>
    <x v="7"/>
    <s v="Q2-2026"/>
  </r>
  <r>
    <d v="2026-04-24T00:00:00"/>
    <x v="3"/>
    <s v="HDFCBANK.NS"/>
    <n v="764.65305326533314"/>
    <n v="774.78545676227861"/>
    <n v="764.35794637553727"/>
    <n v="772.0802001953125"/>
    <n v="27720358"/>
    <n v="-0.04"/>
    <n v="2.71"/>
    <x v="7"/>
    <s v="Q2-2026"/>
  </r>
  <r>
    <d v="2026-04-24T00:00:00"/>
    <x v="4"/>
    <s v="ICICIBANK.NS"/>
    <n v="1325.128575844323"/>
    <n v="1337.524075801522"/>
    <n v="1312.9313554665171"/>
    <n v="1315.112915039062"/>
    <n v="14056743"/>
    <n v="-0.92"/>
    <n v="22.41"/>
    <x v="7"/>
    <s v="Q2-2026"/>
  </r>
  <r>
    <d v="2026-04-24T00:00:00"/>
    <x v="5"/>
    <s v="WIPRO.NS"/>
    <n v="200.46059172429599"/>
    <n v="200.46059172429599"/>
    <n v="195.64558751770741"/>
    <n v="197.10887145996091"/>
    <n v="39363394"/>
    <n v="-2.4"/>
    <n v="3.35"/>
    <x v="7"/>
    <s v="Q2-2026"/>
  </r>
  <r>
    <d v="2026-04-24T00:00:00"/>
    <x v="6"/>
    <s v="HCLTECH.NS"/>
    <n v="1251.621861930279"/>
    <n v="1252.017843654638"/>
    <n v="1185.99184851836"/>
    <n v="1191.040283203125"/>
    <n v="10903519"/>
    <n v="-5.24"/>
    <n v="60.98"/>
    <x v="7"/>
    <s v="Q2-2026"/>
  </r>
  <r>
    <d v="2026-04-24T00:00:00"/>
    <x v="7"/>
    <s v="BAJFINANCE.NS"/>
    <n v="914.37909882820838"/>
    <n v="919.05039548728098"/>
    <n v="904.24140538266283"/>
    <n v="915.91961669921875"/>
    <n v="3982355"/>
    <n v="-1.1100000000000001"/>
    <n v="3.13"/>
    <x v="7"/>
    <s v="Q2-2026"/>
  </r>
  <r>
    <d v="2026-04-24T00:00:00"/>
    <x v="8"/>
    <s v="MARUTI.NS"/>
    <n v="13068.75035925046"/>
    <n v="13121.22337205654"/>
    <n v="12848.957739572161"/>
    <n v="12918.26171875"/>
    <n v="464098"/>
    <n v="-1.68"/>
    <n v="202.96"/>
    <x v="7"/>
    <s v="Q2-2026"/>
  </r>
  <r>
    <d v="2026-04-24T00:00:00"/>
    <x v="9"/>
    <s v="TMPV.NS"/>
    <n v="350.74050334994331"/>
    <n v="352.92241598160598"/>
    <n v="344.64110566273911"/>
    <n v="347.61642456054688"/>
    <n v="5722477"/>
    <n v="-1.74"/>
    <n v="5.31"/>
    <x v="7"/>
    <s v="Q2-2026"/>
  </r>
  <r>
    <d v="2026-04-24T00:00:00"/>
    <x v="10"/>
    <s v="SUNPHARMA.NS"/>
    <n v="1666.033606884095"/>
    <n v="1668.9260506484609"/>
    <n v="1609.3820331070251"/>
    <n v="1616.164306640625"/>
    <n v="9606128"/>
    <n v="-3.4"/>
    <n v="52.76"/>
    <x v="7"/>
    <s v="Q2-2026"/>
  </r>
  <r>
    <d v="2026-04-24T00:00:00"/>
    <x v="11"/>
    <s v="ASIANPAINT.NS"/>
    <n v="2499.7124304630088"/>
    <n v="2517.0619066379072"/>
    <n v="2449.4485678958699"/>
    <n v="2463.724853515625"/>
    <n v="436871"/>
    <n v="-2.0099999999999998"/>
    <n v="53.34"/>
    <x v="7"/>
    <s v="Q2-2026"/>
  </r>
  <r>
    <d v="2026-04-24T00:00:00"/>
    <x v="12"/>
    <s v="HINDUNILVR.NS"/>
    <n v="2364.549022891656"/>
    <n v="2364.549022891656"/>
    <n v="2275.8511183860142"/>
    <n v="2303.8662109375"/>
    <n v="1676706"/>
    <n v="-3.75"/>
    <n v="60.68"/>
    <x v="7"/>
    <s v="Q2-2026"/>
  </r>
  <r>
    <d v="2026-04-24T00:00:00"/>
    <x v="13"/>
    <s v="LT.NS"/>
    <n v="4032.612041436581"/>
    <n v="4048.556404814994"/>
    <n v="3944.6709446329328"/>
    <n v="3975.47021484375"/>
    <n v="2162213"/>
    <n v="-2.1800000000000002"/>
    <n v="73.09"/>
    <x v="7"/>
    <s v="Q2-2026"/>
  </r>
  <r>
    <d v="2026-04-24T00:00:00"/>
    <x v="14"/>
    <s v="AXISBANK.NS"/>
    <n v="1367.9449987412249"/>
    <n v="1373.940374922706"/>
    <n v="1348.959640833202"/>
    <n v="1364.847412109375"/>
    <n v="3648313"/>
    <n v="-1.39"/>
    <n v="9.09"/>
    <x v="7"/>
    <s v="Q2-2026"/>
  </r>
  <r>
    <d v="2026-04-27T00:00:00"/>
    <x v="0"/>
    <s v="RELIANCE.NS"/>
    <n v="1306.957115587122"/>
    <n v="1365.2873936261719"/>
    <n v="1304.9663202853901"/>
    <n v="1359.51416015625"/>
    <n v="24673098"/>
    <n v="-0.15"/>
    <n v="5.77"/>
    <x v="7"/>
    <s v="Q2-2026"/>
  </r>
  <r>
    <d v="2026-04-27T00:00:00"/>
    <x v="1"/>
    <s v="TCS.NS"/>
    <n v="2351.9393059532581"/>
    <n v="2412.8745416877382"/>
    <n v="2351.9393059532581"/>
    <n v="2401.6884765625"/>
    <n v="5853425"/>
    <n v="0"/>
    <n v="11.19"/>
    <x v="7"/>
    <s v="Q2-2026"/>
  </r>
  <r>
    <d v="2026-04-27T00:00:00"/>
    <x v="2"/>
    <s v="INFY.NS"/>
    <n v="1130.144311938569"/>
    <n v="1154.9084786451931"/>
    <n v="1130.04645394258"/>
    <n v="1145.511840820312"/>
    <n v="19579883"/>
    <n v="-0.01"/>
    <n v="9.4"/>
    <x v="7"/>
    <s v="Q2-2026"/>
  </r>
  <r>
    <d v="2026-04-27T00:00:00"/>
    <x v="3"/>
    <s v="HDFCBANK.NS"/>
    <n v="774.68707986648917"/>
    <n v="780.09759280523929"/>
    <n v="772.22775580342102"/>
    <n v="776.94964599609375"/>
    <n v="18115375"/>
    <n v="-0.32"/>
    <n v="3.15"/>
    <x v="7"/>
    <s v="Q2-2026"/>
  </r>
  <r>
    <d v="2026-04-27T00:00:00"/>
    <x v="4"/>
    <s v="ICICIBANK.NS"/>
    <n v="1316.798693187425"/>
    <n v="1324.731812663154"/>
    <n v="1299.9408143015021"/>
    <n v="1303.114013671875"/>
    <n v="15385625"/>
    <n v="-1.28"/>
    <n v="21.62"/>
    <x v="7"/>
    <s v="Q2-2026"/>
  </r>
  <r>
    <d v="2026-04-27T00:00:00"/>
    <x v="5"/>
    <s v="WIPRO.NS"/>
    <n v="197.1088670767416"/>
    <n v="202.93235776304741"/>
    <n v="197.1088670767416"/>
    <n v="202.734619140625"/>
    <n v="42632215"/>
    <n v="0"/>
    <n v="0.2"/>
    <x v="7"/>
    <s v="Q2-2026"/>
  </r>
  <r>
    <d v="2026-04-27T00:00:00"/>
    <x v="6"/>
    <s v="HCLTECH.NS"/>
    <n v="1196.781683767312"/>
    <n v="1219.549242680999"/>
    <n v="1188.862532840812"/>
    <n v="1215.78759765625"/>
    <n v="6066942"/>
    <n v="-0.66"/>
    <n v="3.76"/>
    <x v="7"/>
    <s v="Q2-2026"/>
  </r>
  <r>
    <d v="2026-04-27T00:00:00"/>
    <x v="7"/>
    <s v="BAJFINANCE.NS"/>
    <n v="917.41045372841722"/>
    <n v="923.27443091957218"/>
    <n v="902.75057141278126"/>
    <n v="916.1680908203125"/>
    <n v="7813458"/>
    <n v="-1.6"/>
    <n v="7.11"/>
    <x v="7"/>
    <s v="Q2-2026"/>
  </r>
  <r>
    <d v="2026-04-27T00:00:00"/>
    <x v="8"/>
    <s v="MARUTI.NS"/>
    <n v="13022.21732954546"/>
    <n v="13138.05397727273"/>
    <n v="12913.31107954546"/>
    <n v="13090.53125"/>
    <n v="312786"/>
    <n v="-0.84"/>
    <n v="47.52"/>
    <x v="7"/>
    <s v="Q2-2026"/>
  </r>
  <r>
    <d v="2026-04-27T00:00:00"/>
    <x v="9"/>
    <s v="TMPV.NS"/>
    <n v="348.11230795822809"/>
    <n v="353.86457900307113"/>
    <n v="347.36847824036857"/>
    <n v="351.43475341796881"/>
    <n v="9713765"/>
    <n v="-0.21"/>
    <n v="2.4300000000000002"/>
    <x v="7"/>
    <s v="Q2-2026"/>
  </r>
  <r>
    <d v="2026-04-27T00:00:00"/>
    <x v="10"/>
    <s v="SUNPHARMA.NS"/>
    <n v="1620.7523615517739"/>
    <n v="1762.2814690430639"/>
    <n v="1617.6604890892129"/>
    <n v="1728.96875"/>
    <n v="26995361"/>
    <n v="-0.19"/>
    <n v="33.31"/>
    <x v="7"/>
    <s v="Q2-2026"/>
  </r>
  <r>
    <d v="2026-04-27T00:00:00"/>
    <x v="11"/>
    <s v="ASIANPAINT.NS"/>
    <n v="2481.4706738004352"/>
    <n v="2498.12621854091"/>
    <n v="2454.20721254214"/>
    <n v="2463.82373046875"/>
    <n v="452134"/>
    <n v="-1.1000000000000001"/>
    <n v="34.299999999999997"/>
    <x v="7"/>
    <s v="Q2-2026"/>
  </r>
  <r>
    <d v="2026-04-27T00:00:00"/>
    <x v="12"/>
    <s v="HINDUNILVR.NS"/>
    <n v="2311.3896002112169"/>
    <n v="2339.0088177903608"/>
    <n v="2301.5893808110281"/>
    <n v="2304.856201171875"/>
    <n v="1099681"/>
    <n v="-0.42"/>
    <n v="34.15"/>
    <x v="7"/>
    <s v="Q2-2026"/>
  </r>
  <r>
    <d v="2026-04-27T00:00:00"/>
    <x v="13"/>
    <s v="LT.NS"/>
    <n v="4018.7474793637462"/>
    <n v="4049.9427838487031"/>
    <n v="3991.216336891046"/>
    <n v="4014.39013671875"/>
    <n v="2000348"/>
    <n v="-0.69"/>
    <n v="35.549999999999997"/>
    <x v="7"/>
    <s v="Q2-2026"/>
  </r>
  <r>
    <d v="2026-04-27T00:00:00"/>
    <x v="14"/>
    <s v="AXISBANK.NS"/>
    <n v="1323.9788756219441"/>
    <n v="1326.2771518946511"/>
    <n v="1298.8982435808809"/>
    <n v="1323.179443359375"/>
    <n v="10768267"/>
    <n v="-1.89"/>
    <n v="3.1"/>
    <x v="7"/>
    <s v="Q2-2026"/>
  </r>
  <r>
    <d v="2026-04-28T00:00:00"/>
    <x v="0"/>
    <s v="RELIANCE.NS"/>
    <n v="1351.7500009887619"/>
    <n v="1388.778744754125"/>
    <n v="1350.7546033444401"/>
    <n v="1382.5078125"/>
    <n v="41027699"/>
    <n v="-7.0000000000000007E-2"/>
    <n v="6.27"/>
    <x v="7"/>
    <s v="Q2-2026"/>
  </r>
  <r>
    <d v="2026-04-28T00:00:00"/>
    <x v="1"/>
    <s v="TCS.NS"/>
    <n v="2398.1559518054191"/>
    <n v="2440.3493666694262"/>
    <n v="2381.8672353590659"/>
    <n v="2398.8427734375"/>
    <n v="4508363"/>
    <n v="-0.68"/>
    <n v="41.51"/>
    <x v="7"/>
    <s v="Q2-2026"/>
  </r>
  <r>
    <d v="2026-04-28T00:00:00"/>
    <x v="2"/>
    <s v="INFY.NS"/>
    <n v="1138.0727223885281"/>
    <n v="1144.6308809119321"/>
    <n v="1125.446053776303"/>
    <n v="1127.697265625"/>
    <n v="12720276"/>
    <n v="-1.1100000000000001"/>
    <n v="16.93"/>
    <x v="7"/>
    <s v="Q2-2026"/>
  </r>
  <r>
    <d v="2026-04-28T00:00:00"/>
    <x v="3"/>
    <s v="HDFCBANK.NS"/>
    <n v="772.22777660828285"/>
    <n v="781.57320829972059"/>
    <n v="765.63677593327122"/>
    <n v="769.817626953125"/>
    <n v="35366803"/>
    <n v="-0.85"/>
    <n v="11.76"/>
    <x v="7"/>
    <s v="Q2-2026"/>
  </r>
  <r>
    <d v="2026-04-28T00:00:00"/>
    <x v="4"/>
    <s v="ICICIBANK.NS"/>
    <n v="1303.3124724850061"/>
    <n v="1306.6839515728991"/>
    <n v="1275.943112231791"/>
    <n v="1281.198852539062"/>
    <n v="16774778"/>
    <n v="-2.1"/>
    <n v="25.49"/>
    <x v="7"/>
    <s v="Q2-2026"/>
  </r>
  <r>
    <d v="2026-04-28T00:00:00"/>
    <x v="5"/>
    <s v="WIPRO.NS"/>
    <n v="202.25014872750131"/>
    <n v="203.3574970934024"/>
    <n v="198.7501283072838"/>
    <n v="199.3038024902344"/>
    <n v="23455983"/>
    <n v="-1.73"/>
    <n v="4.05"/>
    <x v="7"/>
    <s v="Q2-2026"/>
  </r>
  <r>
    <d v="2026-04-28T00:00:00"/>
    <x v="6"/>
    <s v="HCLTECH.NS"/>
    <n v="1215.4907250223951"/>
    <n v="1220.242143166304"/>
    <n v="1180.2505268992791"/>
    <n v="1183.9130859375"/>
    <n v="6643295"/>
    <n v="-2.9"/>
    <n v="36.33"/>
    <x v="7"/>
    <s v="Q2-2026"/>
  </r>
  <r>
    <d v="2026-04-28T00:00:00"/>
    <x v="7"/>
    <s v="BAJFINANCE.NS"/>
    <n v="916.16810241288806"/>
    <n v="924.21865055662386"/>
    <n v="908.76360725444192"/>
    <n v="918.0068359375"/>
    <n v="7119135"/>
    <n v="-0.81"/>
    <n v="6.21"/>
    <x v="7"/>
    <s v="Q2-2026"/>
  </r>
  <r>
    <d v="2026-04-28T00:00:00"/>
    <x v="8"/>
    <s v="MARUTI.NS"/>
    <n v="13090.53125"/>
    <n v="13174.68607954546"/>
    <n v="12700.44886363636"/>
    <n v="12763.8125"/>
    <n v="836679"/>
    <n v="-2.98"/>
    <n v="410.87"/>
    <x v="7"/>
    <s v="Q2-2026"/>
  </r>
  <r>
    <d v="2026-04-28T00:00:00"/>
    <x v="9"/>
    <s v="TMPV.NS"/>
    <n v="351.43475257905629"/>
    <n v="353.07117190113911"/>
    <n v="346.47588780516389"/>
    <n v="347.9139404296875"/>
    <n v="7247106"/>
    <n v="-1.41"/>
    <n v="5.16"/>
    <x v="7"/>
    <s v="Q2-2026"/>
  </r>
  <r>
    <d v="2026-04-28T00:00:00"/>
    <x v="10"/>
    <s v="SUNPHARMA.NS"/>
    <n v="1719.493522721509"/>
    <n v="1759.2892498307961"/>
    <n v="1709.8189268916051"/>
    <n v="1742.732666015625"/>
    <n v="16599167"/>
    <n v="-0.56000000000000005"/>
    <n v="16.559999999999999"/>
    <x v="7"/>
    <s v="Q2-2026"/>
  </r>
  <r>
    <d v="2026-04-28T00:00:00"/>
    <x v="11"/>
    <s v="ASIANPAINT.NS"/>
    <n v="2453.711703700179"/>
    <n v="2477.50527173606"/>
    <n v="2434.9743656881992"/>
    <n v="2441.41845703125"/>
    <n v="556571"/>
    <n v="-0.76"/>
    <n v="36.090000000000003"/>
    <x v="7"/>
    <s v="Q2-2026"/>
  </r>
  <r>
    <d v="2026-04-28T00:00:00"/>
    <x v="12"/>
    <s v="HINDUNILVR.NS"/>
    <n v="2297.6296004432602"/>
    <n v="2310.8945777237641"/>
    <n v="2258.1314545234859"/>
    <n v="2266.44677734375"/>
    <n v="1629120"/>
    <n v="-1.72"/>
    <n v="44.45"/>
    <x v="7"/>
    <s v="Q2-2026"/>
  </r>
  <r>
    <d v="2026-04-28T00:00:00"/>
    <x v="13"/>
    <s v="LT.NS"/>
    <n v="4020.7281421519192"/>
    <n v="4048.3581723284719"/>
    <n v="3984.9772360975062"/>
    <n v="3998.643798828125"/>
    <n v="1750237"/>
    <n v="-0.89"/>
    <n v="49.71"/>
    <x v="7"/>
    <s v="Q2-2026"/>
  </r>
  <r>
    <d v="2026-04-28T00:00:00"/>
    <x v="14"/>
    <s v="AXISBANK.NS"/>
    <n v="1310.988990375291"/>
    <n v="1320.381771256461"/>
    <n v="1284.5094109203019"/>
    <n v="1288.006713867188"/>
    <n v="9939787"/>
    <n v="-2.02"/>
    <n v="32.380000000000003"/>
    <x v="7"/>
    <s v="Q2-2026"/>
  </r>
  <r>
    <d v="2026-04-29T00:00:00"/>
    <x v="0"/>
    <s v="RELIANCE.NS"/>
    <n v="1385.593537724171"/>
    <n v="1427.2012083655529"/>
    <n v="1384.896807968084"/>
    <n v="1418.83984375"/>
    <n v="30542143"/>
    <n v="-0.05"/>
    <n v="8.36"/>
    <x v="7"/>
    <s v="Q2-2026"/>
  </r>
  <r>
    <d v="2026-04-29T00:00:00"/>
    <x v="1"/>
    <s v="TCS.NS"/>
    <n v="2405.0246370224609"/>
    <n v="2441.2323784506302"/>
    <n v="2401.688509360205"/>
    <n v="2428.280029296875"/>
    <n v="2835961"/>
    <n v="-0.14000000000000001"/>
    <n v="12.95"/>
    <x v="7"/>
    <s v="Q2-2026"/>
  </r>
  <r>
    <d v="2026-04-29T00:00:00"/>
    <x v="2"/>
    <s v="INFY.NS"/>
    <n v="1133.961747660014"/>
    <n v="1153.244433080537"/>
    <n v="1132.297803247588"/>
    <n v="1142.771118164062"/>
    <n v="8303109"/>
    <n v="-0.15"/>
    <n v="10.47"/>
    <x v="7"/>
    <s v="Q2-2026"/>
  </r>
  <r>
    <d v="2026-04-29T00:00:00"/>
    <x v="3"/>
    <s v="HDFCBANK.NS"/>
    <n v="772.71962098499932"/>
    <n v="777.14640430063582"/>
    <n v="764.70220051873218"/>
    <n v="766.32537841796875"/>
    <n v="25799963"/>
    <n v="-1.04"/>
    <n v="10.82"/>
    <x v="7"/>
    <s v="Q2-2026"/>
  </r>
  <r>
    <d v="2026-04-29T00:00:00"/>
    <x v="4"/>
    <s v="ICICIBANK.NS"/>
    <n v="1283.876190331697"/>
    <n v="1285.9587310592151"/>
    <n v="1265.5308513211889"/>
    <n v="1270.290771484375"/>
    <n v="11716030"/>
    <n v="-1.43"/>
    <n v="15.67"/>
    <x v="7"/>
    <s v="Q2-2026"/>
  </r>
  <r>
    <d v="2026-04-29T00:00:00"/>
    <x v="5"/>
    <s v="WIPRO.NS"/>
    <n v="199.30380212644289"/>
    <n v="201.30099692828901"/>
    <n v="198.03825682872591"/>
    <n v="198.41395568847659"/>
    <n v="15667662"/>
    <n v="-0.63"/>
    <n v="2.89"/>
    <x v="7"/>
    <s v="Q2-2026"/>
  </r>
  <r>
    <d v="2026-04-29T00:00:00"/>
    <x v="6"/>
    <s v="HCLTECH.NS"/>
    <n v="1187.8727482542281"/>
    <n v="1198.5636513231821"/>
    <n v="1180.052561827554"/>
    <n v="1188.070678710938"/>
    <n v="4777201"/>
    <n v="-0.66"/>
    <n v="10.49"/>
    <x v="7"/>
    <s v="Q2-2026"/>
  </r>
  <r>
    <d v="2026-04-29T00:00:00"/>
    <x v="7"/>
    <s v="BAJFINANCE.NS"/>
    <n v="919.34854158791154"/>
    <n v="931.27522537067364"/>
    <n v="910.99983867507785"/>
    <n v="924.3179931640625"/>
    <n v="5438997"/>
    <n v="-0.91"/>
    <n v="6.96"/>
    <x v="7"/>
    <s v="Q2-2026"/>
  </r>
  <r>
    <d v="2026-04-29T00:00:00"/>
    <x v="8"/>
    <s v="MARUTI.NS"/>
    <n v="12959.84410064023"/>
    <n v="13413.290135635891"/>
    <n v="12959.84410064023"/>
    <n v="13125.18359375"/>
    <n v="754798"/>
    <n v="0"/>
    <n v="288.11"/>
    <x v="7"/>
    <s v="Q2-2026"/>
  </r>
  <r>
    <d v="2026-04-29T00:00:00"/>
    <x v="9"/>
    <s v="TMPV.NS"/>
    <n v="348.11231368227487"/>
    <n v="360.65823574316329"/>
    <n v="348.11231368227487"/>
    <n v="349.79833984375"/>
    <n v="10581537"/>
    <n v="0"/>
    <n v="10.86"/>
    <x v="7"/>
    <s v="Q2-2026"/>
  </r>
  <r>
    <d v="2026-04-29T00:00:00"/>
    <x v="10"/>
    <s v="SUNPHARMA.NS"/>
    <n v="1751.4099222365351"/>
    <n v="1785.1216197818981"/>
    <n v="1745.42560587354"/>
    <n v="1774.050537109375"/>
    <n v="9809449"/>
    <n v="-0.34"/>
    <n v="11.07"/>
    <x v="7"/>
    <s v="Q2-2026"/>
  </r>
  <r>
    <d v="2026-04-29T00:00:00"/>
    <x v="11"/>
    <s v="ASIANPAINT.NS"/>
    <n v="2448.6554645929259"/>
    <n v="2456.5866539087988"/>
    <n v="2417.624880027126"/>
    <n v="2426.25"/>
    <n v="603585"/>
    <n v="-1.27"/>
    <n v="30.34"/>
    <x v="7"/>
    <s v="Q2-2026"/>
  </r>
  <r>
    <d v="2026-04-29T00:00:00"/>
    <x v="12"/>
    <s v="HINDUNILVR.NS"/>
    <n v="2281.790693604557"/>
    <n v="2326.0405558989451"/>
    <n v="2267.931661192209"/>
    <n v="2291.095947265625"/>
    <n v="1778765"/>
    <n v="-0.61"/>
    <n v="34.94"/>
    <x v="7"/>
    <s v="Q2-2026"/>
  </r>
  <r>
    <d v="2026-04-29T00:00:00"/>
    <x v="13"/>
    <s v="LT.NS"/>
    <n v="4020.7280982422658"/>
    <n v="4086.0896880166479"/>
    <n v="4012.1123006732778"/>
    <n v="4056.47900390625"/>
    <n v="2175030"/>
    <n v="-0.21"/>
    <n v="29.61"/>
    <x v="7"/>
    <s v="Q2-2026"/>
  </r>
  <r>
    <d v="2026-04-29T00:00:00"/>
    <x v="14"/>
    <s v="AXISBANK.NS"/>
    <n v="1294.002055440297"/>
    <n v="1308.1910639372529"/>
    <n v="1278.014385257251"/>
    <n v="1295.401000976562"/>
    <n v="6228275"/>
    <n v="-1.24"/>
    <n v="12.79"/>
    <x v="7"/>
    <s v="Q2-2026"/>
  </r>
  <r>
    <d v="2026-04-30T00:00:00"/>
    <x v="0"/>
    <s v="RELIANCE.NS"/>
    <n v="1402.5153692729209"/>
    <n v="1430.3865050711049"/>
    <n v="1386.6885214286781"/>
    <n v="1424.215087890625"/>
    <n v="30957881"/>
    <n v="-1.1299999999999999"/>
    <n v="6.17"/>
    <x v="7"/>
    <s v="Q2-2026"/>
  </r>
  <r>
    <d v="2026-04-30T00:00:00"/>
    <x v="1"/>
    <s v="TCS.NS"/>
    <n v="2432.499548509074"/>
    <n v="2444.2744555611539"/>
    <n v="2392.2686160811299"/>
    <n v="2427.4951171875"/>
    <n v="3970446"/>
    <n v="-1.65"/>
    <n v="16.78"/>
    <x v="7"/>
    <s v="Q2-2026"/>
  </r>
  <r>
    <d v="2026-04-30T00:00:00"/>
    <x v="2"/>
    <s v="INFY.NS"/>
    <n v="1142.7711514334951"/>
    <n v="1164.5988623339999"/>
    <n v="1135.038457646762"/>
    <n v="1156.768310546875"/>
    <n v="12205669"/>
    <n v="-0.68"/>
    <n v="7.83"/>
    <x v="7"/>
    <s v="Q2-2026"/>
  </r>
  <r>
    <d v="2026-04-30T00:00:00"/>
    <x v="3"/>
    <s v="HDFCBANK.NS"/>
    <n v="757.47181266502014"/>
    <n v="766.12862137277352"/>
    <n v="749.84790805702801"/>
    <n v="759.1441650390625"/>
    <n v="47998755"/>
    <n v="-1.01"/>
    <n v="6.98"/>
    <x v="7"/>
    <s v="Q2-2026"/>
  </r>
  <r>
    <d v="2026-04-30T00:00:00"/>
    <x v="4"/>
    <s v="ICICIBANK.NS"/>
    <n v="1250.458052461634"/>
    <n v="1261.5643721523941"/>
    <n v="1248.4747724418689"/>
    <n v="1252.838012695312"/>
    <n v="17740110"/>
    <n v="-0.16"/>
    <n v="8.73"/>
    <x v="7"/>
    <s v="Q2-2026"/>
  </r>
  <r>
    <d v="2026-04-30T00:00:00"/>
    <x v="5"/>
    <s v="WIPRO.NS"/>
    <n v="198.6215879996505"/>
    <n v="199.8673548898837"/>
    <n v="197.74163831261899"/>
    <n v="198.38429260253909"/>
    <n v="15300274"/>
    <n v="-0.44"/>
    <n v="1.48"/>
    <x v="7"/>
    <s v="Q2-2026"/>
  </r>
  <r>
    <d v="2026-04-30T00:00:00"/>
    <x v="6"/>
    <s v="HCLTECH.NS"/>
    <n v="1187.8727402459549"/>
    <n v="1201.4342390290969"/>
    <n v="1172.0344370426751"/>
    <n v="1186.981811523438"/>
    <n v="5070033"/>
    <n v="-1.33"/>
    <n v="14.45"/>
    <x v="7"/>
    <s v="Q2-2026"/>
  </r>
  <r>
    <d v="2026-04-30T00:00:00"/>
    <x v="7"/>
    <s v="BAJFINANCE.NS"/>
    <n v="939.22639144522918"/>
    <n v="969.04310228476027"/>
    <n v="928.19423269950403"/>
    <n v="931.2752685546875"/>
    <n v="27364272"/>
    <n v="-1.17"/>
    <n v="37.770000000000003"/>
    <x v="7"/>
    <s v="Q2-2026"/>
  </r>
  <r>
    <d v="2026-04-30T00:00:00"/>
    <x v="8"/>
    <s v="MARUTI.NS"/>
    <n v="13003.40598726552"/>
    <n v="13227.15882365367"/>
    <n v="12841.03667236438"/>
    <n v="13181.6162109375"/>
    <n v="612975"/>
    <n v="-1.25"/>
    <n v="45.54"/>
    <x v="7"/>
    <s v="Q2-2026"/>
  </r>
  <r>
    <d v="2026-04-30T00:00:00"/>
    <x v="9"/>
    <s v="TMPV.NS"/>
    <n v="349.1040910800748"/>
    <n v="349.1040910800748"/>
    <n v="334.72338278274208"/>
    <n v="338.74005126953119"/>
    <n v="12670807"/>
    <n v="-4.12"/>
    <n v="10.36"/>
    <x v="7"/>
    <s v="Q2-2026"/>
  </r>
  <r>
    <d v="2026-04-30T00:00:00"/>
    <x v="10"/>
    <s v="SUNPHARMA.NS"/>
    <n v="1766.370693837026"/>
    <n v="1810.255680019312"/>
    <n v="1756.795812111136"/>
    <n v="1803.5732421875"/>
    <n v="4749798"/>
    <n v="-0.54"/>
    <n v="6.68"/>
    <x v="7"/>
    <s v="Q2-2026"/>
  </r>
  <r>
    <d v="2026-04-30T00:00:00"/>
    <x v="11"/>
    <s v="ASIANPAINT.NS"/>
    <n v="2405.8269334704291"/>
    <n v="2434.775724173373"/>
    <n v="2364.9813595711521"/>
    <n v="2423.473876953125"/>
    <n v="823684"/>
    <n v="-1.7"/>
    <n v="11.3"/>
    <x v="7"/>
    <s v="Q2-2026"/>
  </r>
  <r>
    <d v="2026-04-30T00:00:00"/>
    <x v="12"/>
    <s v="HINDUNILVR.NS"/>
    <n v="2288.7202258298171"/>
    <n v="2344.9483489185068"/>
    <n v="2189.3312607928451"/>
    <n v="2228.2353515625"/>
    <n v="4434979"/>
    <n v="-4.34"/>
    <n v="116.71"/>
    <x v="7"/>
    <s v="Q2-2026"/>
  </r>
  <r>
    <d v="2026-04-30T00:00:00"/>
    <x v="13"/>
    <s v="LT.NS"/>
    <n v="4043.505667602356"/>
    <n v="4060.3412287949209"/>
    <n v="3951.4052446077399"/>
    <n v="3975.173095703125"/>
    <n v="2569328"/>
    <n v="-2.2799999999999998"/>
    <n v="85.17"/>
    <x v="7"/>
    <s v="Q2-2026"/>
  </r>
  <r>
    <d v="2026-04-30T00:00:00"/>
    <x v="14"/>
    <s v="AXISBANK.NS"/>
    <n v="1287.0074012162181"/>
    <n v="1287.0074012162181"/>
    <n v="1256.331108999464"/>
    <n v="1267.322631835938"/>
    <n v="16481853"/>
    <n v="-2.38"/>
    <n v="19.68"/>
    <x v="7"/>
    <s v="Q2-2026"/>
  </r>
  <r>
    <d v="2026-05-04T00:00:00"/>
    <x v="0"/>
    <s v="RELIANCE.NS"/>
    <n v="1426.8030702776821"/>
    <n v="1460.6465916696061"/>
    <n v="1426.8030702776821"/>
    <n v="1456.366333007812"/>
    <n v="24035700"/>
    <n v="0"/>
    <n v="4.28"/>
    <x v="8"/>
    <s v="Q2-2026"/>
  </r>
  <r>
    <d v="2026-05-04T00:00:00"/>
    <x v="1"/>
    <s v="TCS.NS"/>
    <n v="2447.2181772447052"/>
    <n v="2451.4375668418279"/>
    <n v="2379.512461835769"/>
    <n v="2385.6943359375"/>
    <n v="2632358"/>
    <n v="-2.77"/>
    <n v="65.739999999999995"/>
    <x v="8"/>
    <s v="Q2-2026"/>
  </r>
  <r>
    <d v="2026-05-04T00:00:00"/>
    <x v="2"/>
    <s v="INFY.NS"/>
    <n v="1169.688660113276"/>
    <n v="1169.688660113276"/>
    <n v="1140.519807238732"/>
    <n v="1143.652099609375"/>
    <n v="7735811"/>
    <n v="-2.4900000000000002"/>
    <n v="26.04"/>
    <x v="8"/>
    <s v="Q2-2026"/>
  </r>
  <r>
    <d v="2026-05-04T00:00:00"/>
    <x v="3"/>
    <s v="HDFCBANK.NS"/>
    <n v="760.02952327835885"/>
    <n v="773.80173873542947"/>
    <n v="760.02952327835885"/>
    <n v="766.71893310546875"/>
    <n v="29028060"/>
    <n v="0"/>
    <n v="7.08"/>
    <x v="8"/>
    <s v="Q2-2026"/>
  </r>
  <r>
    <d v="2026-05-04T00:00:00"/>
    <x v="4"/>
    <s v="ICICIBANK.NS"/>
    <n v="1253.7304875272209"/>
    <n v="1271.480746504843"/>
    <n v="1253.7304875272209"/>
    <n v="1260.176147460938"/>
    <n v="14597051"/>
    <n v="0"/>
    <n v="11.3"/>
    <x v="8"/>
    <s v="Q2-2026"/>
  </r>
  <r>
    <d v="2026-05-04T00:00:00"/>
    <x v="5"/>
    <s v="WIPRO.NS"/>
    <n v="200.11453203796401"/>
    <n v="201.07358019117959"/>
    <n v="197.8009584893056"/>
    <n v="198.48316955566409"/>
    <n v="8446995"/>
    <n v="-1.1599999999999999"/>
    <n v="2.59"/>
    <x v="8"/>
    <s v="Q2-2026"/>
  </r>
  <r>
    <d v="2026-05-04T00:00:00"/>
    <x v="6"/>
    <s v="HCLTECH.NS"/>
    <n v="1195.7918803363179"/>
    <n v="1201.2362970100351"/>
    <n v="1179.3596650884331"/>
    <n v="1188.36767578125"/>
    <n v="3318673"/>
    <n v="-1.37"/>
    <n v="12.87"/>
    <x v="8"/>
    <s v="Q2-2026"/>
  </r>
  <r>
    <d v="2026-05-04T00:00:00"/>
    <x v="7"/>
    <s v="BAJFINANCE.NS"/>
    <n v="932.3684830401445"/>
    <n v="960.09804717692487"/>
    <n v="932.3684830401445"/>
    <n v="944.39459228515625"/>
    <n v="7503756"/>
    <n v="0"/>
    <n v="15.7"/>
    <x v="8"/>
    <s v="Q2-2026"/>
  </r>
  <r>
    <d v="2026-05-04T00:00:00"/>
    <x v="8"/>
    <s v="MARUTI.NS"/>
    <n v="13424.180486368399"/>
    <n v="13837.034182276329"/>
    <n v="13301.41344010321"/>
    <n v="13444.9716796875"/>
    <n v="722127"/>
    <n v="-0.91"/>
    <n v="392.06"/>
    <x v="8"/>
    <s v="Q2-2026"/>
  </r>
  <r>
    <d v="2026-05-04T00:00:00"/>
    <x v="9"/>
    <s v="TMPV.NS"/>
    <n v="335.61595357755891"/>
    <n v="343.05425055519322"/>
    <n v="335.21925045872001"/>
    <n v="340.22769165039063"/>
    <n v="7734863"/>
    <n v="-0.12"/>
    <n v="2.83"/>
    <x v="8"/>
    <s v="Q2-2026"/>
  </r>
  <r>
    <d v="2026-05-04T00:00:00"/>
    <x v="10"/>
    <s v="SUNPHARMA.NS"/>
    <n v="1815.2425473848371"/>
    <n v="1836.1876537008161"/>
    <n v="1805.2686872343711"/>
    <n v="1818.7333984375"/>
    <n v="4206373"/>
    <n v="-0.55000000000000004"/>
    <n v="17.45"/>
    <x v="8"/>
    <s v="Q2-2026"/>
  </r>
  <r>
    <d v="2026-05-04T00:00:00"/>
    <x v="11"/>
    <s v="ASIANPAINT.NS"/>
    <n v="2438.8405150757649"/>
    <n v="2485.4362484938802"/>
    <n v="2421.292808558354"/>
    <n v="2427.04296875"/>
    <n v="581159"/>
    <n v="-0.72"/>
    <n v="58.39"/>
    <x v="8"/>
    <s v="Q2-2026"/>
  </r>
  <r>
    <d v="2026-05-04T00:00:00"/>
    <x v="12"/>
    <s v="HINDUNILVR.NS"/>
    <n v="2245.9551638029388"/>
    <n v="2341.978456380622"/>
    <n v="2245.9551638029388"/>
    <n v="2286.04736328125"/>
    <n v="2554255"/>
    <n v="0"/>
    <n v="55.93"/>
    <x v="8"/>
    <s v="Q2-2026"/>
  </r>
  <r>
    <d v="2026-05-04T00:00:00"/>
    <x v="13"/>
    <s v="LT.NS"/>
    <n v="3987.0570248896279"/>
    <n v="4099.4591541308037"/>
    <n v="3987.0570248896279"/>
    <n v="4061.13330078125"/>
    <n v="2173027"/>
    <n v="0"/>
    <n v="38.33"/>
    <x v="8"/>
    <s v="Q2-2026"/>
  </r>
  <r>
    <d v="2026-05-04T00:00:00"/>
    <x v="14"/>
    <s v="AXISBANK.NS"/>
    <n v="1267.3226232305551"/>
    <n v="1293.402484661126"/>
    <n v="1263.525502940515"/>
    <n v="1274.117309570312"/>
    <n v="9759479"/>
    <n v="-0.3"/>
    <n v="19.29"/>
    <x v="8"/>
    <s v="Q2-2026"/>
  </r>
  <r>
    <d v="2026-05-05T00:00:00"/>
    <x v="0"/>
    <s v="RELIANCE.NS"/>
    <n v="1453.280606341501"/>
    <n v="1466.618959495926"/>
    <n v="1443.326629585737"/>
    <n v="1456.864013671875"/>
    <n v="23543341"/>
    <n v="-0.68"/>
    <n v="9.75"/>
    <x v="8"/>
    <s v="Q2-2026"/>
  </r>
  <r>
    <d v="2026-05-05T00:00:00"/>
    <x v="1"/>
    <s v="TCS.NS"/>
    <n v="2384.4188376017792"/>
    <n v="2414.2485083053562"/>
    <n v="2366.9526763935442"/>
    <n v="2381.76953125"/>
    <n v="3385720"/>
    <n v="-0.73"/>
    <n v="32.479999999999997"/>
    <x v="8"/>
    <s v="Q2-2026"/>
  </r>
  <r>
    <d v="2026-05-05T00:00:00"/>
    <x v="2"/>
    <s v="INFY.NS"/>
    <n v="1144.7287871872279"/>
    <n v="1160.0961972461239"/>
    <n v="1135.5278649580359"/>
    <n v="1153.146606445312"/>
    <n v="8164108"/>
    <n v="-0.8"/>
    <n v="6.95"/>
    <x v="8"/>
    <s v="Q2-2026"/>
  </r>
  <r>
    <d v="2026-05-05T00:00:00"/>
    <x v="3"/>
    <s v="HDFCBANK.NS"/>
    <n v="761.80024323128566"/>
    <n v="764.25956728608435"/>
    <n v="751.27432426832888"/>
    <n v="759.734375"/>
    <n v="38887657"/>
    <n v="-1.38"/>
    <n v="4.53"/>
    <x v="8"/>
    <s v="Q2-2026"/>
  </r>
  <r>
    <d v="2026-05-05T00:00:00"/>
    <x v="4"/>
    <s v="ICICIBANK.NS"/>
    <n v="1253.4328902069619"/>
    <n v="1256.1102696379601"/>
    <n v="1235.087551228459"/>
    <n v="1240.839111328125"/>
    <n v="24447935"/>
    <n v="-1.46"/>
    <n v="15.27"/>
    <x v="8"/>
    <s v="Q2-2026"/>
  </r>
  <r>
    <d v="2026-05-05T00:00:00"/>
    <x v="5"/>
    <s v="WIPRO.NS"/>
    <n v="197.74164115770051"/>
    <n v="200.01567304831201"/>
    <n v="197.34616390998099"/>
    <n v="197.52412414550781"/>
    <n v="8899200"/>
    <n v="-0.2"/>
    <n v="2.4900000000000002"/>
    <x v="8"/>
    <s v="Q2-2026"/>
  </r>
  <r>
    <d v="2026-05-05T00:00:00"/>
    <x v="6"/>
    <s v="HCLTECH.NS"/>
    <n v="1187.8727482542281"/>
    <n v="1193.2181997887051"/>
    <n v="1177.973808685442"/>
    <n v="1188.070678710938"/>
    <n v="2459953"/>
    <n v="-0.83"/>
    <n v="5.15"/>
    <x v="8"/>
    <s v="Q2-2026"/>
  </r>
  <r>
    <d v="2026-05-05T00:00:00"/>
    <x v="7"/>
    <s v="BAJFINANCE.NS"/>
    <n v="944.39464340713062"/>
    <n v="955.22801206228712"/>
    <n v="927.44882470056518"/>
    <n v="952.7432861328125"/>
    <n v="7290077"/>
    <n v="-1.79"/>
    <n v="2.48"/>
    <x v="8"/>
    <s v="Q2-2026"/>
  </r>
  <r>
    <d v="2026-05-05T00:00:00"/>
    <x v="8"/>
    <s v="MARUTI.NS"/>
    <n v="13425.17054420993"/>
    <n v="13433.09099880828"/>
    <n v="13227.159179251081"/>
    <n v="13292.5029296875"/>
    <n v="419490"/>
    <n v="-1.47"/>
    <n v="140.59"/>
    <x v="8"/>
    <s v="Q2-2026"/>
  </r>
  <r>
    <d v="2026-05-05T00:00:00"/>
    <x v="9"/>
    <s v="TMPV.NS"/>
    <n v="339.08716516049759"/>
    <n v="341.16989440639662"/>
    <n v="336.21102966211748"/>
    <n v="337.3515625"/>
    <n v="6084755"/>
    <n v="-0.85"/>
    <n v="3.82"/>
    <x v="8"/>
    <s v="Q2-2026"/>
  </r>
  <r>
    <d v="2026-05-05T00:00:00"/>
    <x v="10"/>
    <s v="SUNPHARMA.NS"/>
    <n v="1823.720351054043"/>
    <n v="1826.9119376411511"/>
    <n v="1793.8984844853039"/>
    <n v="1816.04052734375"/>
    <n v="3011421"/>
    <n v="-1.64"/>
    <n v="10.87"/>
    <x v="8"/>
    <s v="Q2-2026"/>
  </r>
  <r>
    <d v="2026-05-05T00:00:00"/>
    <x v="11"/>
    <s v="ASIANPAINT.NS"/>
    <n v="2409.0986328125"/>
    <n v="2433.7843614929502"/>
    <n v="2394.227653597608"/>
    <n v="2409.0986328125"/>
    <n v="327682"/>
    <n v="-0.62"/>
    <n v="24.69"/>
    <x v="8"/>
    <s v="Q2-2026"/>
  </r>
  <r>
    <d v="2026-05-05T00:00:00"/>
    <x v="12"/>
    <s v="HINDUNILVR.NS"/>
    <n v="2278.325974165612"/>
    <n v="2311.884535117792"/>
    <n v="2265.060996733047"/>
    <n v="2303.965087890625"/>
    <n v="1741424"/>
    <n v="-0.57999999999999996"/>
    <n v="7.92"/>
    <x v="8"/>
    <s v="Q2-2026"/>
  </r>
  <r>
    <d v="2026-05-05T00:00:00"/>
    <x v="13"/>
    <s v="LT.NS"/>
    <n v="4045.4862267233939"/>
    <n v="4050.4378622518188"/>
    <n v="3985.076273276607"/>
    <n v="4015.28125"/>
    <n v="3849402"/>
    <n v="-1.49"/>
    <n v="35.159999999999997"/>
    <x v="8"/>
    <s v="Q2-2026"/>
  </r>
  <r>
    <d v="2026-05-05T00:00:00"/>
    <x v="14"/>
    <s v="AXISBANK.NS"/>
    <n v="1267.022901000071"/>
    <n v="1272.7184598875699"/>
    <n v="1251.035230324992"/>
    <n v="1258.729248046875"/>
    <n v="10163714"/>
    <n v="-1.26"/>
    <n v="13.99"/>
    <x v="8"/>
    <s v="Q2-2026"/>
  </r>
  <r>
    <d v="2026-05-06T00:00:00"/>
    <x v="0"/>
    <s v="RELIANCE.NS"/>
    <n v="1456.266806103635"/>
    <n v="1466.519450812893"/>
    <n v="1420.9301884572369"/>
    <n v="1431.282348632812"/>
    <n v="14221786"/>
    <n v="-2.4300000000000002"/>
    <n v="35.24"/>
    <x v="8"/>
    <s v="Q2-2026"/>
  </r>
  <r>
    <d v="2026-05-06T00:00:00"/>
    <x v="1"/>
    <s v="TCS.NS"/>
    <n v="2396.0953597954781"/>
    <n v="2424.6496051586109"/>
    <n v="2361.359479892431"/>
    <n v="2389.71728515625"/>
    <n v="3147628"/>
    <n v="-1.45"/>
    <n v="34.93"/>
    <x v="8"/>
    <s v="Q2-2026"/>
  </r>
  <r>
    <d v="2026-05-06T00:00:00"/>
    <x v="2"/>
    <s v="INFY.NS"/>
    <n v="1161.8580797644599"/>
    <n v="1166.2627649868191"/>
    <n v="1139.443102180398"/>
    <n v="1142.477416992188"/>
    <n v="9856963"/>
    <n v="-1.93"/>
    <n v="23.79"/>
    <x v="8"/>
    <s v="Q2-2026"/>
  </r>
  <r>
    <d v="2026-05-06T00:00:00"/>
    <x v="3"/>
    <s v="HDFCBANK.NS"/>
    <n v="762.53806518329031"/>
    <n v="785.95081893602969"/>
    <n v="760.91488723763325"/>
    <n v="783.58984375"/>
    <n v="35530831"/>
    <n v="-0.21"/>
    <n v="2.36"/>
    <x v="8"/>
    <s v="Q2-2026"/>
  </r>
  <r>
    <d v="2026-05-06T00:00:00"/>
    <x v="4"/>
    <s v="ICICIBANK.NS"/>
    <n v="1251.449645209005"/>
    <n v="1272.075805055508"/>
    <n v="1241.632385271969"/>
    <n v="1268.803344726562"/>
    <n v="22909586"/>
    <n v="-0.78"/>
    <n v="3.27"/>
    <x v="8"/>
    <s v="Q2-2026"/>
  </r>
  <r>
    <d v="2026-05-06T00:00:00"/>
    <x v="5"/>
    <s v="WIPRO.NS"/>
    <n v="198.2458705308143"/>
    <n v="198.8588798574861"/>
    <n v="196.011395488787"/>
    <n v="196.87156677246091"/>
    <n v="13166683"/>
    <n v="-1.1299999999999999"/>
    <n v="1.99"/>
    <x v="8"/>
    <s v="Q2-2026"/>
  </r>
  <r>
    <d v="2026-05-06T00:00:00"/>
    <x v="6"/>
    <s v="HCLTECH.NS"/>
    <n v="1195.7919057864781"/>
    <n v="1199.7514816334531"/>
    <n v="1174.4102203801449"/>
    <n v="1177.082885742188"/>
    <n v="3541520"/>
    <n v="-1.79"/>
    <n v="22.67"/>
    <x v="8"/>
    <s v="Q2-2026"/>
  </r>
  <r>
    <d v="2026-05-06T00:00:00"/>
    <x v="7"/>
    <s v="BAJFINANCE.NS"/>
    <n v="959.10416197843642"/>
    <n v="977.988078121017"/>
    <n v="959.10416197843642"/>
    <n v="974.7579345703125"/>
    <n v="7771237"/>
    <n v="0"/>
    <n v="3.23"/>
    <x v="8"/>
    <s v="Q2-2026"/>
  </r>
  <r>
    <d v="2026-05-06T00:00:00"/>
    <x v="8"/>
    <s v="MARUTI.NS"/>
    <n v="13420.22008275659"/>
    <n v="13625.161842780981"/>
    <n v="13245.97008389527"/>
    <n v="13585.5595703125"/>
    <n v="435208"/>
    <n v="-1.3"/>
    <n v="39.6"/>
    <x v="8"/>
    <s v="Q2-2026"/>
  </r>
  <r>
    <d v="2026-05-06T00:00:00"/>
    <x v="9"/>
    <s v="TMPV.NS"/>
    <n v="342.50877958662352"/>
    <n v="355.99689717909729"/>
    <n v="340.82275353762412"/>
    <n v="355.20346069335938"/>
    <n v="11036464"/>
    <n v="-0.49"/>
    <n v="0.79"/>
    <x v="8"/>
    <s v="Q2-2026"/>
  </r>
  <r>
    <d v="2026-05-06T00:00:00"/>
    <x v="10"/>
    <s v="SUNPHARMA.NS"/>
    <n v="1832.1982001127151"/>
    <n v="1852.9438789505739"/>
    <n v="1813.646843667045"/>
    <n v="1845.363647460938"/>
    <n v="3247156"/>
    <n v="-1.01"/>
    <n v="7.58"/>
    <x v="8"/>
    <s v="Q2-2026"/>
  </r>
  <r>
    <d v="2026-05-06T00:00:00"/>
    <x v="11"/>
    <s v="ASIANPAINT.NS"/>
    <n v="2438.8407303710551"/>
    <n v="2507.2472386619502"/>
    <n v="2419.4092196054812"/>
    <n v="2497.333251953125"/>
    <n v="1395987"/>
    <n v="-0.8"/>
    <n v="9.91"/>
    <x v="8"/>
    <s v="Q2-2026"/>
  </r>
  <r>
    <d v="2026-05-06T00:00:00"/>
    <x v="12"/>
    <s v="HINDUNILVR.NS"/>
    <n v="2306.5388097283681"/>
    <n v="2315.8440627599198"/>
    <n v="2265.2587428864331"/>
    <n v="2293.768798828125"/>
    <n v="1196175"/>
    <n v="-1.79"/>
    <n v="22.08"/>
    <x v="8"/>
    <s v="Q2-2026"/>
  </r>
  <r>
    <d v="2026-05-06T00:00:00"/>
    <x v="13"/>
    <s v="LT.NS"/>
    <n v="3935.5600322215678"/>
    <n v="3982.1054075397401"/>
    <n v="3862.2758242738091"/>
    <n v="3969.726318359375"/>
    <n v="9540104"/>
    <n v="-1.86"/>
    <n v="12.38"/>
    <x v="8"/>
    <s v="Q2-2026"/>
  </r>
  <r>
    <d v="2026-05-06T00:00:00"/>
    <x v="14"/>
    <s v="AXISBANK.NS"/>
    <n v="1274.017481088156"/>
    <n v="1299.9974454083849"/>
    <n v="1254.2326902384059"/>
    <n v="1293.20263671875"/>
    <n v="7277673"/>
    <n v="-1.55"/>
    <n v="6.79"/>
    <x v="8"/>
    <s v="Q2-2026"/>
  </r>
  <r>
    <d v="2026-05-07T00:00:00"/>
    <x v="0"/>
    <s v="RELIANCE.NS"/>
    <n v="1432.1782190445699"/>
    <n v="1442.8289255313271"/>
    <n v="1423.7173388327619"/>
    <n v="1429.590087890625"/>
    <n v="19816903"/>
    <n v="-0.59"/>
    <n v="13.24"/>
    <x v="8"/>
    <s v="Q2-2026"/>
  </r>
  <r>
    <d v="2026-05-07T00:00:00"/>
    <x v="1"/>
    <s v="TCS.NS"/>
    <n v="2392.464742217725"/>
    <n v="2393.936605553462"/>
    <n v="2353.0188527321811"/>
    <n v="2356.35498046875"/>
    <n v="5829594"/>
    <n v="-1.65"/>
    <n v="37.58"/>
    <x v="8"/>
    <s v="Q2-2026"/>
  </r>
  <r>
    <d v="2026-05-07T00:00:00"/>
    <x v="2"/>
    <s v="INFY.NS"/>
    <n v="1148.154636960754"/>
    <n v="1150.5038263553199"/>
    <n v="1134.646887555557"/>
    <n v="1138.07275390625"/>
    <n v="12013987"/>
    <n v="-1.18"/>
    <n v="12.43"/>
    <x v="8"/>
    <s v="Q2-2026"/>
  </r>
  <r>
    <d v="2026-05-07T00:00:00"/>
    <x v="3"/>
    <s v="HDFCBANK.NS"/>
    <n v="781.08132768890709"/>
    <n v="788.50847440095629"/>
    <n v="775.71998918690622"/>
    <n v="783.09796142578125"/>
    <n v="46137553"/>
    <n v="-0.69"/>
    <n v="5.41"/>
    <x v="8"/>
    <s v="Q2-2026"/>
  </r>
  <r>
    <d v="2026-05-07T00:00:00"/>
    <x v="4"/>
    <s v="ICICIBANK.NS"/>
    <n v="1273.9597944081111"/>
    <n v="1283.182094356247"/>
    <n v="1262.5559349914979"/>
    <n v="1268.307495117188"/>
    <n v="25028552"/>
    <n v="-0.9"/>
    <n v="14.87"/>
    <x v="8"/>
    <s v="Q2-2026"/>
  </r>
  <r>
    <d v="2026-05-07T00:00:00"/>
    <x v="5"/>
    <s v="WIPRO.NS"/>
    <n v="197.24728945039831"/>
    <n v="198.0184806533604"/>
    <n v="194.96337588112689"/>
    <n v="195.13145446777341"/>
    <n v="19303572"/>
    <n v="-1.1599999999999999"/>
    <n v="2.89"/>
    <x v="8"/>
    <s v="Q2-2026"/>
  </r>
  <r>
    <d v="2026-05-07T00:00:00"/>
    <x v="6"/>
    <s v="HCLTECH.NS"/>
    <n v="1182.9231744098381"/>
    <n v="1183.9130682796369"/>
    <n v="1169.1636254523"/>
    <n v="1171.4404296875"/>
    <n v="3725309"/>
    <n v="-1.1599999999999999"/>
    <n v="12.47"/>
    <x v="8"/>
    <s v="Q2-2026"/>
  </r>
  <r>
    <d v="2026-05-07T00:00:00"/>
    <x v="7"/>
    <s v="BAJFINANCE.NS"/>
    <n v="986.18768527016982"/>
    <n v="986.18768527016982"/>
    <n v="963.07973497283399"/>
    <n v="966.80682373046875"/>
    <n v="7873561"/>
    <n v="-2.34"/>
    <n v="19.38"/>
    <x v="8"/>
    <s v="Q2-2026"/>
  </r>
  <r>
    <d v="2026-05-07T00:00:00"/>
    <x v="8"/>
    <s v="MARUTI.NS"/>
    <n v="13585.55930521514"/>
    <n v="13732.08771048929"/>
    <n v="13536.0564655955"/>
    <n v="13633.08203125"/>
    <n v="726199"/>
    <n v="-0.36"/>
    <n v="99.01"/>
    <x v="8"/>
    <s v="Q2-2026"/>
  </r>
  <r>
    <d v="2026-05-07T00:00:00"/>
    <x v="9"/>
    <s v="TMPV.NS"/>
    <n v="357.23663000630768"/>
    <n v="358.47634619835281"/>
    <n v="354.11252098914719"/>
    <n v="356.29443359375"/>
    <n v="6975162"/>
    <n v="-0.87"/>
    <n v="2.1800000000000002"/>
    <x v="8"/>
    <s v="Q2-2026"/>
  </r>
  <r>
    <d v="2026-05-07T00:00:00"/>
    <x v="10"/>
    <s v="SUNPHARMA.NS"/>
    <n v="1845.3636068874171"/>
    <n v="1852.245594929997"/>
    <n v="1821.5261778758199"/>
    <n v="1829.60498046875"/>
    <n v="2201070"/>
    <n v="-1.29"/>
    <n v="22.64"/>
    <x v="8"/>
    <s v="Q2-2026"/>
  </r>
  <r>
    <d v="2026-05-07T00:00:00"/>
    <x v="11"/>
    <s v="ASIANPAINT.NS"/>
    <n v="2512.7990906551622"/>
    <n v="2533.816693422511"/>
    <n v="2489.6994539267989"/>
    <n v="2508.83349609375"/>
    <n v="1053513"/>
    <n v="-0.92"/>
    <n v="24.98"/>
    <x v="8"/>
    <s v="Q2-2026"/>
  </r>
  <r>
    <d v="2026-05-07T00:00:00"/>
    <x v="12"/>
    <s v="HINDUNILVR.NS"/>
    <n v="2286.7402347777161"/>
    <n v="2304.4599000972162"/>
    <n v="2245.2622293566292"/>
    <n v="2249.32080078125"/>
    <n v="1859012"/>
    <n v="-1.81"/>
    <n v="55.14"/>
    <x v="8"/>
    <s v="Q2-2026"/>
  </r>
  <r>
    <d v="2026-05-07T00:00:00"/>
    <x v="13"/>
    <s v="LT.NS"/>
    <n v="3989.0375730176479"/>
    <n v="4026.4719858868871"/>
    <n v="3952.3954701870489"/>
    <n v="3984.0859375"/>
    <n v="3477185"/>
    <n v="-0.92"/>
    <n v="42.39"/>
    <x v="8"/>
    <s v="Q2-2026"/>
  </r>
  <r>
    <d v="2026-05-07T00:00:00"/>
    <x v="14"/>
    <s v="AXISBANK.NS"/>
    <n v="1297.998929063614"/>
    <n v="1307.0918917772799"/>
    <n v="1280.2125977963419"/>
    <n v="1291.703735351562"/>
    <n v="6785048"/>
    <n v="-1.37"/>
    <n v="15.39"/>
    <x v="8"/>
    <s v="Q2-2026"/>
  </r>
  <r>
    <d v="2026-05-08T00:00:00"/>
    <x v="0"/>
    <s v="RELIANCE.NS"/>
    <n v="1419.4371163507369"/>
    <n v="1436.1598462687909"/>
    <n v="1410.976235923682"/>
    <n v="1428.5947265625"/>
    <n v="8663105"/>
    <n v="-0.6"/>
    <n v="7.57"/>
    <x v="8"/>
    <s v="Q2-2026"/>
  </r>
  <r>
    <d v="2026-05-08T00:00:00"/>
    <x v="1"/>
    <s v="TCS.NS"/>
    <n v="2353.018651512491"/>
    <n v="2361.8498307717118"/>
    <n v="2330.5483023329011"/>
    <n v="2349.486083984375"/>
    <n v="3792199"/>
    <n v="-0.95"/>
    <n v="12.36"/>
    <x v="8"/>
    <s v="Q2-2026"/>
  </r>
  <r>
    <d v="2026-05-08T00:00:00"/>
    <x v="2"/>
    <s v="INFY.NS"/>
    <n v="1136.4088093734099"/>
    <n v="1158.432235911655"/>
    <n v="1134.255455461343"/>
    <n v="1154.223266601562"/>
    <n v="7582770"/>
    <n v="-0.19"/>
    <n v="4.21"/>
    <x v="8"/>
    <s v="Q2-2026"/>
  </r>
  <r>
    <d v="2026-05-08T00:00:00"/>
    <x v="3"/>
    <s v="HDFCBANK.NS"/>
    <n v="771.24403604783254"/>
    <n v="775.91675182745917"/>
    <n v="764.55468651910144"/>
    <n v="768.145263671875"/>
    <n v="38016841"/>
    <n v="-0.87"/>
    <n v="7.77"/>
    <x v="8"/>
    <s v="Q2-2026"/>
  </r>
  <r>
    <d v="2026-05-08T00:00:00"/>
    <x v="4"/>
    <s v="ICICIBANK.NS"/>
    <n v="1268.9025177053809"/>
    <n v="1268.9025177053809"/>
    <n v="1250.6563175253959"/>
    <n v="1254.226318359375"/>
    <n v="11137424"/>
    <n v="-1.44"/>
    <n v="14.68"/>
    <x v="8"/>
    <s v="Q2-2026"/>
  </r>
  <r>
    <d v="2026-05-08T00:00:00"/>
    <x v="5"/>
    <s v="WIPRO.NS"/>
    <n v="195.76422731131211"/>
    <n v="196.6936154507699"/>
    <n v="194.47890360964689"/>
    <n v="195.67524719238281"/>
    <n v="15970687"/>
    <n v="-0.66"/>
    <n v="1.02"/>
    <x v="8"/>
    <s v="Q2-2026"/>
  </r>
  <r>
    <d v="2026-05-08T00:00:00"/>
    <x v="6"/>
    <s v="HCLTECH.NS"/>
    <n v="1167.8769370248581"/>
    <n v="1190.6444980011879"/>
    <n v="1164.9072551583799"/>
    <n v="1186.288940429688"/>
    <n v="2813749"/>
    <n v="-0.25"/>
    <n v="4.3600000000000003"/>
    <x v="8"/>
    <s v="Q2-2026"/>
  </r>
  <r>
    <d v="2026-05-08T00:00:00"/>
    <x v="7"/>
    <s v="BAJFINANCE.NS"/>
    <n v="965.06753081657348"/>
    <n v="966.01173878246982"/>
    <n v="945.18972379666468"/>
    <n v="949.51312255859375"/>
    <n v="5555386"/>
    <n v="-2.06"/>
    <n v="16.5"/>
    <x v="8"/>
    <s v="Q2-2026"/>
  </r>
  <r>
    <d v="2026-05-08T00:00:00"/>
    <x v="8"/>
    <s v="MARUTI.NS"/>
    <n v="13536.05646446525"/>
    <n v="13651.893109165539"/>
    <n v="13490.513852018979"/>
    <n v="13589.51953125"/>
    <n v="270505"/>
    <n v="-0.34"/>
    <n v="62.37"/>
    <x v="8"/>
    <s v="Q2-2026"/>
  </r>
  <r>
    <d v="2026-05-08T00:00:00"/>
    <x v="9"/>
    <s v="TMPV.NS"/>
    <n v="353.07115879906439"/>
    <n v="354.50924163673102"/>
    <n v="350.79009319432521"/>
    <n v="352.52569580078119"/>
    <n v="4615800"/>
    <n v="-0.65"/>
    <n v="1.98"/>
    <x v="8"/>
    <s v="Q2-2026"/>
  </r>
  <r>
    <d v="2026-05-08T00:00:00"/>
    <x v="10"/>
    <s v="SUNPHARMA.NS"/>
    <n v="1817.2373791592111"/>
    <n v="1852.644583857428"/>
    <n v="1814.4446495247771"/>
    <n v="1843.069702148438"/>
    <n v="2837885"/>
    <n v="-0.15"/>
    <n v="9.57"/>
    <x v="8"/>
    <s v="Q2-2026"/>
  </r>
  <r>
    <d v="2026-05-08T00:00:00"/>
    <x v="11"/>
    <s v="ASIANPAINT.NS"/>
    <n v="2518.1524303726392"/>
    <n v="2584.9725988347618"/>
    <n v="2493.7639281283509"/>
    <n v="2577.537109375"/>
    <n v="2327900"/>
    <n v="-0.97"/>
    <n v="7.44"/>
    <x v="8"/>
    <s v="Q2-2026"/>
  </r>
  <r>
    <d v="2026-05-08T00:00:00"/>
    <x v="12"/>
    <s v="HINDUNILVR.NS"/>
    <n v="2249.3208664913541"/>
    <n v="2274.16822791307"/>
    <n v="2233.28403479076"/>
    <n v="2264.664794921875"/>
    <n v="1104526"/>
    <n v="-0.71"/>
    <n v="9.5"/>
    <x v="8"/>
    <s v="Q2-2026"/>
  </r>
  <r>
    <d v="2026-05-08T00:00:00"/>
    <x v="13"/>
    <s v="LT.NS"/>
    <n v="3971.2117888747798"/>
    <n v="3975.1730973923609"/>
    <n v="3921.6954324050189"/>
    <n v="3936.05517578125"/>
    <n v="1620273"/>
    <n v="-1.25"/>
    <n v="39.119999999999997"/>
    <x v="8"/>
    <s v="Q2-2026"/>
  </r>
  <r>
    <d v="2026-05-08T00:00:00"/>
    <x v="14"/>
    <s v="AXISBANK.NS"/>
    <n v="1279.0135664260549"/>
    <n v="1281.012025123596"/>
    <n v="1263.6254100597439"/>
    <n v="1267.322631835938"/>
    <n v="6358595"/>
    <n v="-1.2"/>
    <n v="13.69"/>
    <x v="8"/>
    <s v="Q2-2026"/>
  </r>
  <r>
    <d v="2026-05-11T00:00:00"/>
    <x v="0"/>
    <s v="RELIANCE.NS"/>
    <n v="1413.4647305422179"/>
    <n v="1421.427912122738"/>
    <n v="1375.639618034751"/>
    <n v="1381.81103515625"/>
    <n v="15261787"/>
    <n v="-2.68"/>
    <n v="39.619999999999997"/>
    <x v="8"/>
    <s v="Q2-2026"/>
  </r>
  <r>
    <d v="2026-05-11T00:00:00"/>
    <x v="1"/>
    <s v="TCS.NS"/>
    <n v="2326.525295577595"/>
    <n v="2369.699953108347"/>
    <n v="2326.525295577595"/>
    <n v="2348.014404296875"/>
    <n v="1975188"/>
    <n v="0"/>
    <n v="21.69"/>
    <x v="8"/>
    <s v="Q2-2026"/>
  </r>
  <r>
    <d v="2026-05-11T00:00:00"/>
    <x v="2"/>
    <s v="INFY.NS"/>
    <n v="1151.09112730326"/>
    <n v="1161.8581361470831"/>
    <n v="1147.273709361684"/>
    <n v="1152.069946289062"/>
    <n v="7336288"/>
    <n v="-0.33"/>
    <n v="9.7899999999999991"/>
    <x v="8"/>
    <s v="Q2-2026"/>
  </r>
  <r>
    <d v="2026-05-11T00:00:00"/>
    <x v="3"/>
    <s v="HDFCBANK.NS"/>
    <n v="759.39010264160629"/>
    <n v="762.2428825536997"/>
    <n v="749.50363183266143"/>
    <n v="751.22515869140625"/>
    <n v="41123422"/>
    <n v="-1.3"/>
    <n v="11.02"/>
    <x v="8"/>
    <s v="Q2-2026"/>
  </r>
  <r>
    <d v="2026-05-11T00:00:00"/>
    <x v="4"/>
    <s v="ICICIBANK.NS"/>
    <n v="1248.871386509416"/>
    <n v="1265.0350451845079"/>
    <n v="1241.533226614991"/>
    <n v="1255.812866210938"/>
    <n v="18980488"/>
    <n v="-0.59"/>
    <n v="9.2200000000000006"/>
    <x v="8"/>
    <s v="Q2-2026"/>
  </r>
  <r>
    <d v="2026-05-11T00:00:00"/>
    <x v="5"/>
    <s v="WIPRO.NS"/>
    <n v="195.64558361432839"/>
    <n v="196.00151917009839"/>
    <n v="193.93510756456371"/>
    <n v="194.45912170410159"/>
    <n v="9199527"/>
    <n v="-0.87"/>
    <n v="1.54"/>
    <x v="8"/>
    <s v="Q2-2026"/>
  </r>
  <r>
    <d v="2026-05-11T00:00:00"/>
    <x v="6"/>
    <s v="HCLTECH.NS"/>
    <n v="1184.8040065055991"/>
    <n v="1194.109033124246"/>
    <n v="1179.0625736797001"/>
    <n v="1182.82421875"/>
    <n v="2505962"/>
    <n v="-0.48"/>
    <n v="11.28"/>
    <x v="8"/>
    <s v="Q2-2026"/>
  </r>
  <r>
    <d v="2026-05-11T00:00:00"/>
    <x v="7"/>
    <s v="BAJFINANCE.NS"/>
    <n v="940.22027585243666"/>
    <n v="950.15917940267377"/>
    <n v="927.84632879994069"/>
    <n v="930.3310546875"/>
    <n v="5581022"/>
    <n v="-1.32"/>
    <n v="19.829999999999998"/>
    <x v="8"/>
    <s v="Q2-2026"/>
  </r>
  <r>
    <d v="2026-05-11T00:00:00"/>
    <x v="8"/>
    <s v="MARUTI.NS"/>
    <n v="13412.299180710201"/>
    <n v="13521.20542636445"/>
    <n v="13099.4412386489"/>
    <n v="13348.935546875"/>
    <n v="634354"/>
    <n v="-2.33"/>
    <n v="172.27"/>
    <x v="8"/>
    <s v="Q2-2026"/>
  </r>
  <r>
    <d v="2026-05-11T00:00:00"/>
    <x v="9"/>
    <s v="TMPV.NS"/>
    <n v="349.40159989184991"/>
    <n v="349.40159989184991"/>
    <n v="342.36003612552503"/>
    <n v="343.1534423828125"/>
    <n v="4283236"/>
    <n v="-2.02"/>
    <n v="6.25"/>
    <x v="8"/>
    <s v="Q2-2026"/>
  </r>
  <r>
    <d v="2026-05-11T00:00:00"/>
    <x v="10"/>
    <s v="SUNPHARMA.NS"/>
    <n v="1822.4237442361309"/>
    <n v="1880.8706642433331"/>
    <n v="1820.22954362376"/>
    <n v="1867.804809570312"/>
    <n v="2564978"/>
    <n v="-0.12"/>
    <n v="13.07"/>
    <x v="8"/>
    <s v="Q2-2026"/>
  </r>
  <r>
    <d v="2026-05-11T00:00:00"/>
    <x v="11"/>
    <s v="ASIANPAINT.NS"/>
    <n v="2556.7177847784319"/>
    <n v="2585.468344538891"/>
    <n v="2533.023454757636"/>
    <n v="2544.028076171875"/>
    <n v="1271257"/>
    <n v="-0.93"/>
    <n v="41.44"/>
    <x v="8"/>
    <s v="Q2-2026"/>
  </r>
  <r>
    <d v="2026-05-11T00:00:00"/>
    <x v="12"/>
    <s v="HINDUNILVR.NS"/>
    <n v="2254.1717310173199"/>
    <n v="2293.7689667003269"/>
    <n v="2236.4518230397671"/>
    <n v="2283.968505859375"/>
    <n v="1903862"/>
    <n v="-0.79"/>
    <n v="9.8000000000000007"/>
    <x v="8"/>
    <s v="Q2-2026"/>
  </r>
  <r>
    <d v="2026-05-11T00:00:00"/>
    <x v="13"/>
    <s v="LT.NS"/>
    <n v="3909.811514041804"/>
    <n v="3915.2583132634932"/>
    <n v="3848.5103613311512"/>
    <n v="3902.0869140625"/>
    <n v="2027769"/>
    <n v="-1.57"/>
    <n v="13.17"/>
    <x v="8"/>
    <s v="Q2-2026"/>
  </r>
  <r>
    <d v="2026-05-11T00:00:00"/>
    <x v="14"/>
    <s v="AXISBANK.NS"/>
    <n v="1257.7299630241209"/>
    <n v="1282.0112855788941"/>
    <n v="1250.735357413012"/>
    <n v="1271.319580078125"/>
    <n v="7341360"/>
    <n v="-0.56000000000000005"/>
    <n v="10.69"/>
    <x v="8"/>
    <s v="Q2-2026"/>
  </r>
  <r>
    <d v="2026-05-12T00:00:00"/>
    <x v="0"/>
    <s v="RELIANCE.NS"/>
    <n v="1385.5935466688049"/>
    <n v="1387.08664316306"/>
    <n v="1354.03948936028"/>
    <n v="1357.722412109375"/>
    <n v="24357500"/>
    <n v="-2.2799999999999998"/>
    <n v="29.36"/>
    <x v="8"/>
    <s v="Q2-2026"/>
  </r>
  <r>
    <d v="2026-05-12T00:00:00"/>
    <x v="1"/>
    <s v="TCS.NS"/>
    <n v="2330.4503600020762"/>
    <n v="2330.4503600020762"/>
    <n v="2240.176072372522"/>
    <n v="2257.151611328125"/>
    <n v="6347884"/>
    <n v="-3.87"/>
    <n v="73.3"/>
    <x v="8"/>
    <s v="Q2-2026"/>
  </r>
  <r>
    <d v="2026-05-12T00:00:00"/>
    <x v="2"/>
    <s v="INFY.NS"/>
    <n v="1137.3876630949439"/>
    <n v="1137.3876630949439"/>
    <n v="1099.2137225951999"/>
    <n v="1116.147338867188"/>
    <n v="16891948"/>
    <n v="-3.36"/>
    <n v="21.24"/>
    <x v="8"/>
    <s v="Q2-2026"/>
  </r>
  <r>
    <d v="2026-05-12T00:00:00"/>
    <x v="3"/>
    <s v="HDFCBANK.NS"/>
    <n v="744.28983053251238"/>
    <n v="747.33942847833782"/>
    <n v="735.63302160512035"/>
    <n v="738.23992919921875"/>
    <n v="43937132"/>
    <n v="-1.1599999999999999"/>
    <n v="9.1"/>
    <x v="8"/>
    <s v="Q2-2026"/>
  </r>
  <r>
    <d v="2026-05-12T00:00:00"/>
    <x v="4"/>
    <s v="ICICIBANK.NS"/>
    <n v="1245.499852074762"/>
    <n v="1249.3672723222171"/>
    <n v="1225.9645923052949"/>
    <n v="1229.93115234375"/>
    <n v="21110708"/>
    <n v="-1.57"/>
    <n v="19.440000000000001"/>
    <x v="8"/>
    <s v="Q2-2026"/>
  </r>
  <r>
    <d v="2026-05-12T00:00:00"/>
    <x v="5"/>
    <s v="WIPRO.NS"/>
    <n v="193.8856759096567"/>
    <n v="193.92521759793999"/>
    <n v="186.964718800399"/>
    <n v="187.4294128417969"/>
    <n v="27435195"/>
    <n v="-3.57"/>
    <n v="6.5"/>
    <x v="8"/>
    <s v="Q2-2026"/>
  </r>
  <r>
    <d v="2026-05-12T00:00:00"/>
    <x v="6"/>
    <s v="HCLTECH.NS"/>
    <n v="1171.044463081349"/>
    <n v="1172.0343569639199"/>
    <n v="1131.052726058155"/>
    <n v="1134.220458984375"/>
    <n v="3959561"/>
    <n v="-3.42"/>
    <n v="37.81"/>
    <x v="8"/>
    <s v="Q2-2026"/>
  </r>
  <r>
    <d v="2026-05-12T00:00:00"/>
    <x v="7"/>
    <s v="BAJFINANCE.NS"/>
    <n v="922.33023718185802"/>
    <n v="926.95185153608611"/>
    <n v="896.24061570984964"/>
    <n v="898.6756591796875"/>
    <n v="7174645"/>
    <n v="-2.83"/>
    <n v="28.28"/>
    <x v="8"/>
    <s v="Q2-2026"/>
  </r>
  <r>
    <d v="2026-05-12T00:00:00"/>
    <x v="8"/>
    <s v="MARUTI.NS"/>
    <n v="13308.343659401809"/>
    <n v="13321.214397950551"/>
    <n v="13019.24707046078"/>
    <n v="13041.0283203125"/>
    <n v="302512"/>
    <n v="-2.17"/>
    <n v="280.19"/>
    <x v="8"/>
    <s v="Q2-2026"/>
  </r>
  <r>
    <d v="2026-05-12T00:00:00"/>
    <x v="9"/>
    <s v="TMPV.NS"/>
    <n v="341.02114623203698"/>
    <n v="342.85593230375002"/>
    <n v="333.2357222627744"/>
    <n v="334.0787353515625"/>
    <n v="5758949"/>
    <n v="-2.2799999999999998"/>
    <n v="8.7799999999999994"/>
    <x v="8"/>
    <s v="Q2-2026"/>
  </r>
  <r>
    <d v="2026-05-12T00:00:00"/>
    <x v="10"/>
    <s v="SUNPHARMA.NS"/>
    <n v="1870.0988258974519"/>
    <n v="1874.4873488258031"/>
    <n v="1835.190314480699"/>
    <n v="1840.875366210938"/>
    <n v="3263351"/>
    <n v="-1.87"/>
    <n v="33.61"/>
    <x v="8"/>
    <s v="Q2-2026"/>
  </r>
  <r>
    <d v="2026-05-12T00:00:00"/>
    <x v="11"/>
    <s v="ASIANPAINT.NS"/>
    <n v="2524.299093791526"/>
    <n v="2533.7173805918151"/>
    <n v="2478.496526391938"/>
    <n v="2483.94921875"/>
    <n v="628802"/>
    <n v="-1.81"/>
    <n v="49.77"/>
    <x v="8"/>
    <s v="Q2-2026"/>
  </r>
  <r>
    <d v="2026-05-12T00:00:00"/>
    <x v="12"/>
    <s v="HINDUNILVR.NS"/>
    <n v="2262.2890704701581"/>
    <n v="2283.770522059433"/>
    <n v="2233.2840475795761"/>
    <n v="2239.2236328125"/>
    <n v="983506"/>
    <n v="-1.28"/>
    <n v="44.55"/>
    <x v="8"/>
    <s v="Q2-2026"/>
  </r>
  <r>
    <d v="2026-05-12T00:00:00"/>
    <x v="13"/>
    <s v="LT.NS"/>
    <n v="3887.1330702564492"/>
    <n v="3901.888847613202"/>
    <n v="3809.7884255756312"/>
    <n v="3819.196533203125"/>
    <n v="2255075"/>
    <n v="-1.99"/>
    <n v="82.69"/>
    <x v="8"/>
    <s v="Q2-2026"/>
  </r>
  <r>
    <d v="2026-05-12T00:00:00"/>
    <x v="14"/>
    <s v="AXISBANK.NS"/>
    <n v="1269.421017563825"/>
    <n v="1273.018218904886"/>
    <n v="1255.9314210526661"/>
    <n v="1259.12890625"/>
    <n v="5727828"/>
    <n v="-1.06"/>
    <n v="13.89"/>
    <x v="8"/>
    <s v="Q2-2026"/>
  </r>
  <r>
    <d v="2026-05-13T00:00:00"/>
    <x v="0"/>
    <s v="RELIANCE.NS"/>
    <n v="1355.134396328662"/>
    <n v="1366.0837705701031"/>
    <n v="1346.175817403848"/>
    <n v="1352.54638671875"/>
    <n v="13797989"/>
    <n v="-0.66"/>
    <n v="13.54"/>
    <x v="8"/>
    <s v="Q2-2026"/>
  </r>
  <r>
    <d v="2026-05-13T00:00:00"/>
    <x v="1"/>
    <s v="TCS.NS"/>
    <n v="2262.744428232616"/>
    <n v="2265.8843552424919"/>
    <n v="2226.438468195925"/>
    <n v="2230.167236328125"/>
    <n v="3171843"/>
    <n v="-1.6"/>
    <n v="35.72"/>
    <x v="8"/>
    <s v="Q2-2026"/>
  </r>
  <r>
    <d v="2026-05-13T00:00:00"/>
    <x v="2"/>
    <s v="INFY.NS"/>
    <n v="1112.525579077261"/>
    <n v="1118.398492694932"/>
    <n v="1097.256027568262"/>
    <n v="1099.3115234375"/>
    <n v="6664111"/>
    <n v="-1.37"/>
    <n v="19.09"/>
    <x v="8"/>
    <s v="Q2-2026"/>
  </r>
  <r>
    <d v="2026-05-13T00:00:00"/>
    <x v="3"/>
    <s v="HDFCBANK.NS"/>
    <n v="739.76472281846941"/>
    <n v="747.58538581945061"/>
    <n v="735.19035576824592"/>
    <n v="737.40374755859375"/>
    <n v="28960919"/>
    <n v="-0.62"/>
    <n v="10.18"/>
    <x v="8"/>
    <s v="Q2-2026"/>
  </r>
  <r>
    <d v="2026-05-13T00:00:00"/>
    <x v="4"/>
    <s v="ICICIBANK.NS"/>
    <n v="1227.9478864287821"/>
    <n v="1238.756665817876"/>
    <n v="1216.9405853557951"/>
    <n v="1225.270385742188"/>
    <n v="19490295"/>
    <n v="-0.9"/>
    <n v="13.49"/>
    <x v="8"/>
    <s v="Q2-2026"/>
  </r>
  <r>
    <d v="2026-05-13T00:00:00"/>
    <x v="5"/>
    <s v="WIPRO.NS"/>
    <n v="188.5169852068945"/>
    <n v="189.13987618247521"/>
    <n v="185.19492514794621"/>
    <n v="185.67939758300781"/>
    <n v="17242394"/>
    <n v="-1.76"/>
    <n v="3.46"/>
    <x v="8"/>
    <s v="Q2-2026"/>
  </r>
  <r>
    <d v="2026-05-13T00:00:00"/>
    <x v="6"/>
    <s v="HCLTECH.NS"/>
    <n v="1134.7154964657791"/>
    <n v="1142.9315438446911"/>
    <n v="1125.608399517469"/>
    <n v="1131.646728515625"/>
    <n v="2635034"/>
    <n v="-0.8"/>
    <n v="11.28"/>
    <x v="8"/>
    <s v="Q2-2026"/>
  </r>
  <r>
    <d v="2026-05-13T00:00:00"/>
    <x v="7"/>
    <s v="BAJFINANCE.NS"/>
    <n v="896.48910003335948"/>
    <n v="901.85613221420317"/>
    <n v="884.61209816099904"/>
    <n v="890.67486572265625"/>
    <n v="7422952"/>
    <n v="-1.32"/>
    <n v="11.18"/>
    <x v="8"/>
    <s v="Q2-2026"/>
  </r>
  <r>
    <d v="2026-05-13T00:00:00"/>
    <x v="8"/>
    <s v="MARUTI.NS"/>
    <n v="13055.879618753819"/>
    <n v="13152.9051895916"/>
    <n v="12856.878192851829"/>
    <n v="12972.71484375"/>
    <n v="307027"/>
    <n v="-1.52"/>
    <n v="180.19"/>
    <x v="8"/>
    <s v="Q2-2026"/>
  </r>
  <r>
    <d v="2026-05-13T00:00:00"/>
    <x v="9"/>
    <s v="TMPV.NS"/>
    <n v="332.24394927984952"/>
    <n v="339.58306330019212"/>
    <n v="331.25217629692457"/>
    <n v="334.0787353515625"/>
    <n v="5692558"/>
    <n v="-0.3"/>
    <n v="5.5"/>
    <x v="8"/>
    <s v="Q2-2026"/>
  </r>
  <r>
    <d v="2026-05-13T00:00:00"/>
    <x v="10"/>
    <s v="SUNPHARMA.NS"/>
    <n v="1840.875422853607"/>
    <n v="1855.1380923717959"/>
    <n v="1815.2426495250911"/>
    <n v="1820.030151367188"/>
    <n v="1972365"/>
    <n v="-1.39"/>
    <n v="35.11"/>
    <x v="8"/>
    <s v="Q2-2026"/>
  </r>
  <r>
    <d v="2026-05-13T00:00:00"/>
    <x v="11"/>
    <s v="ASIANPAINT.NS"/>
    <n v="2532.032154072725"/>
    <n v="2619.671697984732"/>
    <n v="2532.032154072725"/>
    <n v="2595.085205078125"/>
    <n v="3515018"/>
    <n v="0"/>
    <n v="24.59"/>
    <x v="8"/>
    <s v="Q2-2026"/>
  </r>
  <r>
    <d v="2026-05-13T00:00:00"/>
    <x v="12"/>
    <s v="HINDUNILVR.NS"/>
    <n v="2242.1933256026982"/>
    <n v="2272.6832434440489"/>
    <n v="2227.344363181488"/>
    <n v="2244.47021484375"/>
    <n v="1308559"/>
    <n v="-0.66"/>
    <n v="28.21"/>
    <x v="8"/>
    <s v="Q2-2026"/>
  </r>
  <r>
    <d v="2026-05-13T00:00:00"/>
    <x v="13"/>
    <s v="LT.NS"/>
    <n v="3810.778866691976"/>
    <n v="3914.7632172643921"/>
    <n v="3810.778866691976"/>
    <n v="3877.923095703125"/>
    <n v="2486330"/>
    <n v="0"/>
    <n v="36.840000000000003"/>
    <x v="8"/>
    <s v="Q2-2026"/>
  </r>
  <r>
    <d v="2026-05-13T00:00:00"/>
    <x v="14"/>
    <s v="AXISBANK.NS"/>
    <n v="1255.1320159570739"/>
    <n v="1274.317293485441"/>
    <n v="1246.538667573858"/>
    <n v="1254.732299804688"/>
    <n v="6045406"/>
    <n v="-0.68"/>
    <n v="19.579999999999998"/>
    <x v="8"/>
    <s v="Q2-2026"/>
  </r>
  <r>
    <d v="2026-05-14T00:00:00"/>
    <x v="0"/>
    <s v="RELIANCE.NS"/>
    <n v="1358.916847637553"/>
    <n v="1371.6579863902989"/>
    <n v="1352.1482164008171"/>
    <n v="1355.532592773438"/>
    <n v="17303059"/>
    <n v="-0.5"/>
    <n v="16.13"/>
    <x v="8"/>
    <s v="Q2-2026"/>
  </r>
  <r>
    <d v="2026-05-14T00:00:00"/>
    <x v="1"/>
    <s v="TCS.NS"/>
    <n v="2222.5137201378839"/>
    <n v="2222.5137201378839"/>
    <n v="2165.0128278454181"/>
    <n v="2203.8701171875"/>
    <n v="5633313"/>
    <n v="-2.59"/>
    <n v="18.64"/>
    <x v="8"/>
    <s v="Q2-2026"/>
  </r>
  <r>
    <d v="2026-05-14T00:00:00"/>
    <x v="2"/>
    <s v="INFY.NS"/>
    <n v="1096.0815207310741"/>
    <n v="1098.1370166529939"/>
    <n v="1065.933848927119"/>
    <n v="1071.806762695312"/>
    <n v="16914842"/>
    <n v="-2.75"/>
    <n v="26.33"/>
    <x v="8"/>
    <s v="Q2-2026"/>
  </r>
  <r>
    <d v="2026-05-14T00:00:00"/>
    <x v="3"/>
    <s v="HDFCBANK.NS"/>
    <n v="738.78100097023332"/>
    <n v="765.63680963623142"/>
    <n v="734.84608219009897"/>
    <n v="757.0291748046875"/>
    <n v="50992358"/>
    <n v="-0.53"/>
    <n v="8.61"/>
    <x v="8"/>
    <s v="Q2-2026"/>
  </r>
  <r>
    <d v="2026-05-14T00:00:00"/>
    <x v="4"/>
    <s v="ICICIBANK.NS"/>
    <n v="1228.7410341788379"/>
    <n v="1246.1938730369459"/>
    <n v="1225.6669745529441"/>
    <n v="1235.583374023438"/>
    <n v="16535600"/>
    <n v="-0.25"/>
    <n v="10.61"/>
    <x v="8"/>
    <s v="Q2-2026"/>
  </r>
  <r>
    <d v="2026-05-14T00:00:00"/>
    <x v="5"/>
    <s v="WIPRO.NS"/>
    <n v="186.12431340514979"/>
    <n v="188.032512935863"/>
    <n v="184.8884281899762"/>
    <n v="186.17375183105469"/>
    <n v="18280387"/>
    <n v="-0.66"/>
    <n v="1.86"/>
    <x v="8"/>
    <s v="Q2-2026"/>
  </r>
  <r>
    <d v="2026-05-14T00:00:00"/>
    <x v="6"/>
    <s v="HCLTECH.NS"/>
    <n v="1127.489155616624"/>
    <n v="1131.646661674929"/>
    <n v="1092.248956834042"/>
    <n v="1112.640747070312"/>
    <n v="5837032"/>
    <n v="-3.13"/>
    <n v="19.010000000000002"/>
    <x v="8"/>
    <s v="Q2-2026"/>
  </r>
  <r>
    <d v="2026-05-14T00:00:00"/>
    <x v="7"/>
    <s v="BAJFINANCE.NS"/>
    <n v="897.38360186375758"/>
    <n v="909.40965057365611"/>
    <n v="883.56850203276531"/>
    <n v="906.57708740234375"/>
    <n v="6815238"/>
    <n v="-1.54"/>
    <n v="2.83"/>
    <x v="8"/>
    <s v="Q2-2026"/>
  </r>
  <r>
    <d v="2026-05-14T00:00:00"/>
    <x v="8"/>
    <s v="MARUTI.NS"/>
    <n v="13102.41220139221"/>
    <n v="13102.41220139221"/>
    <n v="12797.47469511831"/>
    <n v="12944.9931640625"/>
    <n v="286648"/>
    <n v="-2.33"/>
    <n v="157.41999999999999"/>
    <x v="8"/>
    <s v="Q2-2026"/>
  </r>
  <r>
    <d v="2026-05-14T00:00:00"/>
    <x v="9"/>
    <s v="TMPV.NS"/>
    <n v="337.25236640866171"/>
    <n v="337.79785966982593"/>
    <n v="330.90502582912183"/>
    <n v="335.96307373046881"/>
    <n v="7975089"/>
    <n v="-1.88"/>
    <n v="1.83"/>
    <x v="8"/>
    <s v="Q2-2026"/>
  </r>
  <r>
    <d v="2026-05-14T00:00:00"/>
    <x v="10"/>
    <s v="SUNPHARMA.NS"/>
    <n v="1847.1589150836901"/>
    <n v="1862.6183984442721"/>
    <n v="1824.9171580644279"/>
    <n v="1858.32958984375"/>
    <n v="2429220"/>
    <n v="-1.2"/>
    <n v="4.29"/>
    <x v="8"/>
    <s v="Q2-2026"/>
  </r>
  <r>
    <d v="2026-05-14T00:00:00"/>
    <x v="11"/>
    <s v="ASIANPAINT.NS"/>
    <n v="2597.4644791770538"/>
    <n v="2642.7713493560891"/>
    <n v="2587.5504926153089"/>
    <n v="2599.6455078125"/>
    <n v="1040916"/>
    <n v="-0.38"/>
    <n v="43.13"/>
    <x v="8"/>
    <s v="Q2-2026"/>
  </r>
  <r>
    <d v="2026-05-14T00:00:00"/>
    <x v="12"/>
    <s v="HINDUNILVR.NS"/>
    <n v="2245.1630860930391"/>
    <n v="2262.8827509902421"/>
    <n v="2222.394677371637"/>
    <n v="2226.057373046875"/>
    <n v="1380764"/>
    <n v="-1.01"/>
    <n v="36.83"/>
    <x v="8"/>
    <s v="Q2-2026"/>
  </r>
  <r>
    <d v="2026-05-14T00:00:00"/>
    <x v="13"/>
    <s v="LT.NS"/>
    <n v="3903.8695322232302"/>
    <n v="3949.4245800370982"/>
    <n v="3887.0339710746271"/>
    <n v="3902.284912109375"/>
    <n v="2982228"/>
    <n v="-0.43"/>
    <n v="47.14"/>
    <x v="8"/>
    <s v="Q2-2026"/>
  </r>
  <r>
    <d v="2026-05-14T00:00:00"/>
    <x v="14"/>
    <s v="AXISBANK.NS"/>
    <n v="1255.631637507536"/>
    <n v="1268.0221064416951"/>
    <n v="1234.847739208659"/>
    <n v="1253.633178710938"/>
    <n v="5822618"/>
    <n v="-1.66"/>
    <n v="14.39"/>
    <x v="8"/>
    <s v="Q2-2026"/>
  </r>
  <r>
    <d v="2026-05-15T00:00:00"/>
    <x v="0"/>
    <s v="RELIANCE.NS"/>
    <n v="1350.555649117809"/>
    <n v="1358.5188307246151"/>
    <n v="1323.082575367519"/>
    <n v="1330.24951171875"/>
    <n v="19976192"/>
    <n v="-2.0299999999999998"/>
    <n v="28.27"/>
    <x v="8"/>
    <s v="Q2-2026"/>
  </r>
  <r>
    <d v="2026-05-15T00:00:00"/>
    <x v="1"/>
    <s v="TCS.NS"/>
    <n v="2209.757563614593"/>
    <n v="2261.665183205434"/>
    <n v="2209.757563614593"/>
    <n v="2221.532470703125"/>
    <n v="3410637"/>
    <n v="0"/>
    <n v="40.130000000000003"/>
    <x v="8"/>
    <s v="Q2-2026"/>
  </r>
  <r>
    <d v="2026-05-15T00:00:00"/>
    <x v="2"/>
    <s v="INFY.NS"/>
    <n v="1078.6585389001759"/>
    <n v="1109.197643931765"/>
    <n v="1078.2669874029009"/>
    <n v="1095.298461914062"/>
    <n v="17482450"/>
    <n v="-0.04"/>
    <n v="13.9"/>
    <x v="8"/>
    <s v="Q2-2026"/>
  </r>
  <r>
    <d v="2026-05-15T00:00:00"/>
    <x v="3"/>
    <s v="HDFCBANK.NS"/>
    <n v="760.42302532382428"/>
    <n v="769.17824329329039"/>
    <n v="752.9467039429112"/>
    <n v="755.01251220703125"/>
    <n v="24347873"/>
    <n v="-0.98"/>
    <n v="14.17"/>
    <x v="8"/>
    <s v="Q2-2026"/>
  </r>
  <r>
    <d v="2026-05-15T00:00:00"/>
    <x v="4"/>
    <s v="ICICIBANK.NS"/>
    <n v="1236.1783670004279"/>
    <n v="1247.483086910531"/>
    <n v="1231.616847331383"/>
    <n v="1234.095947265625"/>
    <n v="11745614"/>
    <n v="-0.37"/>
    <n v="13.39"/>
    <x v="8"/>
    <s v="Q2-2026"/>
  </r>
  <r>
    <d v="2026-05-15T00:00:00"/>
    <x v="5"/>
    <s v="WIPRO.NS"/>
    <n v="187.75567637057489"/>
    <n v="189.733092720287"/>
    <n v="186.66810643012681"/>
    <n v="187.85455322265619"/>
    <n v="17902610"/>
    <n v="-0.57999999999999996"/>
    <n v="1.88"/>
    <x v="8"/>
    <s v="Q2-2026"/>
  </r>
  <r>
    <d v="2026-05-15T00:00:00"/>
    <x v="6"/>
    <s v="HCLTECH.NS"/>
    <n v="1110.561992183098"/>
    <n v="1140.3577744488491"/>
    <n v="1110.4630269602869"/>
    <n v="1121.15380859375"/>
    <n v="3729249"/>
    <n v="-0.01"/>
    <n v="19.2"/>
    <x v="8"/>
    <s v="Q2-2026"/>
  </r>
  <r>
    <d v="2026-05-15T00:00:00"/>
    <x v="7"/>
    <s v="BAJFINANCE.NS"/>
    <n v="907.42185934756969"/>
    <n v="915.96929180817767"/>
    <n v="901.80635479207376"/>
    <n v="904.887451171875"/>
    <n v="5012279"/>
    <n v="-0.62"/>
    <n v="11.08"/>
    <x v="8"/>
    <s v="Q2-2026"/>
  </r>
  <r>
    <d v="2026-05-15T00:00:00"/>
    <x v="8"/>
    <s v="MARUTI.NS"/>
    <n v="12948.95294935023"/>
    <n v="13192.506923319201"/>
    <n v="12948.95294935023"/>
    <n v="13089.541015625"/>
    <n v="268206"/>
    <n v="0"/>
    <n v="102.97"/>
    <x v="8"/>
    <s v="Q2-2026"/>
  </r>
  <r>
    <d v="2026-05-15T00:00:00"/>
    <x v="9"/>
    <s v="TMPV.NS"/>
    <n v="349.10408330430357"/>
    <n v="363.93110122170083"/>
    <n v="349.10408330430357"/>
    <n v="353.61663818359381"/>
    <n v="51689818"/>
    <n v="0"/>
    <n v="10.31"/>
    <x v="8"/>
    <s v="Q2-2026"/>
  </r>
  <r>
    <d v="2026-05-15T00:00:00"/>
    <x v="10"/>
    <s v="SUNPHARMA.NS"/>
    <n v="1869.1014326201359"/>
    <n v="1882.9651228793571"/>
    <n v="1858.329614724184"/>
    <n v="1873.290405273438"/>
    <n v="2756465"/>
    <n v="-0.57999999999999996"/>
    <n v="9.67"/>
    <x v="8"/>
    <s v="Q2-2026"/>
  </r>
  <r>
    <d v="2026-05-15T00:00:00"/>
    <x v="11"/>
    <s v="ASIANPAINT.NS"/>
    <n v="2599.6455492931768"/>
    <n v="2617.2924940628"/>
    <n v="2570.4985251528451"/>
    <n v="2583.1884765625"/>
    <n v="796240"/>
    <n v="-1.1200000000000001"/>
    <n v="34.1"/>
    <x v="8"/>
    <s v="Q2-2026"/>
  </r>
  <r>
    <d v="2026-05-15T00:00:00"/>
    <x v="12"/>
    <s v="HINDUNILVR.NS"/>
    <n v="2226.0574260984458"/>
    <n v="2275.7519058077978"/>
    <n v="2223.5825990045309"/>
    <n v="2249.32080078125"/>
    <n v="1038522"/>
    <n v="-0.11"/>
    <n v="26.43"/>
    <x v="8"/>
    <s v="Q2-2026"/>
  </r>
  <r>
    <d v="2026-05-15T00:00:00"/>
    <x v="13"/>
    <s v="LT.NS"/>
    <n v="3911.197839728613"/>
    <n v="3911.197839728613"/>
    <n v="3855.34348674783"/>
    <n v="3871.188720703125"/>
    <n v="1339185"/>
    <n v="-1.43"/>
    <n v="40.01"/>
    <x v="8"/>
    <s v="Q2-2026"/>
  </r>
  <r>
    <d v="2026-05-15T00:00:00"/>
    <x v="14"/>
    <s v="AXISBANK.NS"/>
    <n v="1258.6293424179839"/>
    <n v="1262.426462972448"/>
    <n v="1241.0429291696059"/>
    <n v="1243.8408203125"/>
    <n v="4805485"/>
    <n v="-1.4"/>
    <n v="18.59"/>
    <x v="8"/>
    <s v="Q2-2026"/>
  </r>
  <r>
    <d v="2026-05-18T00:00:00"/>
    <x v="0"/>
    <s v="RELIANCE.NS"/>
    <n v="1327.8605510955031"/>
    <n v="1335.823732811218"/>
    <n v="1312.6309174607941"/>
    <n v="1329.751831054688"/>
    <n v="13022473"/>
    <n v="-1.1499999999999999"/>
    <n v="6.07"/>
    <x v="8"/>
    <s v="Q2-2026"/>
  </r>
  <r>
    <d v="2026-05-18T00:00:00"/>
    <x v="1"/>
    <s v="TCS.NS"/>
    <n v="2221.5322685970368"/>
    <n v="2249.8900714309352"/>
    <n v="2209.9535631011449"/>
    <n v="2240.3720703125"/>
    <n v="3773336"/>
    <n v="-0.52"/>
    <n v="9.52"/>
    <x v="8"/>
    <s v="Q2-2026"/>
  </r>
  <r>
    <d v="2026-05-18T00:00:00"/>
    <x v="2"/>
    <s v="INFY.NS"/>
    <n v="1095.298413673584"/>
    <n v="1121.8243835304841"/>
    <n v="1094.3195947158781"/>
    <n v="1118.300659179688"/>
    <n v="12096377"/>
    <n v="-0.09"/>
    <n v="3.52"/>
    <x v="8"/>
    <s v="Q2-2026"/>
  </r>
  <r>
    <d v="2026-05-18T00:00:00"/>
    <x v="3"/>
    <s v="HDFCBANK.NS"/>
    <n v="746.65078394817931"/>
    <n v="761.50507724045679"/>
    <n v="739.12522831447382"/>
    <n v="756.143798828125"/>
    <n v="29812079"/>
    <n v="-1.01"/>
    <n v="5.36"/>
    <x v="8"/>
    <s v="Q2-2026"/>
  </r>
  <r>
    <d v="2026-05-18T00:00:00"/>
    <x v="4"/>
    <s v="ICICIBANK.NS"/>
    <n v="1225.1711876882559"/>
    <n v="1243.2189867923551"/>
    <n v="1221.7004477797909"/>
    <n v="1240.640747070312"/>
    <n v="13918850"/>
    <n v="-0.28000000000000003"/>
    <n v="2.58"/>
    <x v="8"/>
    <s v="Q2-2026"/>
  </r>
  <r>
    <d v="2026-05-18T00:00:00"/>
    <x v="5"/>
    <s v="WIPRO.NS"/>
    <n v="188.83337738613741"/>
    <n v="190.57349832099331"/>
    <n v="187.06358132683661"/>
    <n v="190.00004577636719"/>
    <n v="16327369"/>
    <n v="-0.94"/>
    <n v="0.56999999999999995"/>
    <x v="8"/>
    <s v="Q2-2026"/>
  </r>
  <r>
    <d v="2026-05-18T00:00:00"/>
    <x v="6"/>
    <s v="HCLTECH.NS"/>
    <n v="1117.5902205133279"/>
    <n v="1137.883045597936"/>
    <n v="1110.0670509907559"/>
    <n v="1135.012329101562"/>
    <n v="2588569"/>
    <n v="-0.67"/>
    <n v="2.87"/>
    <x v="8"/>
    <s v="Q2-2026"/>
  </r>
  <r>
    <d v="2026-05-18T00:00:00"/>
    <x v="7"/>
    <s v="BAJFINANCE.NS"/>
    <n v="894.50128955076241"/>
    <n v="919.34854759383916"/>
    <n v="885.25812169118808"/>
    <n v="915.47235107421875"/>
    <n v="6387223"/>
    <n v="-1.03"/>
    <n v="3.88"/>
    <x v="8"/>
    <s v="Q2-2026"/>
  </r>
  <r>
    <d v="2026-05-18T00:00:00"/>
    <x v="8"/>
    <s v="MARUTI.NS"/>
    <n v="12996.475404595179"/>
    <n v="13008.356086004131"/>
    <n v="12722.22967540551"/>
    <n v="12886.5791015625"/>
    <n v="373184"/>
    <n v="-2.11"/>
    <n v="121.78"/>
    <x v="8"/>
    <s v="Q2-2026"/>
  </r>
  <r>
    <d v="2026-05-18T00:00:00"/>
    <x v="9"/>
    <s v="TMPV.NS"/>
    <n v="351.8810176428297"/>
    <n v="355.30264630139311"/>
    <n v="348.21147602237079"/>
    <n v="350.24459838867188"/>
    <n v="10409685"/>
    <n v="-1.04"/>
    <n v="5.0599999999999996"/>
    <x v="8"/>
    <s v="Q2-2026"/>
  </r>
  <r>
    <d v="2026-05-18T00:00:00"/>
    <x v="10"/>
    <s v="SUNPHARMA.NS"/>
    <n v="1873.2904073331249"/>
    <n v="1906.0047180706199"/>
    <n v="1860.124960335796"/>
    <n v="1900.818359375"/>
    <n v="3456331"/>
    <n v="-0.7"/>
    <n v="5.19"/>
    <x v="8"/>
    <s v="Q2-2026"/>
  </r>
  <r>
    <d v="2026-05-18T00:00:00"/>
    <x v="11"/>
    <s v="ASIANPAINT.NS"/>
    <n v="2557.9077953154929"/>
    <n v="2596.8695692621118"/>
    <n v="2534.014990645323"/>
    <n v="2591.51611328125"/>
    <n v="898479"/>
    <n v="-0.93"/>
    <n v="5.35"/>
    <x v="8"/>
    <s v="Q2-2026"/>
  </r>
  <r>
    <d v="2026-05-18T00:00:00"/>
    <x v="12"/>
    <s v="HINDUNILVR.NS"/>
    <n v="2240.3127273277628"/>
    <n v="2242.1934993739442"/>
    <n v="2202.2992355739998"/>
    <n v="2231.502197265625"/>
    <n v="1118204"/>
    <n v="-1.7"/>
    <n v="10.69"/>
    <x v="8"/>
    <s v="Q2-2026"/>
  </r>
  <r>
    <d v="2026-05-18T00:00:00"/>
    <x v="13"/>
    <s v="LT.NS"/>
    <n v="3836.4280596540252"/>
    <n v="3886.7367247380412"/>
    <n v="3814.7399928548771"/>
    <n v="3879.903564453125"/>
    <n v="1771638"/>
    <n v="-0.56999999999999995"/>
    <n v="6.83"/>
    <x v="8"/>
    <s v="Q2-2026"/>
  </r>
  <r>
    <d v="2026-05-18T00:00:00"/>
    <x v="14"/>
    <s v="AXISBANK.NS"/>
    <n v="1238.04517281888"/>
    <n v="1241.0428608886591"/>
    <n v="1221.158172297208"/>
    <n v="1236.946044921875"/>
    <n v="6052023"/>
    <n v="-1.36"/>
    <n v="4.0999999999999996"/>
    <x v="8"/>
    <s v="Q2-2026"/>
  </r>
  <r>
    <d v="2026-05-19T00:00:00"/>
    <x v="0"/>
    <s v="RELIANCE.NS"/>
    <n v="1332.538789202644"/>
    <n v="1337.8144453658961"/>
    <n v="1312.3322897558651"/>
    <n v="1316.612426757812"/>
    <n v="21665501"/>
    <n v="-1.52"/>
    <n v="21.2"/>
    <x v="8"/>
    <s v="Q2-2026"/>
  </r>
  <r>
    <d v="2026-05-19T00:00:00"/>
    <x v="1"/>
    <s v="TCS.NS"/>
    <n v="2256.8572133579778"/>
    <n v="2333.0017090765832"/>
    <n v="2254.0117066090529"/>
    <n v="2283.448974609375"/>
    <n v="10394707"/>
    <n v="-0.13"/>
    <n v="49.55"/>
    <x v="8"/>
    <s v="Q2-2026"/>
  </r>
  <r>
    <d v="2026-05-19T00:00:00"/>
    <x v="2"/>
    <s v="INFY.NS"/>
    <n v="1137.3876555901811"/>
    <n v="1173.0166903851341"/>
    <n v="1137.3876555901811"/>
    <n v="1171.548461914062"/>
    <n v="32175705"/>
    <n v="0"/>
    <n v="1.47"/>
    <x v="8"/>
    <s v="Q2-2026"/>
  </r>
  <r>
    <d v="2026-05-19T00:00:00"/>
    <x v="3"/>
    <s v="HDFCBANK.NS"/>
    <n v="754.22552871389541"/>
    <n v="758.25879623024275"/>
    <n v="747.88046051302831"/>
    <n v="750.044677734375"/>
    <n v="40307830"/>
    <n v="-0.84"/>
    <n v="8.2100000000000009"/>
    <x v="8"/>
    <s v="Q2-2026"/>
  </r>
  <r>
    <d v="2026-05-19T00:00:00"/>
    <x v="4"/>
    <s v="ICICIBANK.NS"/>
    <n v="1240.640698584388"/>
    <n v="1245.7972988767481"/>
    <n v="1219.518840596794"/>
    <n v="1230.426879882812"/>
    <n v="38929053"/>
    <n v="-1.7"/>
    <n v="15.37"/>
    <x v="8"/>
    <s v="Q2-2026"/>
  </r>
  <r>
    <d v="2026-05-19T00:00:00"/>
    <x v="5"/>
    <s v="WIPRO.NS"/>
    <n v="190.22744541611499"/>
    <n v="195.76421718940091"/>
    <n v="190.22744541611499"/>
    <n v="192.96617126464841"/>
    <n v="20534622"/>
    <n v="0"/>
    <n v="2.8"/>
    <x v="8"/>
    <s v="Q2-2026"/>
  </r>
  <r>
    <d v="2026-05-19T00:00:00"/>
    <x v="6"/>
    <s v="HCLTECH.NS"/>
    <n v="1144.3174142705509"/>
    <n v="1186.189976985532"/>
    <n v="1140.654854964386"/>
    <n v="1167.48095703125"/>
    <n v="5756760"/>
    <n v="-0.32"/>
    <n v="18.71"/>
    <x v="8"/>
    <s v="Q2-2026"/>
  </r>
  <r>
    <d v="2026-05-19T00:00:00"/>
    <x v="7"/>
    <s v="BAJFINANCE.NS"/>
    <n v="921.93265340503456"/>
    <n v="924.31801448150054"/>
    <n v="914.47847586889338"/>
    <n v="917.90740966796875"/>
    <n v="8313548"/>
    <n v="-0.81"/>
    <n v="6.41"/>
    <x v="8"/>
    <s v="Q2-2026"/>
  </r>
  <r>
    <d v="2026-05-19T00:00:00"/>
    <x v="8"/>
    <s v="MARUTI.NS"/>
    <n v="12904.40021093026"/>
    <n v="12973.704186284351"/>
    <n v="12771.73260096673"/>
    <n v="12827.17578125"/>
    <n v="342737"/>
    <n v="-1.03"/>
    <n v="146.53"/>
    <x v="8"/>
    <s v="Q2-2026"/>
  </r>
  <r>
    <d v="2026-05-19T00:00:00"/>
    <x v="9"/>
    <s v="TMPV.NS"/>
    <n v="349.99666009572661"/>
    <n v="362.79052480842807"/>
    <n v="349.99666009572661"/>
    <n v="358.2283935546875"/>
    <n v="15119605"/>
    <n v="0"/>
    <n v="4.5599999999999996"/>
    <x v="8"/>
    <s v="Q2-2026"/>
  </r>
  <r>
    <d v="2026-05-19T00:00:00"/>
    <x v="10"/>
    <s v="SUNPHARMA.NS"/>
    <n v="1895.5321376694719"/>
    <n v="1911.5900282976429"/>
    <n v="1875.085724187639"/>
    <n v="1877.379760742188"/>
    <n v="2200951"/>
    <n v="-1.08"/>
    <n v="34.21"/>
    <x v="8"/>
    <s v="Q2-2026"/>
  </r>
  <r>
    <d v="2026-05-19T00:00:00"/>
    <x v="11"/>
    <s v="ASIANPAINT.NS"/>
    <n v="2606.3869513982072"/>
    <n v="2623.2407278051178"/>
    <n v="2572.7786352618718"/>
    <n v="2578.330322265625"/>
    <n v="688639"/>
    <n v="-1.29"/>
    <n v="44.91"/>
    <x v="8"/>
    <s v="Q2-2026"/>
  </r>
  <r>
    <d v="2026-05-19T00:00:00"/>
    <x v="12"/>
    <s v="HINDUNILVR.NS"/>
    <n v="2219.424971337065"/>
    <n v="2259.0222054376368"/>
    <n v="2207.0508356806358"/>
    <n v="2210.41650390625"/>
    <n v="1145022"/>
    <n v="-0.56000000000000005"/>
    <n v="48.61"/>
    <x v="8"/>
    <s v="Q2-2026"/>
  </r>
  <r>
    <d v="2026-05-19T00:00:00"/>
    <x v="13"/>
    <s v="LT.NS"/>
    <n v="3902.7801674733018"/>
    <n v="3921.6955127438791"/>
    <n v="3862.2758837629108"/>
    <n v="3883.07275390625"/>
    <n v="2318170"/>
    <n v="-1.04"/>
    <n v="38.619999999999997"/>
    <x v="8"/>
    <s v="Q2-2026"/>
  </r>
  <r>
    <d v="2026-05-19T00:00:00"/>
    <x v="14"/>
    <s v="AXISBANK.NS"/>
    <n v="1237.5456222864909"/>
    <n v="1248.836963391755"/>
    <n v="1230.351219336608"/>
    <n v="1237.345825195312"/>
    <n v="9200314"/>
    <n v="-0.57999999999999996"/>
    <n v="11.49"/>
    <x v="8"/>
    <s v="Q2-2026"/>
  </r>
  <r>
    <d v="2026-05-20T00:00:00"/>
    <x v="0"/>
    <s v="RELIANCE.NS"/>
    <n v="1312.6308349443721"/>
    <n v="1356.627484063026"/>
    <n v="1306.5589335695411"/>
    <n v="1353.442138671875"/>
    <n v="13248515"/>
    <n v="-0.46"/>
    <n v="3.19"/>
    <x v="8"/>
    <s v="Q2-2026"/>
  </r>
  <r>
    <d v="2026-05-20T00:00:00"/>
    <x v="1"/>
    <s v="TCS.NS"/>
    <n v="2280.3088161164642"/>
    <n v="2298.0693970332618"/>
    <n v="2274.3233820043188"/>
    <n v="2283.7431640625"/>
    <n v="2537422"/>
    <n v="-0.26"/>
    <n v="14.33"/>
    <x v="8"/>
    <s v="Q2-2026"/>
  </r>
  <r>
    <d v="2026-05-20T00:00:00"/>
    <x v="2"/>
    <s v="INFY.NS"/>
    <n v="1161.8580984968489"/>
    <n v="1181.3366195800529"/>
    <n v="1159.8026025902211"/>
    <n v="1168.416137695312"/>
    <n v="15121010"/>
    <n v="-0.18"/>
    <n v="12.92"/>
    <x v="8"/>
    <s v="Q2-2026"/>
  </r>
  <r>
    <d v="2026-05-20T00:00:00"/>
    <x v="3"/>
    <s v="HDFCBANK.NS"/>
    <n v="747.24104914755856"/>
    <n v="749.84795684513085"/>
    <n v="742.8635000569833"/>
    <n v="747.1427001953125"/>
    <n v="24013451"/>
    <n v="-0.59"/>
    <n v="2.71"/>
    <x v="8"/>
    <s v="Q2-2026"/>
  </r>
  <r>
    <d v="2026-05-20T00:00:00"/>
    <x v="4"/>
    <s v="ICICIBANK.NS"/>
    <n v="1219.7171565954959"/>
    <n v="1229.33601583328"/>
    <n v="1213.0732172518469"/>
    <n v="1226.956176757812"/>
    <n v="14953103"/>
    <n v="-0.54"/>
    <n v="2.38"/>
    <x v="8"/>
    <s v="Q2-2026"/>
  </r>
  <r>
    <d v="2026-05-20T00:00:00"/>
    <x v="5"/>
    <s v="WIPRO.NS"/>
    <n v="192.41249770295809"/>
    <n v="195.7048977217606"/>
    <n v="191.81926676594369"/>
    <n v="194.89414978027341"/>
    <n v="16201692"/>
    <n v="-0.31"/>
    <n v="0.81"/>
    <x v="8"/>
    <s v="Q2-2026"/>
  </r>
  <r>
    <d v="2026-05-20T00:00:00"/>
    <x v="6"/>
    <s v="HCLTECH.NS"/>
    <n v="1154.41419064807"/>
    <n v="1169.0646683575769"/>
    <n v="1150.652666418684"/>
    <n v="1157.977905273438"/>
    <n v="1415960"/>
    <n v="-0.33"/>
    <n v="11.09"/>
    <x v="8"/>
    <s v="Q2-2026"/>
  </r>
  <r>
    <d v="2026-05-20T00:00:00"/>
    <x v="7"/>
    <s v="BAJFINANCE.NS"/>
    <n v="904.44020491838512"/>
    <n v="920.64060524765966"/>
    <n v="902.89968703146894"/>
    <n v="917.46014404296875"/>
    <n v="5864990"/>
    <n v="-0.17"/>
    <n v="3.18"/>
    <x v="8"/>
    <s v="Q2-2026"/>
  </r>
  <r>
    <d v="2026-05-20T00:00:00"/>
    <x v="8"/>
    <s v="MARUTI.NS"/>
    <n v="12722.23028910396"/>
    <n v="12942.022905771741"/>
    <n v="12626.194776415779"/>
    <n v="12873.708984375"/>
    <n v="300695"/>
    <n v="-0.75"/>
    <n v="68.31"/>
    <x v="8"/>
    <s v="Q2-2026"/>
  </r>
  <r>
    <d v="2026-05-20T00:00:00"/>
    <x v="9"/>
    <s v="TMPV.NS"/>
    <n v="355.69936884954882"/>
    <n v="361.99713324840508"/>
    <n v="353.17035988825262"/>
    <n v="358.27798461914063"/>
    <n v="9875276"/>
    <n v="-0.71"/>
    <n v="3.72"/>
    <x v="8"/>
    <s v="Q2-2026"/>
  </r>
  <r>
    <d v="2026-05-20T00:00:00"/>
    <x v="10"/>
    <s v="SUNPHARMA.NS"/>
    <n v="1875.085745254722"/>
    <n v="1887.952049452726"/>
    <n v="1867.1066569770419"/>
    <n v="1875.385009765625"/>
    <n v="1376695"/>
    <n v="-0.43"/>
    <n v="12.57"/>
    <x v="8"/>
    <s v="Q2-2026"/>
  </r>
  <r>
    <d v="2026-05-20T00:00:00"/>
    <x v="11"/>
    <s v="ASIANPAINT.NS"/>
    <n v="2539.9632490675849"/>
    <n v="2591.5159769955758"/>
    <n v="2539.9632490675849"/>
    <n v="2576.24853515625"/>
    <n v="586190"/>
    <n v="0"/>
    <n v="15.27"/>
    <x v="8"/>
    <s v="Q2-2026"/>
  </r>
  <r>
    <d v="2026-05-20T00:00:00"/>
    <x v="12"/>
    <s v="HINDUNILVR.NS"/>
    <n v="2202.4969749325519"/>
    <n v="2204.476836563731"/>
    <n v="2178.83772511289"/>
    <n v="2187.05419921875"/>
    <n v="1071994"/>
    <n v="-1.07"/>
    <n v="17.420000000000002"/>
    <x v="8"/>
    <s v="Q2-2026"/>
  </r>
  <r>
    <d v="2026-05-20T00:00:00"/>
    <x v="13"/>
    <s v="LT.NS"/>
    <n v="3863.8604825083899"/>
    <n v="3905.3550931385848"/>
    <n v="3845.539430340757"/>
    <n v="3872.872314453125"/>
    <n v="1972259"/>
    <n v="-0.47"/>
    <n v="32.479999999999997"/>
    <x v="8"/>
    <s v="Q2-2026"/>
  </r>
  <r>
    <d v="2026-05-20T00:00:00"/>
    <x v="14"/>
    <s v="AXISBANK.NS"/>
    <n v="1233.0490412431211"/>
    <n v="1253.1335271630969"/>
    <n v="1225.6547195178889"/>
    <n v="1248.8369140625"/>
    <n v="3562641"/>
    <n v="-0.6"/>
    <n v="4.3"/>
    <x v="8"/>
    <s v="Q2-2026"/>
  </r>
  <r>
    <d v="2026-05-21T00:00:00"/>
    <x v="0"/>
    <s v="RELIANCE.NS"/>
    <n v="1360.9076465750111"/>
    <n v="1364.5906908611551"/>
    <n v="1339.0088978228709"/>
    <n v="1343.388671875"/>
    <n v="17150630"/>
    <n v="-1.61"/>
    <n v="21.2"/>
    <x v="8"/>
    <s v="Q2-2026"/>
  </r>
  <r>
    <d v="2026-05-21T00:00:00"/>
    <x v="1"/>
    <s v="TCS.NS"/>
    <n v="2287.2756433948011"/>
    <n v="2292.0836345084322"/>
    <n v="2270.594525446405"/>
    <n v="2283.546875"/>
    <n v="3299087"/>
    <n v="-0.73"/>
    <n v="8.5399999999999991"/>
    <x v="8"/>
    <s v="Q2-2026"/>
  </r>
  <r>
    <d v="2026-05-21T00:00:00"/>
    <x v="2"/>
    <s v="INFY.NS"/>
    <n v="1170.7653346096861"/>
    <n v="1176.3446743746749"/>
    <n v="1152.069916363437"/>
    <n v="1156.180908203125"/>
    <n v="10021033"/>
    <n v="-1.6"/>
    <n v="20.16"/>
    <x v="8"/>
    <s v="Q2-2026"/>
  </r>
  <r>
    <d v="2026-05-21T00:00:00"/>
    <x v="3"/>
    <s v="HDFCBANK.NS"/>
    <n v="754.52065474966309"/>
    <n v="755.7503168336749"/>
    <n v="742.86348221006836"/>
    <n v="746.79840087890625"/>
    <n v="34664725"/>
    <n v="-1.54"/>
    <n v="8.9499999999999993"/>
    <x v="8"/>
    <s v="Q2-2026"/>
  </r>
  <r>
    <d v="2026-05-21T00:00:00"/>
    <x v="4"/>
    <s v="ICICIBANK.NS"/>
    <n v="1234.8892560806851"/>
    <n v="1237.864175877507"/>
    <n v="1224.0803566089389"/>
    <n v="1232.41015625"/>
    <n v="14394386"/>
    <n v="-0.88"/>
    <n v="5.45"/>
    <x v="8"/>
    <s v="Q2-2026"/>
  </r>
  <r>
    <d v="2026-05-21T00:00:00"/>
    <x v="5"/>
    <s v="WIPRO.NS"/>
    <n v="196.25856981438201"/>
    <n v="197.7811737431486"/>
    <n v="195.26986165410801"/>
    <n v="197.48457336425781"/>
    <n v="18980608"/>
    <n v="-0.5"/>
    <n v="0.3"/>
    <x v="8"/>
    <s v="Q2-2026"/>
  </r>
  <r>
    <d v="2026-05-21T00:00:00"/>
    <x v="6"/>
    <s v="HCLTECH.NS"/>
    <n v="1161.8384595944719"/>
    <n v="1168.6687518922561"/>
    <n v="1151.444573309002"/>
    <n v="1156.39404296875"/>
    <n v="2245247"/>
    <n v="-0.89"/>
    <n v="12.27"/>
    <x v="8"/>
    <s v="Q2-2026"/>
  </r>
  <r>
    <d v="2026-05-21T00:00:00"/>
    <x v="7"/>
    <s v="BAJFINANCE.NS"/>
    <n v="927.29971075126537"/>
    <n v="929.18812671008686"/>
    <n v="897.73147238593833"/>
    <n v="902.1046142578125"/>
    <n v="9713326"/>
    <n v="-3.19"/>
    <n v="27.08"/>
    <x v="8"/>
    <s v="Q2-2026"/>
  </r>
  <r>
    <d v="2026-05-21T00:00:00"/>
    <x v="8"/>
    <s v="MARUTI.NS"/>
    <n v="12972.713952158199"/>
    <n v="13019.246620688409"/>
    <n v="12804.40430002762"/>
    <n v="12880.638671875"/>
    <n v="213095"/>
    <n v="-1.3"/>
    <n v="138.61000000000001"/>
    <x v="8"/>
    <s v="Q2-2026"/>
  </r>
  <r>
    <d v="2026-05-21T00:00:00"/>
    <x v="9"/>
    <s v="TMPV.NS"/>
    <n v="361.00535905046968"/>
    <n v="362.98890497931842"/>
    <n v="356.04649422834791"/>
    <n v="358.37716674804688"/>
    <n v="10834385"/>
    <n v="-1.37"/>
    <n v="4.6100000000000003"/>
    <x v="8"/>
    <s v="Q2-2026"/>
  </r>
  <r>
    <d v="2026-05-21T00:00:00"/>
    <x v="10"/>
    <s v="SUNPHARMA.NS"/>
    <n v="1887.054444790826"/>
    <n v="1894.6345545739889"/>
    <n v="1863.2168933631481"/>
    <n v="1886.356323242188"/>
    <n v="1605806"/>
    <n v="-1.26"/>
    <n v="8.2799999999999994"/>
    <x v="8"/>
    <s v="Q2-2026"/>
  </r>
  <r>
    <d v="2026-05-21T00:00:00"/>
    <x v="11"/>
    <s v="ASIANPAINT.NS"/>
    <n v="2602.4213727320248"/>
    <n v="2625.5210089438401"/>
    <n v="2568.5155883982811"/>
    <n v="2576.44677734375"/>
    <n v="1031843"/>
    <n v="-1.3"/>
    <n v="49.07"/>
    <x v="8"/>
    <s v="Q2-2026"/>
  </r>
  <r>
    <d v="2026-05-21T00:00:00"/>
    <x v="12"/>
    <s v="HINDUNILVR.NS"/>
    <n v="2201.6062145049341"/>
    <n v="2206.5558687641619"/>
    <n v="2154.089533616338"/>
    <n v="2157.059326171875"/>
    <n v="1581812"/>
    <n v="-2.16"/>
    <n v="49.5"/>
    <x v="8"/>
    <s v="Q2-2026"/>
  </r>
  <r>
    <d v="2026-05-21T00:00:00"/>
    <x v="13"/>
    <s v="LT.NS"/>
    <n v="3931.5985745195371"/>
    <n v="3931.5985745195371"/>
    <n v="3874.8527835138548"/>
    <n v="3890.5"/>
    <n v="1624945"/>
    <n v="-1.44"/>
    <n v="41.1"/>
    <x v="8"/>
    <s v="Q2-2026"/>
  </r>
  <r>
    <d v="2026-05-21T00:00:00"/>
    <x v="14"/>
    <s v="AXISBANK.NS"/>
    <n v="1255.9314298819741"/>
    <n v="1261.726887089914"/>
    <n v="1243.840778800741"/>
    <n v="1252.334228515625"/>
    <n v="5171528"/>
    <n v="-0.96"/>
    <n v="9.39"/>
    <x v="8"/>
    <s v="Q2-2026"/>
  </r>
  <r>
    <d v="2026-05-22T00:00:00"/>
    <x v="0"/>
    <s v="RELIANCE.NS"/>
    <n v="1343.786823868355"/>
    <n v="1361.1067672332481"/>
    <n v="1342.8909416840761"/>
    <n v="1348.26611328125"/>
    <n v="7105813"/>
    <n v="-7.0000000000000007E-2"/>
    <n v="12.84"/>
    <x v="8"/>
    <s v="Q2-2026"/>
  </r>
  <r>
    <d v="2026-05-22T00:00:00"/>
    <x v="1"/>
    <s v="TCS.NS"/>
    <n v="2287.3737093363329"/>
    <n v="2296.1066687906359"/>
    <n v="2264.8051395148868"/>
    <n v="2273.83251953125"/>
    <n v="2617262"/>
    <n v="-0.99"/>
    <n v="22.27"/>
    <x v="8"/>
    <s v="Q2-2026"/>
  </r>
  <r>
    <d v="2026-05-22T00:00:00"/>
    <x v="2"/>
    <s v="INFY.NS"/>
    <n v="1157.4533539662821"/>
    <n v="1166.556417567266"/>
    <n v="1147.6651649263979"/>
    <n v="1149.622802734375"/>
    <n v="8803066"/>
    <n v="-0.85"/>
    <n v="16.93"/>
    <x v="8"/>
    <s v="Q2-2026"/>
  </r>
  <r>
    <d v="2026-05-22T00:00:00"/>
    <x v="3"/>
    <s v="HDFCBANK.NS"/>
    <n v="746.7984174780529"/>
    <n v="762.39050903305201"/>
    <n v="746.7984174780529"/>
    <n v="754.32391357421875"/>
    <n v="25604071"/>
    <n v="0"/>
    <n v="8.07"/>
    <x v="8"/>
    <s v="Q2-2026"/>
  </r>
  <r>
    <d v="2026-05-22T00:00:00"/>
    <x v="4"/>
    <s v="ICICIBANK.NS"/>
    <n v="1231.6168488886799"/>
    <n v="1260.1761285871789"/>
    <n v="1231.6168488886799"/>
    <n v="1253.73046875"/>
    <n v="11601085"/>
    <n v="0"/>
    <n v="6.45"/>
    <x v="8"/>
    <s v="Q2-2026"/>
  </r>
  <r>
    <d v="2026-05-22T00:00:00"/>
    <x v="5"/>
    <s v="WIPRO.NS"/>
    <n v="197.74164513500361"/>
    <n v="203.08066351905259"/>
    <n v="196.58485832134261"/>
    <n v="200.8165283203125"/>
    <n v="40014399"/>
    <n v="-0.57999999999999996"/>
    <n v="2.2599999999999998"/>
    <x v="8"/>
    <s v="Q2-2026"/>
  </r>
  <r>
    <d v="2026-05-22T00:00:00"/>
    <x v="6"/>
    <s v="HCLTECH.NS"/>
    <n v="1158.07697081128"/>
    <n v="1164.115299814755"/>
    <n v="1148.178031187005"/>
    <n v="1152.236572265625"/>
    <n v="2044782"/>
    <n v="-0.85"/>
    <n v="11.88"/>
    <x v="8"/>
    <s v="Q2-2026"/>
  </r>
  <r>
    <d v="2026-05-22T00:00:00"/>
    <x v="7"/>
    <s v="BAJFINANCE.NS"/>
    <n v="902.55180965660838"/>
    <n v="918.35469061058802"/>
    <n v="902.55180965660838"/>
    <n v="910.9501953125"/>
    <n v="4811990"/>
    <n v="0"/>
    <n v="7.4"/>
    <x v="8"/>
    <s v="Q2-2026"/>
  </r>
  <r>
    <d v="2026-05-22T00:00:00"/>
    <x v="8"/>
    <s v="MARUTI.NS"/>
    <n v="12969.744586834429"/>
    <n v="13021.22754244629"/>
    <n v="12844.99742515953"/>
    <n v="12857.8681640625"/>
    <n v="387975"/>
    <n v="-0.96"/>
    <n v="163.36000000000001"/>
    <x v="8"/>
    <s v="Q2-2026"/>
  </r>
  <r>
    <d v="2026-05-22T00:00:00"/>
    <x v="9"/>
    <s v="TMPV.NS"/>
    <n v="361.50125064535422"/>
    <n v="362.64178351727082"/>
    <n v="358.7738749546142"/>
    <n v="360.3607177734375"/>
    <n v="6934910"/>
    <n v="-0.75"/>
    <n v="2.2799999999999998"/>
    <x v="8"/>
    <s v="Q2-2026"/>
  </r>
  <r>
    <d v="2026-05-22T00:00:00"/>
    <x v="10"/>
    <s v="SUNPHARMA.NS"/>
    <n v="1898.02569114887"/>
    <n v="1898.02569114887"/>
    <n v="1828.3083805078691"/>
    <n v="1839.7783203125"/>
    <n v="3610732"/>
    <n v="-3.67"/>
    <n v="58.25"/>
    <x v="8"/>
    <s v="Q2-2026"/>
  </r>
  <r>
    <d v="2026-05-22T00:00:00"/>
    <x v="11"/>
    <s v="ASIANPAINT.NS"/>
    <n v="2583.6841517554062"/>
    <n v="2641.7799681669371"/>
    <n v="2577.83475442089"/>
    <n v="2617.09423828125"/>
    <n v="1556434"/>
    <n v="-0.23"/>
    <n v="24.69"/>
    <x v="8"/>
    <s v="Q2-2026"/>
  </r>
  <r>
    <d v="2026-05-22T00:00:00"/>
    <x v="12"/>
    <s v="HINDUNILVR.NS"/>
    <n v="2158.0493989217312"/>
    <n v="2202.1013247254082"/>
    <n v="2153.495620030882"/>
    <n v="2181.411865234375"/>
    <n v="1382889"/>
    <n v="-0.21"/>
    <n v="20.69"/>
    <x v="8"/>
    <s v="Q2-2026"/>
  </r>
  <r>
    <d v="2026-05-22T00:00:00"/>
    <x v="13"/>
    <s v="LT.NS"/>
    <n v="3907"/>
    <n v="3960"/>
    <n v="3900.10009765625"/>
    <n v="3926.60009765625"/>
    <n v="1330428"/>
    <n v="-0.18"/>
    <n v="33.4"/>
    <x v="8"/>
    <s v="Q2-2026"/>
  </r>
  <r>
    <d v="2026-05-22T00:00:00"/>
    <x v="14"/>
    <s v="AXISBANK.NS"/>
    <n v="1253.1334965544729"/>
    <n v="1287.8068279947061"/>
    <n v="1253.1334965544729"/>
    <n v="1284.409423828125"/>
    <n v="5016900"/>
    <n v="0"/>
    <n v="3.4"/>
    <x v="8"/>
    <s v="Q2-2026"/>
  </r>
  <r>
    <d v="2026-05-25T00:00:00"/>
    <x v="0"/>
    <s v="RELIANCE.NS"/>
    <n v="1360.509587232985"/>
    <n v="1364.789724319181"/>
    <n v="1350.754641440112"/>
    <n v="1360.708618164062"/>
    <n v="6750071"/>
    <n v="-0.72"/>
    <n v="4.08"/>
    <x v="8"/>
    <s v="Q2-2026"/>
  </r>
  <r>
    <d v="2026-05-25T00:00:00"/>
    <x v="1"/>
    <s v="TCS.NS"/>
    <n v="2312.321719007271"/>
    <n v="2313.4158178045082"/>
    <n v="2280.4962157779241"/>
    <n v="2295.61328125"/>
    <n v="3298364"/>
    <n v="-1.38"/>
    <n v="17.8"/>
    <x v="8"/>
    <s v="Q2-2026"/>
  </r>
  <r>
    <d v="2026-05-25T00:00:00"/>
    <x v="2"/>
    <s v="INFY.NS"/>
    <n v="1157.942875481386"/>
    <n v="1159.900513478819"/>
    <n v="1141.400810506133"/>
    <n v="1143.75"/>
    <n v="5856136"/>
    <n v="-1.43"/>
    <n v="16.149999999999999"/>
    <x v="8"/>
    <s v="Q2-2026"/>
  </r>
  <r>
    <d v="2026-05-25T00:00:00"/>
    <x v="3"/>
    <s v="HDFCBANK.NS"/>
    <n v="763.37422553183239"/>
    <n v="775.03139812910842"/>
    <n v="762.58725380258954"/>
    <n v="774.04766845703125"/>
    <n v="26043952"/>
    <n v="-0.1"/>
    <n v="0.98"/>
    <x v="8"/>
    <s v="Q2-2026"/>
  </r>
  <r>
    <d v="2026-05-25T00:00:00"/>
    <x v="4"/>
    <s v="ICICIBANK.NS"/>
    <n v="1260.374449771725"/>
    <n v="1282.6863499447099"/>
    <n v="1260.2753099809181"/>
    <n v="1281.000610351562"/>
    <n v="13853923"/>
    <n v="-0.01"/>
    <n v="1.69"/>
    <x v="8"/>
    <s v="Q2-2026"/>
  </r>
  <r>
    <d v="2026-05-25T00:00:00"/>
    <x v="5"/>
    <s v="WIPRO.NS"/>
    <n v="204.66259145941569"/>
    <n v="207.18380031353249"/>
    <n v="201.75578702195091"/>
    <n v="204.50439453125"/>
    <n v="72041558"/>
    <n v="-1.42"/>
    <n v="2.68"/>
    <x v="8"/>
    <s v="Q2-2026"/>
  </r>
  <r>
    <d v="2026-05-25T00:00:00"/>
    <x v="6"/>
    <s v="HCLTECH.NS"/>
    <n v="1156.1961159082639"/>
    <n v="1166.095055256794"/>
    <n v="1150.355717525299"/>
    <n v="1153.919311523438"/>
    <n v="1419803"/>
    <n v="-0.51"/>
    <n v="12.18"/>
    <x v="8"/>
    <s v="Q2-2026"/>
  </r>
  <r>
    <d v="2026-05-25T00:00:00"/>
    <x v="7"/>
    <s v="BAJFINANCE.NS"/>
    <n v="920.44180898646073"/>
    <n v="938.23247013204298"/>
    <n v="918.80192634173761"/>
    <n v="936.14532470703125"/>
    <n v="7065528"/>
    <n v="-0.18"/>
    <n v="2.09"/>
    <x v="8"/>
    <s v="Q2-2026"/>
  </r>
  <r>
    <d v="2026-05-25T00:00:00"/>
    <x v="8"/>
    <s v="MARUTI.NS"/>
    <n v="13014.296431950581"/>
    <n v="13104.391599337991"/>
    <n v="12970.733933433579"/>
    <n v="13039.0478515625"/>
    <n v="276553"/>
    <n v="-0.33"/>
    <n v="65.34"/>
    <x v="8"/>
    <s v="Q2-2026"/>
  </r>
  <r>
    <d v="2026-05-25T00:00:00"/>
    <x v="9"/>
    <s v="TMPV.NS"/>
    <n v="363.13766612879539"/>
    <n v="371.22060976355613"/>
    <n v="363.13766612879539"/>
    <n v="370.17926025390619"/>
    <n v="10356089"/>
    <n v="0"/>
    <n v="1.04"/>
    <x v="8"/>
    <s v="Q2-2026"/>
  </r>
  <r>
    <d v="2026-05-25T00:00:00"/>
    <x v="10"/>
    <s v="SUNPHARMA.NS"/>
    <n v="1835.1902890233209"/>
    <n v="1844.166763263109"/>
    <n v="1820.229498623675"/>
    <n v="1835.788696289062"/>
    <n v="3049028"/>
    <n v="-0.82"/>
    <n v="8.3800000000000008"/>
    <x v="8"/>
    <s v="Q2-2026"/>
  </r>
  <r>
    <d v="2026-05-25T00:00:00"/>
    <x v="11"/>
    <s v="ASIANPAINT.NS"/>
    <n v="2649.0172659355312"/>
    <n v="2661.0132867479979"/>
    <n v="2630.3789223928161"/>
    <n v="2634.939453125"/>
    <n v="815621"/>
    <n v="-0.7"/>
    <n v="26.07"/>
    <x v="8"/>
    <s v="Q2-2026"/>
  </r>
  <r>
    <d v="2026-05-25T00:00:00"/>
    <x v="12"/>
    <s v="HINDUNILVR.NS"/>
    <n v="2192.6967768991508"/>
    <n v="2215.5642756246202"/>
    <n v="2170.8192089984659"/>
    <n v="2174.383056640625"/>
    <n v="780722"/>
    <n v="-1"/>
    <n v="41.18"/>
    <x v="8"/>
    <s v="Q2-2026"/>
  </r>
  <r>
    <d v="2026-05-25T00:00:00"/>
    <x v="13"/>
    <s v="LT.NS"/>
    <n v="3970"/>
    <n v="4038.39990234375"/>
    <n v="3961.5"/>
    <n v="4033.39990234375"/>
    <n v="2099927"/>
    <n v="-0.21"/>
    <n v="5"/>
    <x v="8"/>
    <s v="Q2-2026"/>
  </r>
  <r>
    <d v="2026-05-25T00:00:00"/>
    <x v="14"/>
    <s v="AXISBANK.NS"/>
    <n v="1299.3978495103399"/>
    <n v="1313.4869587156179"/>
    <n v="1292.902858843431"/>
    <n v="1310.189453125"/>
    <n v="5671455"/>
    <n v="-0.5"/>
    <n v="3.3"/>
    <x v="8"/>
    <s v="Q2-2026"/>
  </r>
  <r>
    <d v="2026-05-26T00:00:00"/>
    <x v="0"/>
    <s v="RELIANCE.NS"/>
    <n v="1353.8404218493879"/>
    <n v="1362.201787043429"/>
    <n v="1346.1759079681501"/>
    <n v="1350.057983398438"/>
    <n v="13769747"/>
    <n v="-0.56999999999999995"/>
    <n v="12.14"/>
    <x v="8"/>
    <s v="Q2-2026"/>
  </r>
  <r>
    <d v="2026-05-26T00:00:00"/>
    <x v="1"/>
    <s v="TCS.NS"/>
    <n v="2295.6130983499411"/>
    <n v="2315.2056236526341"/>
    <n v="2260.0082708870141"/>
    <n v="2263.78759765625"/>
    <n v="3587597"/>
    <n v="-1.55"/>
    <n v="51.42"/>
    <x v="8"/>
    <s v="Q2-2026"/>
  </r>
  <r>
    <d v="2026-05-26T00:00:00"/>
    <x v="2"/>
    <s v="INFY.NS"/>
    <n v="1141.5965459846341"/>
    <n v="1155.6914427435411"/>
    <n v="1138.2685377836081"/>
    <n v="1142.966796875"/>
    <n v="8005767"/>
    <n v="-0.28999999999999998"/>
    <n v="12.72"/>
    <x v="8"/>
    <s v="Q2-2026"/>
  </r>
  <r>
    <d v="2026-05-26T00:00:00"/>
    <x v="3"/>
    <s v="HDFCBANK.NS"/>
    <n v="771.29322246922652"/>
    <n v="777.98257210158079"/>
    <n v="764.11200801034488"/>
    <n v="766.22705078125"/>
    <n v="31528062"/>
    <n v="-0.93"/>
    <n v="11.76"/>
    <x v="8"/>
    <s v="Q2-2026"/>
  </r>
  <r>
    <d v="2026-05-26T00:00:00"/>
    <x v="4"/>
    <s v="ICICIBANK.NS"/>
    <n v="1279.2155157086679"/>
    <n v="1290.916915357549"/>
    <n v="1265.5308361904699"/>
    <n v="1268.406616210938"/>
    <n v="18400405"/>
    <n v="-1.07"/>
    <n v="22.51"/>
    <x v="8"/>
    <s v="Q2-2026"/>
  </r>
  <r>
    <d v="2026-05-26T00:00:00"/>
    <x v="5"/>
    <s v="WIPRO.NS"/>
    <n v="204.65271807734209"/>
    <n v="206.33351901916561"/>
    <n v="200.64844680449011"/>
    <n v="201.42951965332031"/>
    <n v="46458415"/>
    <n v="-1.96"/>
    <n v="4.9000000000000004"/>
    <x v="8"/>
    <s v="Q2-2026"/>
  </r>
  <r>
    <d v="2026-05-26T00:00:00"/>
    <x v="6"/>
    <s v="HCLTECH.NS"/>
    <n v="1153.9192390579731"/>
    <n v="1161.8383900394781"/>
    <n v="1148.2768923183121"/>
    <n v="1150.15771484375"/>
    <n v="1196820"/>
    <n v="-0.49"/>
    <n v="11.68"/>
    <x v="8"/>
    <s v="Q2-2026"/>
  </r>
  <r>
    <d v="2026-05-26T00:00:00"/>
    <x v="7"/>
    <s v="BAJFINANCE.NS"/>
    <n v="938.18277652172424"/>
    <n v="942.60560056320799"/>
    <n v="922.42957860568106"/>
    <n v="924.51678466796875"/>
    <n v="8489543"/>
    <n v="-1.68"/>
    <n v="18.09"/>
    <x v="8"/>
    <s v="Q2-2026"/>
  </r>
  <r>
    <d v="2026-05-26T00:00:00"/>
    <x v="8"/>
    <s v="MARUTI.NS"/>
    <n v="13056.868786317949"/>
    <n v="13196.46679199515"/>
    <n v="13003.40572031392"/>
    <n v="13076.669921875"/>
    <n v="256901"/>
    <n v="-0.41"/>
    <n v="119.8"/>
    <x v="8"/>
    <s v="Q2-2026"/>
  </r>
  <r>
    <d v="2026-05-26T00:00:00"/>
    <x v="9"/>
    <s v="TMPV.NS"/>
    <n v="370.67512770332041"/>
    <n v="384.11363862114553"/>
    <n v="368.74115840870007"/>
    <n v="382.42764282226563"/>
    <n v="21346890"/>
    <n v="-0.52"/>
    <n v="1.69"/>
    <x v="8"/>
    <s v="Q2-2026"/>
  </r>
  <r>
    <d v="2026-05-26T00:00:00"/>
    <x v="10"/>
    <s v="SUNPHARMA.NS"/>
    <n v="1825.21646325815"/>
    <n v="1840.0775396862889"/>
    <n v="1811.153344366898"/>
    <n v="1835.98828125"/>
    <n v="2337759"/>
    <n v="-0.77"/>
    <n v="4.09"/>
    <x v="8"/>
    <s v="Q2-2026"/>
  </r>
  <r>
    <d v="2026-05-26T00:00:00"/>
    <x v="11"/>
    <s v="ASIANPAINT.NS"/>
    <n v="2627.2063736290488"/>
    <n v="2641.383422468467"/>
    <n v="2613.2275561078068"/>
    <n v="2624.232177734375"/>
    <n v="486267"/>
    <n v="-0.53"/>
    <n v="17.149999999999999"/>
    <x v="8"/>
    <s v="Q2-2026"/>
  </r>
  <r>
    <d v="2026-05-26T00:00:00"/>
    <x v="12"/>
    <s v="HINDUNILVR.NS"/>
    <n v="2177.4519473968571"/>
    <n v="2197.6464396286201"/>
    <n v="2167.9485147687742"/>
    <n v="2187.153076171875"/>
    <n v="2302703"/>
    <n v="-0.44"/>
    <n v="10.49"/>
    <x v="8"/>
    <s v="Q2-2026"/>
  </r>
  <r>
    <d v="2026-05-26T00:00:00"/>
    <x v="13"/>
    <s v="LT.NS"/>
    <n v="4029.60009765625"/>
    <n v="4052.89990234375"/>
    <n v="4014.199951171875"/>
    <n v="4037.800048828125"/>
    <n v="1552847"/>
    <n v="-0.38"/>
    <n v="15.1"/>
    <x v="8"/>
    <s v="Q2-2026"/>
  </r>
  <r>
    <d v="2026-05-26T00:00:00"/>
    <x v="14"/>
    <s v="AXISBANK.NS"/>
    <n v="1308.7907369859349"/>
    <n v="1315.985139985791"/>
    <n v="1290.5047898949499"/>
    <n v="1298.298828125"/>
    <n v="6455265"/>
    <n v="-1.4"/>
    <n v="17.690000000000001"/>
    <x v="8"/>
    <s v="Q2-2026"/>
  </r>
  <r>
    <d v="2026-05-27T00:00:00"/>
    <x v="0"/>
    <s v="RELIANCE.NS"/>
    <n v="1346.7730400596711"/>
    <n v="1354.7362213756189"/>
    <n v="1342.3932660341991"/>
    <n v="1344.284545898438"/>
    <n v="13215138"/>
    <n v="-0.33"/>
    <n v="10.45"/>
    <x v="8"/>
    <s v="Q2-2026"/>
  </r>
  <r>
    <d v="2026-05-27T00:00:00"/>
    <x v="1"/>
    <s v="TCS.NS"/>
    <n v="2262.5943570616041"/>
    <n v="2283.0821217701532"/>
    <n v="2248.5711476589449"/>
    <n v="2271.744140625"/>
    <n v="2653950"/>
    <n v="-0.62"/>
    <n v="11.34"/>
    <x v="8"/>
    <s v="Q2-2026"/>
  </r>
  <r>
    <d v="2026-05-27T00:00:00"/>
    <x v="2"/>
    <s v="INFY.NS"/>
    <n v="1136.4088302961691"/>
    <n v="1142.575437634307"/>
    <n v="1130.535916444509"/>
    <n v="1135.332153320312"/>
    <n v="6371871"/>
    <n v="-0.52"/>
    <n v="7.24"/>
    <x v="8"/>
    <s v="Q2-2026"/>
  </r>
  <r>
    <d v="2026-05-27T00:00:00"/>
    <x v="3"/>
    <s v="HDFCBANK.NS"/>
    <n v="756.9799611769273"/>
    <n v="761.30839562804442"/>
    <n v="744.58499167741695"/>
    <n v="746.3065185546875"/>
    <n v="63680153"/>
    <n v="-1.64"/>
    <n v="15"/>
    <x v="8"/>
    <s v="Q2-2026"/>
  </r>
  <r>
    <d v="2026-05-27T00:00:00"/>
    <x v="4"/>
    <s v="ICICIBANK.NS"/>
    <n v="1275.2490410953119"/>
    <n v="1282.5872013115761"/>
    <n v="1256.1103406589521"/>
    <n v="1262.060180664062"/>
    <n v="18366272"/>
    <n v="-1.5"/>
    <n v="20.53"/>
    <x v="8"/>
    <s v="Q2-2026"/>
  </r>
  <r>
    <d v="2026-05-27T00:00:00"/>
    <x v="5"/>
    <s v="WIPRO.NS"/>
    <n v="201.54817434786401"/>
    <n v="203.66400931070501"/>
    <n v="197.93938033475621"/>
    <n v="199.3038024902344"/>
    <n v="39465643"/>
    <n v="-1.79"/>
    <n v="4.3600000000000003"/>
    <x v="8"/>
    <s v="Q2-2026"/>
  </r>
  <r>
    <d v="2026-05-27T00:00:00"/>
    <x v="6"/>
    <s v="HCLTECH.NS"/>
    <n v="1143.6244635296309"/>
    <n v="1157.9779249858129"/>
    <n v="1142.040536630657"/>
    <n v="1153.42431640625"/>
    <n v="1004168"/>
    <n v="-0.14000000000000001"/>
    <n v="4.55"/>
    <x v="8"/>
    <s v="Q2-2026"/>
  </r>
  <r>
    <d v="2026-05-27T00:00:00"/>
    <x v="7"/>
    <s v="BAJFINANCE.NS"/>
    <n v="926.30578104481378"/>
    <n v="930.23165995315139"/>
    <n v="917.36076813772877"/>
    <n v="925.46099853515625"/>
    <n v="5349669"/>
    <n v="-0.97"/>
    <n v="4.7699999999999996"/>
    <x v="8"/>
    <s v="Q2-2026"/>
  </r>
  <r>
    <d v="2026-05-27T00:00:00"/>
    <x v="8"/>
    <s v="MARUTI.NS"/>
    <n v="13076.67027906128"/>
    <n v="13283.592151284471"/>
    <n v="12971.724257742349"/>
    <n v="13231.119140625"/>
    <n v="322020"/>
    <n v="-0.8"/>
    <n v="52.47"/>
    <x v="8"/>
    <s v="Q2-2026"/>
  </r>
  <r>
    <d v="2026-05-27T00:00:00"/>
    <x v="9"/>
    <s v="TMPV.NS"/>
    <n v="382.62598313023437"/>
    <n v="400.67626250824873"/>
    <n v="380.54328419673942"/>
    <n v="397.6513671875"/>
    <n v="16294686"/>
    <n v="-0.54"/>
    <n v="3.02"/>
    <x v="8"/>
    <s v="Q2-2026"/>
  </r>
  <r>
    <d v="2026-05-27T00:00:00"/>
    <x v="10"/>
    <s v="SUNPHARMA.NS"/>
    <n v="1860.124968345646"/>
    <n v="1877.080531059788"/>
    <n v="1825.2164568753519"/>
    <n v="1839.479125976562"/>
    <n v="1385752"/>
    <n v="-1.88"/>
    <n v="37.6"/>
    <x v="8"/>
    <s v="Q2-2026"/>
  </r>
  <r>
    <d v="2026-05-27T00:00:00"/>
    <x v="11"/>
    <s v="ASIANPAINT.NS"/>
    <n v="2622.0512104312979"/>
    <n v="2666.4659185712262"/>
    <n v="2619.2752457899242"/>
    <n v="2648.91796875"/>
    <n v="858457"/>
    <n v="-0.11"/>
    <n v="17.55"/>
    <x v="8"/>
    <s v="Q2-2026"/>
  </r>
  <r>
    <d v="2026-05-27T00:00:00"/>
    <x v="12"/>
    <s v="HINDUNILVR.NS"/>
    <n v="2182.89664615417"/>
    <n v="2192.3009893676631"/>
    <n v="2164.9788008323699"/>
    <n v="2176.263916015625"/>
    <n v="616538"/>
    <n v="-0.82"/>
    <n v="16.04"/>
    <x v="8"/>
    <s v="Q2-2026"/>
  </r>
  <r>
    <d v="2026-05-27T00:00:00"/>
    <x v="13"/>
    <s v="LT.NS"/>
    <n v="4043"/>
    <n v="4069.89990234375"/>
    <n v="4017.89990234375"/>
    <n v="4047.5"/>
    <n v="1607028"/>
    <n v="-0.62"/>
    <n v="22.4"/>
    <x v="8"/>
    <s v="Q2-2026"/>
  </r>
  <r>
    <d v="2026-05-27T00:00:00"/>
    <x v="14"/>
    <s v="AXISBANK.NS"/>
    <n v="1295.3010549602841"/>
    <n v="1313.4869803364861"/>
    <n v="1292.103447855121"/>
    <n v="1303.094970703125"/>
    <n v="7243174"/>
    <n v="-0.25"/>
    <n v="10.39"/>
    <x v="8"/>
    <s v="Q2-2026"/>
  </r>
  <r>
    <d v="2026-05-29T00:00:00"/>
    <x v="0"/>
    <s v="RELIANCE.NS"/>
    <n v="1357.722454674049"/>
    <n v="1362.699443144262"/>
    <n v="1310.9387630540491"/>
    <n v="1315.119384765625"/>
    <n v="42634247"/>
    <n v="-3.45"/>
    <n v="47.58"/>
    <x v="8"/>
    <s v="Q2-2026"/>
  </r>
  <r>
    <d v="2026-05-29T00:00:00"/>
    <x v="1"/>
    <s v="TCS.NS"/>
    <n v="2278.5070857958331"/>
    <n v="2321.2726050840129"/>
    <n v="2222.8124560251799"/>
    <n v="2246.58203125"/>
    <n v="16331582"/>
    <n v="-2.44"/>
    <n v="74.69"/>
    <x v="8"/>
    <s v="Q2-2026"/>
  </r>
  <r>
    <d v="2026-05-29T00:00:00"/>
    <x v="2"/>
    <s v="INFY.NS"/>
    <n v="1156.9639684911599"/>
    <n v="1184.370898370815"/>
    <n v="1129.1654871448491"/>
    <n v="1136.310913085938"/>
    <n v="69085430"/>
    <n v="-2.4"/>
    <n v="48.06"/>
    <x v="8"/>
    <s v="Q2-2026"/>
  </r>
  <r>
    <d v="2026-05-29T00:00:00"/>
    <x v="3"/>
    <s v="HDFCBANK.NS"/>
    <n v="733.91150758951892"/>
    <n v="748.12641331577186"/>
    <n v="725.74656334478721"/>
    <n v="732.4359130859375"/>
    <n v="101299431"/>
    <n v="-1.1100000000000001"/>
    <n v="15.69"/>
    <x v="8"/>
    <s v="Q2-2026"/>
  </r>
  <r>
    <d v="2026-05-29T00:00:00"/>
    <x v="4"/>
    <s v="ICICIBANK.NS"/>
    <n v="1264.440103421719"/>
    <n v="1277.034003689372"/>
    <n v="1237.467544617436"/>
    <n v="1245.896484375"/>
    <n v="31007884"/>
    <n v="-2.13"/>
    <n v="31.14"/>
    <x v="8"/>
    <s v="Q2-2026"/>
  </r>
  <r>
    <d v="2026-05-29T00:00:00"/>
    <x v="5"/>
    <s v="WIPRO.NS"/>
    <n v="208.61742962355129"/>
    <n v="208.61742962355129"/>
    <n v="201.35041833903551"/>
    <n v="201.94364929199219"/>
    <n v="82734524"/>
    <n v="-3.48"/>
    <n v="6.67"/>
    <x v="8"/>
    <s v="Q2-2026"/>
  </r>
  <r>
    <d v="2026-05-29T00:00:00"/>
    <x v="6"/>
    <s v="HCLTECH.NS"/>
    <n v="1168.074780695197"/>
    <n v="1179.656490779292"/>
    <n v="1165.1050990493609"/>
    <n v="1171.83642578125"/>
    <n v="12446602"/>
    <n v="-0.25"/>
    <n v="7.82"/>
    <x v="8"/>
    <s v="Q2-2026"/>
  </r>
  <r>
    <d v="2026-05-29T00:00:00"/>
    <x v="7"/>
    <s v="BAJFINANCE.NS"/>
    <n v="909.50905249780305"/>
    <n v="932.07037600880642"/>
    <n v="889.83003532208909"/>
    <n v="902.700927734375"/>
    <n v="46752428"/>
    <n v="-2.16"/>
    <n v="29.37"/>
    <x v="8"/>
    <s v="Q2-2026"/>
  </r>
  <r>
    <d v="2026-05-29T00:00:00"/>
    <x v="8"/>
    <s v="MARUTI.NS"/>
    <n v="13322.2042724442"/>
    <n v="13373.68722593462"/>
    <n v="12920.241212499761"/>
    <n v="12996.4755859375"/>
    <n v="963291"/>
    <n v="-3.02"/>
    <n v="377.21"/>
    <x v="8"/>
    <s v="Q2-2026"/>
  </r>
  <r>
    <d v="2026-05-29T00:00:00"/>
    <x v="9"/>
    <s v="TMPV.NS"/>
    <n v="397.65138031912488"/>
    <n v="404.6433675787722"/>
    <n v="387.48570748166787"/>
    <n v="390.65936279296881"/>
    <n v="31210075"/>
    <n v="-2.56"/>
    <n v="13.98"/>
    <x v="8"/>
    <s v="Q2-2026"/>
  </r>
  <r>
    <d v="2026-05-29T00:00:00"/>
    <x v="10"/>
    <s v="SUNPHARMA.NS"/>
    <n v="1839.479156893789"/>
    <n v="1847.9569383933519"/>
    <n v="1780.633379426238"/>
    <n v="1794.496948242188"/>
    <n v="10058572"/>
    <n v="-3.2"/>
    <n v="53.46"/>
    <x v="8"/>
    <s v="Q2-2026"/>
  </r>
  <r>
    <d v="2026-05-29T00:00:00"/>
    <x v="11"/>
    <s v="ASIANPAINT.NS"/>
    <n v="2653.0818991837282"/>
    <n v="2724.56159325931"/>
    <n v="2608.964661335609"/>
    <n v="2648.62060546875"/>
    <n v="5062328"/>
    <n v="-1.66"/>
    <n v="75.94"/>
    <x v="8"/>
    <s v="Q2-2026"/>
  </r>
  <r>
    <d v="2026-05-29T00:00:00"/>
    <x v="12"/>
    <s v="HINDUNILVR.NS"/>
    <n v="2112.0175443976559"/>
    <n v="2185.5694575331622"/>
    <n v="2096.7727054325701"/>
    <n v="2131.816162109375"/>
    <n v="17701621"/>
    <n v="-0.72"/>
    <n v="53.75"/>
    <x v="8"/>
    <s v="Q2-2026"/>
  </r>
  <r>
    <d v="2026-05-29T00:00:00"/>
    <x v="13"/>
    <s v="LT.NS"/>
    <n v="4045.800048828125"/>
    <n v="4128"/>
    <n v="4045"/>
    <n v="4076.5"/>
    <n v="4882940"/>
    <n v="-0.02"/>
    <n v="51.5"/>
    <x v="8"/>
    <s v="Q2-2026"/>
  </r>
  <r>
    <d v="2026-05-29T00:00:00"/>
    <x v="14"/>
    <s v="AXISBANK.NS"/>
    <n v="1295.1011997994181"/>
    <n v="1311.588484884837"/>
    <n v="1276.41565882644"/>
    <n v="1285.608520507812"/>
    <n v="15215715"/>
    <n v="-1.44"/>
    <n v="25.98"/>
    <x v="8"/>
    <s v="Q2-2026"/>
  </r>
  <r>
    <d v="2026-06-01T00:00:00"/>
    <x v="0"/>
    <s v="RELIANCE.NS"/>
    <n v="1326.3673976551399"/>
    <n v="1329.353590670499"/>
    <n v="1312.4318302501331"/>
    <n v="1313.924926757812"/>
    <n v="10700603"/>
    <n v="-1.05"/>
    <n v="15.43"/>
    <x v="9"/>
    <s v="Q2-2026"/>
  </r>
  <r>
    <d v="2026-06-01T00:00:00"/>
    <x v="1"/>
    <s v="TCS.NS"/>
    <n v="2271.5452382799431"/>
    <n v="2322.2671328299762"/>
    <n v="2267.567050472097"/>
    <n v="2284.8720703125"/>
    <n v="7505095"/>
    <n v="-0.18"/>
    <n v="37.4"/>
    <x v="9"/>
    <s v="Q2-2026"/>
  </r>
  <r>
    <d v="2026-06-01T00:00:00"/>
    <x v="2"/>
    <s v="INFY.NS"/>
    <n v="1150.112264081991"/>
    <n v="1191.2226599044959"/>
    <n v="1148.8397516554951"/>
    <n v="1177.02978515625"/>
    <n v="19439331"/>
    <n v="-0.11"/>
    <n v="14.19"/>
    <x v="9"/>
    <s v="Q2-2026"/>
  </r>
  <r>
    <d v="2026-06-01T00:00:00"/>
    <x v="3"/>
    <s v="HDFCBANK.NS"/>
    <n v="736.81351265906267"/>
    <n v="740.10898299123448"/>
    <n v="727.17297403455893"/>
    <n v="730.61602783203125"/>
    <n v="47996441"/>
    <n v="-1.31"/>
    <n v="9.49"/>
    <x v="9"/>
    <s v="Q2-2026"/>
  </r>
  <r>
    <d v="2026-06-01T00:00:00"/>
    <x v="4"/>
    <s v="ICICIBANK.NS"/>
    <n v="1246.590619780136"/>
    <n v="1251.350540200021"/>
    <n v="1225.567900200225"/>
    <n v="1229.336059570312"/>
    <n v="9911975"/>
    <n v="-1.69"/>
    <n v="22.01"/>
    <x v="9"/>
    <s v="Q2-2026"/>
  </r>
  <r>
    <d v="2026-06-01T00:00:00"/>
    <x v="5"/>
    <s v="WIPRO.NS"/>
    <n v="202.78406404150161"/>
    <n v="205.40413481684351"/>
    <n v="202.78406404150161"/>
    <n v="204.07926940917969"/>
    <n v="26491139"/>
    <n v="0"/>
    <n v="1.32"/>
    <x v="9"/>
    <s v="Q2-2026"/>
  </r>
  <r>
    <d v="2026-06-01T00:00:00"/>
    <x v="6"/>
    <s v="HCLTECH.NS"/>
    <n v="1178.0727471250309"/>
    <n v="1200.543411937201"/>
    <n v="1178.0727471250309"/>
    <n v="1183.022216796875"/>
    <n v="5970435"/>
    <n v="0"/>
    <n v="17.52"/>
    <x v="9"/>
    <s v="Q2-2026"/>
  </r>
  <r>
    <d v="2026-06-01T00:00:00"/>
    <x v="7"/>
    <s v="BAJFINANCE.NS"/>
    <n v="905.88139374583716"/>
    <n v="912.39136356474694"/>
    <n v="882.57465233714083"/>
    <n v="883.61822509765625"/>
    <n v="6887616"/>
    <n v="-2.57"/>
    <n v="28.77"/>
    <x v="9"/>
    <s v="Q2-2026"/>
  </r>
  <r>
    <d v="2026-06-01T00:00:00"/>
    <x v="8"/>
    <s v="MARUTI.NS"/>
    <n v="13068.749818959521"/>
    <n v="13135.083624858789"/>
    <n v="12784.603516077599"/>
    <n v="12817.275390625"/>
    <n v="295359"/>
    <n v="-2.17"/>
    <n v="317.81"/>
    <x v="9"/>
    <s v="Q2-2026"/>
  </r>
  <r>
    <d v="2026-06-01T00:00:00"/>
    <x v="9"/>
    <s v="TMPV.NS"/>
    <n v="391.75031118177873"/>
    <n v="395.56864305292811"/>
    <n v="380.69204895741751"/>
    <n v="381.7333984375"/>
    <n v="8626860"/>
    <n v="-2.82"/>
    <n v="13.84"/>
    <x v="9"/>
    <s v="Q2-2026"/>
  </r>
  <r>
    <d v="2026-06-01T00:00:00"/>
    <x v="10"/>
    <s v="SUNPHARMA.NS"/>
    <n v="1807.263561254088"/>
    <n v="1807.363275510975"/>
    <n v="1772.454763014345"/>
    <n v="1791.804077148438"/>
    <n v="2051152"/>
    <n v="-1.93"/>
    <n v="15.56"/>
    <x v="9"/>
    <s v="Q2-2026"/>
  </r>
  <r>
    <d v="2026-06-01T00:00:00"/>
    <x v="11"/>
    <s v="ASIANPAINT.NS"/>
    <n v="2709.0959013516608"/>
    <n v="2754.8984680974222"/>
    <n v="2604.1066447680032"/>
    <n v="2609.757568359375"/>
    <n v="2224344"/>
    <n v="-3.88"/>
    <n v="145.13999999999999"/>
    <x v="9"/>
    <s v="Q2-2026"/>
  </r>
  <r>
    <d v="2026-06-01T00:00:00"/>
    <x v="12"/>
    <s v="HINDUNILVR.NS"/>
    <n v="2136.7658114814608"/>
    <n v="2145.675189430654"/>
    <n v="2059.3532647482748"/>
    <n v="2063.31298828125"/>
    <n v="1470488"/>
    <n v="-3.62"/>
    <n v="82.36"/>
    <x v="9"/>
    <s v="Q2-2026"/>
  </r>
  <r>
    <d v="2026-06-01T00:00:00"/>
    <x v="13"/>
    <s v="LT.NS"/>
    <n v="4089"/>
    <n v="4105.7998046875"/>
    <n v="4002.10009765625"/>
    <n v="4010.800048828125"/>
    <n v="1409388"/>
    <n v="-2.13"/>
    <n v="95"/>
    <x v="9"/>
    <s v="Q2-2026"/>
  </r>
  <r>
    <d v="2026-06-01T00:00:00"/>
    <x v="14"/>
    <s v="AXISBANK.NS"/>
    <n v="1288.0066280954211"/>
    <n v="1292.203342561714"/>
    <n v="1266.023582464622"/>
    <n v="1274.916748046875"/>
    <n v="4311076"/>
    <n v="-1.71"/>
    <n v="17.29"/>
    <x v="9"/>
    <s v="Q2-2026"/>
  </r>
  <r>
    <d v="2026-06-02T00:00:00"/>
    <x v="0"/>
    <s v="RELIANCE.NS"/>
    <n v="1301.681536189825"/>
    <n v="1321.6891273588139"/>
    <n v="1294.3156903458801"/>
    <n v="1308.5498046875"/>
    <n v="23302785"/>
    <n v="-0.56999999999999995"/>
    <n v="13.14"/>
    <x v="9"/>
    <s v="Q2-2026"/>
  </r>
  <r>
    <d v="2026-06-02T00:00:00"/>
    <x v="1"/>
    <s v="TCS.NS"/>
    <n v="2307.3489713446802"/>
    <n v="2443.9996279549"/>
    <n v="2303.569644295269"/>
    <n v="2433.556884765625"/>
    <n v="11306127"/>
    <n v="-0.16"/>
    <n v="10.44"/>
    <x v="9"/>
    <s v="Q2-2026"/>
  </r>
  <r>
    <d v="2026-06-02T00:00:00"/>
    <x v="2"/>
    <s v="INFY.NS"/>
    <n v="1206.3943648530501"/>
    <n v="1251.8115883679941"/>
    <n v="1206.3943648530501"/>
    <n v="1243.883178710938"/>
    <n v="36032600"/>
    <n v="0"/>
    <n v="7.93"/>
    <x v="9"/>
    <s v="Q2-2026"/>
  </r>
  <r>
    <d v="2026-06-02T00:00:00"/>
    <x v="3"/>
    <s v="HDFCBANK.NS"/>
    <n v="725.00878555496672"/>
    <n v="741.33867448278579"/>
    <n v="721.22145024427914"/>
    <n v="736.07574462890625"/>
    <n v="47314447"/>
    <n v="-0.52"/>
    <n v="5.26"/>
    <x v="9"/>
    <s v="Q2-2026"/>
  </r>
  <r>
    <d v="2026-06-02T00:00:00"/>
    <x v="4"/>
    <s v="ICICIBANK.NS"/>
    <n v="1222.6921011668931"/>
    <n v="1227.3527606751829"/>
    <n v="1210.494880934845"/>
    <n v="1216.345581054688"/>
    <n v="17920892"/>
    <n v="-1"/>
    <n v="11.01"/>
    <x v="9"/>
    <s v="Q2-2026"/>
  </r>
  <r>
    <d v="2026-06-02T00:00:00"/>
    <x v="5"/>
    <s v="WIPRO.NS"/>
    <n v="205.65130059654999"/>
    <n v="207.80667717859501"/>
    <n v="204.17811998325581"/>
    <n v="207.47052001953119"/>
    <n v="42476874"/>
    <n v="-0.72"/>
    <n v="0.34"/>
    <x v="9"/>
    <s v="Q2-2026"/>
  </r>
  <r>
    <d v="2026-06-02T00:00:00"/>
    <x v="6"/>
    <s v="HCLTECH.NS"/>
    <n v="1197.7716587190889"/>
    <n v="1244.296673561897"/>
    <n v="1190.0504377083839"/>
    <n v="1230.93310546875"/>
    <n v="7663067"/>
    <n v="-0.64"/>
    <n v="13.36"/>
    <x v="9"/>
    <s v="Q2-2026"/>
  </r>
  <r>
    <d v="2026-06-02T00:00:00"/>
    <x v="7"/>
    <s v="BAJFINANCE.NS"/>
    <n v="868.66014448585429"/>
    <n v="878.99662813594114"/>
    <n v="855.19294270779722"/>
    <n v="876.61126708984375"/>
    <n v="15697997"/>
    <n v="-1.55"/>
    <n v="2.39"/>
    <x v="9"/>
    <s v="Q2-2026"/>
  </r>
  <r>
    <d v="2026-06-02T00:00:00"/>
    <x v="8"/>
    <s v="MARUTI.NS"/>
    <n v="12573.721244576491"/>
    <n v="12921.23117818643"/>
    <n v="12573.721244576491"/>
    <n v="12892.51953125"/>
    <n v="586599"/>
    <n v="0"/>
    <n v="28.71"/>
    <x v="9"/>
    <s v="Q2-2026"/>
  </r>
  <r>
    <d v="2026-06-02T00:00:00"/>
    <x v="9"/>
    <s v="TMPV.NS"/>
    <n v="376.47700807909928"/>
    <n v="388.67580294013919"/>
    <n v="374.19591219353782"/>
    <n v="386.98980712890619"/>
    <n v="12789321"/>
    <n v="-0.61"/>
    <n v="1.69"/>
    <x v="9"/>
    <s v="Q2-2026"/>
  </r>
  <r>
    <d v="2026-06-02T00:00:00"/>
    <x v="10"/>
    <s v="SUNPHARMA.NS"/>
    <n v="1789.510000436577"/>
    <n v="1795.294888221337"/>
    <n v="1761.8824555794399"/>
    <n v="1785.221313476562"/>
    <n v="2885899"/>
    <n v="-1.54"/>
    <n v="10.07"/>
    <x v="9"/>
    <s v="Q2-2026"/>
  </r>
  <r>
    <d v="2026-06-02T00:00:00"/>
    <x v="11"/>
    <s v="ASIANPAINT.NS"/>
    <n v="2603.5119626179271"/>
    <n v="2649.116298258944"/>
    <n v="2585.4683144491592"/>
    <n v="2637.814208984375"/>
    <n v="1026319"/>
    <n v="-0.69"/>
    <n v="11.3"/>
    <x v="9"/>
    <s v="Q2-2026"/>
  </r>
  <r>
    <d v="2026-06-02T00:00:00"/>
    <x v="12"/>
    <s v="HINDUNILVR.NS"/>
    <n v="2058.0662289618631"/>
    <n v="2075.88498419097"/>
    <n v="2044.9001003727781"/>
    <n v="2072.6181640625"/>
    <n v="2148903"/>
    <n v="-0.64"/>
    <n v="3.27"/>
    <x v="9"/>
    <s v="Q2-2026"/>
  </r>
  <r>
    <d v="2026-06-02T00:00:00"/>
    <x v="13"/>
    <s v="LT.NS"/>
    <n v="3980"/>
    <n v="4017"/>
    <n v="3923.5"/>
    <n v="4000.89990234375"/>
    <n v="2085054"/>
    <n v="-1.42"/>
    <n v="16.100000000000001"/>
    <x v="9"/>
    <s v="Q2-2026"/>
  </r>
  <r>
    <d v="2026-06-02T00:00:00"/>
    <x v="14"/>
    <s v="AXISBANK.NS"/>
    <n v="1262.026718382876"/>
    <n v="1274.8169033533429"/>
    <n v="1243.940690836137"/>
    <n v="1250.135864257812"/>
    <n v="11884695"/>
    <n v="-1.43"/>
    <n v="24.68"/>
    <x v="9"/>
    <s v="Q2-2026"/>
  </r>
  <r>
    <d v="2026-06-03T00:00:00"/>
    <x v="0"/>
    <s v="RELIANCE.NS"/>
    <n v="1308.948014516812"/>
    <n v="1317.906594083847"/>
    <n v="1295.012446301424"/>
    <n v="1307.15625"/>
    <n v="20012293"/>
    <n v="-1.06"/>
    <n v="10.75"/>
    <x v="9"/>
    <s v="Q2-2026"/>
  </r>
  <r>
    <d v="2026-06-03T00:00:00"/>
    <x v="1"/>
    <s v="TCS.NS"/>
    <n v="2379.9508308807999"/>
    <n v="2379.9508308807999"/>
    <n v="2212.668083891409"/>
    <n v="2229.475830078125"/>
    <n v="15660062"/>
    <n v="-7.03"/>
    <n v="150.47999999999999"/>
    <x v="9"/>
    <s v="Q2-2026"/>
  </r>
  <r>
    <d v="2026-06-03T00:00:00"/>
    <x v="2"/>
    <s v="INFY.NS"/>
    <n v="1215.790948301355"/>
    <n v="1223.425783618914"/>
    <n v="1190.2437985614149"/>
    <n v="1196.703979492188"/>
    <n v="18534303"/>
    <n v="-2.1"/>
    <n v="26.72"/>
    <x v="9"/>
    <s v="Q2-2026"/>
  </r>
  <r>
    <d v="2026-06-03T00:00:00"/>
    <x v="3"/>
    <s v="HDFCBANK.NS"/>
    <n v="732.33755358464407"/>
    <n v="744.58499979633223"/>
    <n v="730.51761769785821"/>
    <n v="741.38787841796875"/>
    <n v="36109480"/>
    <n v="-0.25"/>
    <n v="3.2"/>
    <x v="9"/>
    <s v="Q2-2026"/>
  </r>
  <r>
    <d v="2026-06-03T00:00:00"/>
    <x v="4"/>
    <s v="ICICIBANK.NS"/>
    <n v="1209.7016025437181"/>
    <n v="1237.8642014111731"/>
    <n v="1203.5533622069199"/>
    <n v="1231.616821289062"/>
    <n v="13934754"/>
    <n v="-0.51"/>
    <n v="6.25"/>
    <x v="9"/>
    <s v="Q2-2026"/>
  </r>
  <r>
    <d v="2026-06-03T00:00:00"/>
    <x v="5"/>
    <s v="WIPRO.NS"/>
    <n v="205.6513050563035"/>
    <n v="206.04678230066199"/>
    <n v="199.71905587198711"/>
    <n v="201.79534912109381"/>
    <n v="62282204"/>
    <n v="-2.88"/>
    <n v="4.25"/>
    <x v="9"/>
    <s v="Q2-2026"/>
  </r>
  <r>
    <d v="2026-06-03T00:00:00"/>
    <x v="6"/>
    <s v="HCLTECH.NS"/>
    <n v="1216.381727723978"/>
    <n v="1217.5695521230921"/>
    <n v="1164.907242593571"/>
    <n v="1167.0849609375"/>
    <n v="4800922"/>
    <n v="-4.2300000000000004"/>
    <n v="50.48"/>
    <x v="9"/>
    <s v="Q2-2026"/>
  </r>
  <r>
    <d v="2026-06-03T00:00:00"/>
    <x v="7"/>
    <s v="BAJFINANCE.NS"/>
    <n v="876.61129619586268"/>
    <n v="876.61129619586268"/>
    <n v="858.22432456363651"/>
    <n v="871.44305419921875"/>
    <n v="14747769"/>
    <n v="-2.1"/>
    <n v="5.17"/>
    <x v="9"/>
    <s v="Q2-2026"/>
  </r>
  <r>
    <d v="2026-06-03T00:00:00"/>
    <x v="8"/>
    <s v="MARUTI.NS"/>
    <n v="12884.59907752127"/>
    <n v="13074.68998138512"/>
    <n v="12782.623228052649"/>
    <n v="12914.30078125"/>
    <n v="607808"/>
    <n v="-0.79"/>
    <n v="160.38999999999999"/>
    <x v="9"/>
    <s v="Q2-2026"/>
  </r>
  <r>
    <d v="2026-06-03T00:00:00"/>
    <x v="9"/>
    <s v="TMPV.NS"/>
    <n v="388.82456866664012"/>
    <n v="396.51080894464712"/>
    <n v="381.68382166504171"/>
    <n v="394.8743896484375"/>
    <n v="8638483"/>
    <n v="-1.84"/>
    <n v="1.64"/>
    <x v="9"/>
    <s v="Q2-2026"/>
  </r>
  <r>
    <d v="2026-06-03T00:00:00"/>
    <x v="10"/>
    <s v="SUNPHARMA.NS"/>
    <n v="1776.344555793743"/>
    <n v="1791.604611065623"/>
    <n v="1752.2078620741279"/>
    <n v="1783.824951171875"/>
    <n v="4209769"/>
    <n v="-1.36"/>
    <n v="7.78"/>
    <x v="9"/>
    <s v="Q2-2026"/>
  </r>
  <r>
    <d v="2026-06-03T00:00:00"/>
    <x v="11"/>
    <s v="ASIANPAINT.NS"/>
    <n v="2629.2882998645418"/>
    <n v="2652.9826293718861"/>
    <n v="2602.1238332482139"/>
    <n v="2639.49951171875"/>
    <n v="958774"/>
    <n v="-1.03"/>
    <n v="13.48"/>
    <x v="9"/>
    <s v="Q2-2026"/>
  </r>
  <r>
    <d v="2026-06-03T00:00:00"/>
    <x v="12"/>
    <s v="HINDUNILVR.NS"/>
    <n v="2070.9353670832679"/>
    <n v="2078.4589383211342"/>
    <n v="2051.3346876434312"/>
    <n v="2069.549560546875"/>
    <n v="1544973"/>
    <n v="-0.95"/>
    <n v="8.91"/>
    <x v="9"/>
    <s v="Q2-2026"/>
  </r>
  <r>
    <d v="2026-06-03T00:00:00"/>
    <x v="13"/>
    <s v="LT.NS"/>
    <n v="4000.89990234375"/>
    <n v="4008"/>
    <n v="3894"/>
    <n v="3953.199951171875"/>
    <n v="1872929"/>
    <n v="-2.67"/>
    <n v="54.8"/>
    <x v="9"/>
    <s v="Q2-2026"/>
  </r>
  <r>
    <d v="2026-06-03T00:00:00"/>
    <x v="14"/>
    <s v="AXISBANK.NS"/>
    <n v="1244.1404736967711"/>
    <n v="1263.8253656219049"/>
    <n v="1229.351952093534"/>
    <n v="1254.232666015625"/>
    <n v="7953326"/>
    <n v="-1.19"/>
    <n v="9.59"/>
    <x v="9"/>
    <s v="Q2-2026"/>
  </r>
  <r>
    <d v="2026-06-04T00:00:00"/>
    <x v="0"/>
    <s v="RELIANCE.NS"/>
    <n v="1295.0124259474101"/>
    <n v="1305.1654340270679"/>
    <n v="1287.1487597049049"/>
    <n v="1297.699951171875"/>
    <n v="23474327"/>
    <n v="-0.61"/>
    <n v="7.47"/>
    <x v="9"/>
    <s v="Q2-2026"/>
  </r>
  <r>
    <d v="2026-06-04T00:00:00"/>
    <x v="1"/>
    <s v="TCS.NS"/>
    <n v="2229.475919481315"/>
    <n v="2240.813900754049"/>
    <n v="2204.5129359355728"/>
    <n v="2228.77978515625"/>
    <n v="4867263"/>
    <n v="-1.1200000000000001"/>
    <n v="12.03"/>
    <x v="9"/>
    <s v="Q2-2026"/>
  </r>
  <r>
    <d v="2026-06-04T00:00:00"/>
    <x v="2"/>
    <s v="INFY.NS"/>
    <n v="1182.413263625325"/>
    <n v="1189.4607121046949"/>
    <n v="1170.8631524946941"/>
    <n v="1175.855224609375"/>
    <n v="12755957"/>
    <n v="-0.98"/>
    <n v="13.61"/>
    <x v="9"/>
    <s v="Q2-2026"/>
  </r>
  <r>
    <d v="2026-06-04T00:00:00"/>
    <x v="3"/>
    <s v="HDFCBANK.NS"/>
    <n v="736.96107145277324"/>
    <n v="744.97843185894465"/>
    <n v="732.87856949846218"/>
    <n v="741.92889404296875"/>
    <n v="42673538"/>
    <n v="-0.55000000000000004"/>
    <n v="3.05"/>
    <x v="9"/>
    <s v="Q2-2026"/>
  </r>
  <r>
    <d v="2026-06-04T00:00:00"/>
    <x v="4"/>
    <s v="ICICIBANK.NS"/>
    <n v="1221.898738113159"/>
    <n v="1251.7471984286101"/>
    <n v="1221.898738113159"/>
    <n v="1241.235717773438"/>
    <n v="19461560"/>
    <n v="0"/>
    <n v="10.51"/>
    <x v="9"/>
    <s v="Q2-2026"/>
  </r>
  <r>
    <d v="2026-06-04T00:00:00"/>
    <x v="5"/>
    <s v="WIPRO.NS"/>
    <n v="200.70776111631719"/>
    <n v="202.7741575976932"/>
    <n v="199.81792978635801"/>
    <n v="202.01286315917969"/>
    <n v="40659957"/>
    <n v="-0.44"/>
    <n v="0.76"/>
    <x v="9"/>
    <s v="Q2-2026"/>
  </r>
  <r>
    <d v="2026-06-04T00:00:00"/>
    <x v="6"/>
    <s v="HCLTECH.NS"/>
    <n v="1154.612341367492"/>
    <n v="1164.610246215695"/>
    <n v="1146.495138377632"/>
    <n v="1156.4931640625"/>
    <n v="2025595"/>
    <n v="-0.7"/>
    <n v="8.1199999999999992"/>
    <x v="9"/>
    <s v="Q2-2026"/>
  </r>
  <r>
    <d v="2026-06-04T00:00:00"/>
    <x v="7"/>
    <s v="BAJFINANCE.NS"/>
    <n v="864.8833876892113"/>
    <n v="873.77871838203066"/>
    <n v="862.69681680449139"/>
    <n v="869.0577392578125"/>
    <n v="9676279"/>
    <n v="-0.25"/>
    <n v="4.72"/>
    <x v="9"/>
    <s v="Q2-2026"/>
  </r>
  <r>
    <d v="2026-06-04T00:00:00"/>
    <x v="8"/>
    <s v="MARUTI.NS"/>
    <n v="12860.838333008411"/>
    <n v="13132.11390677626"/>
    <n v="12820.246002627089"/>
    <n v="12934.1025390625"/>
    <n v="465070"/>
    <n v="-0.32"/>
    <n v="198.01"/>
    <x v="9"/>
    <s v="Q2-2026"/>
  </r>
  <r>
    <d v="2026-06-04T00:00:00"/>
    <x v="9"/>
    <s v="TMPV.NS"/>
    <n v="392.94044636172458"/>
    <n v="397.89931100401537"/>
    <n v="387.78321502713902"/>
    <n v="396.41165161132813"/>
    <n v="12067304"/>
    <n v="-1.31"/>
    <n v="1.49"/>
    <x v="9"/>
    <s v="Q2-2026"/>
  </r>
  <r>
    <d v="2026-06-04T00:00:00"/>
    <x v="10"/>
    <s v="SUNPHARMA.NS"/>
    <n v="1782.328887571945"/>
    <n v="1788.7121827002879"/>
    <n v="1763.9769597346681"/>
    <n v="1775.446899414062"/>
    <n v="2343536"/>
    <n v="-1.03"/>
    <n v="13.27"/>
    <x v="9"/>
    <s v="Q2-2026"/>
  </r>
  <r>
    <d v="2026-06-04T00:00:00"/>
    <x v="11"/>
    <s v="ASIANPAINT.NS"/>
    <n v="2640.986810409373"/>
    <n v="2675.5867690885621"/>
    <n v="2622.15023574918"/>
    <n v="2638.706787109375"/>
    <n v="1840743"/>
    <n v="-0.71"/>
    <n v="36.880000000000003"/>
    <x v="9"/>
    <s v="Q2-2026"/>
  </r>
  <r>
    <d v="2026-06-04T00:00:00"/>
    <x v="12"/>
    <s v="HINDUNILVR.NS"/>
    <n v="2067.965591245596"/>
    <n v="2089.6449806656601"/>
    <n v="2052.6216627322851"/>
    <n v="2058.462158203125"/>
    <n v="2142735"/>
    <n v="-0.74"/>
    <n v="31.18"/>
    <x v="9"/>
    <s v="Q2-2026"/>
  </r>
  <r>
    <d v="2026-06-04T00:00:00"/>
    <x v="13"/>
    <s v="LT.NS"/>
    <n v="3945"/>
    <n v="3974.89990234375"/>
    <n v="3930.10009765625"/>
    <n v="3942.10009765625"/>
    <n v="1398297"/>
    <n v="-0.38"/>
    <n v="32.799999999999997"/>
    <x v="9"/>
    <s v="Q2-2026"/>
  </r>
  <r>
    <d v="2026-06-04T00:00:00"/>
    <x v="14"/>
    <s v="AXISBANK.NS"/>
    <n v="1245.0398052641101"/>
    <n v="1258.929118016639"/>
    <n v="1243.141245050241"/>
    <n v="1252.334228515625"/>
    <n v="6392593"/>
    <n v="-0.15"/>
    <n v="6.59"/>
    <x v="9"/>
    <s v="Q2-2026"/>
  </r>
  <r>
    <d v="2026-06-05T00:00:00"/>
    <x v="0"/>
    <s v="RELIANCE.NS"/>
    <n v="1304.5"/>
    <n v="1306"/>
    <n v="1288"/>
    <n v="1291"/>
    <n v="17785223"/>
    <n v="-1.26"/>
    <n v="15"/>
    <x v="9"/>
    <s v="Q2-2026"/>
  </r>
  <r>
    <d v="2026-06-05T00:00:00"/>
    <x v="1"/>
    <s v="TCS.NS"/>
    <n v="2250.5601841515131"/>
    <n v="2259.4117976453781"/>
    <n v="2180.046902892449"/>
    <n v="2186.9091796875"/>
    <n v="5019717"/>
    <n v="-3.13"/>
    <n v="72.5"/>
    <x v="9"/>
    <s v="Q2-2026"/>
  </r>
  <r>
    <d v="2026-06-05T00:00:00"/>
    <x v="2"/>
    <s v="INFY.NS"/>
    <n v="1194.159169493737"/>
    <n v="1197.878729454909"/>
    <n v="1169.003569208953"/>
    <n v="1172.1357421875"/>
    <n v="8692290"/>
    <n v="-2.11"/>
    <n v="25.74"/>
    <x v="9"/>
    <s v="Q2-2026"/>
  </r>
  <r>
    <d v="2026-06-05T00:00:00"/>
    <x v="3"/>
    <s v="HDFCBANK.NS"/>
    <n v="741.68296105025081"/>
    <n v="746.35567675812104"/>
    <n v="732.53428756747064"/>
    <n v="734.89520263671875"/>
    <n v="22116568"/>
    <n v="-1.23"/>
    <n v="11.46"/>
    <x v="9"/>
    <s v="Q2-2026"/>
  </r>
  <r>
    <d v="2026-06-05T00:00:00"/>
    <x v="4"/>
    <s v="ICICIBANK.NS"/>
    <n v="1246.49148830128"/>
    <n v="1254.4246083541129"/>
    <n v="1239.550008255052"/>
    <n v="1251.548828125"/>
    <n v="10166393"/>
    <n v="-0.56000000000000005"/>
    <n v="2.88"/>
    <x v="9"/>
    <s v="Q2-2026"/>
  </r>
  <r>
    <d v="2026-06-05T00:00:00"/>
    <x v="5"/>
    <s v="WIPRO.NS"/>
    <n v="189.35739346895889"/>
    <n v="196.75292637689861"/>
    <n v="186.02543666798451"/>
    <n v="196.1300354003906"/>
    <n v="43539069"/>
    <n v="-1.76"/>
    <n v="0.62"/>
    <x v="9"/>
    <s v="Q2-2026"/>
  </r>
  <r>
    <d v="2026-06-05T00:00:00"/>
    <x v="6"/>
    <s v="HCLTECH.NS"/>
    <n v="1167.0848647183479"/>
    <n v="1170.549493239565"/>
    <n v="1135.408261095798"/>
    <n v="1143.030395507812"/>
    <n v="1971395"/>
    <n v="-2.71"/>
    <n v="27.52"/>
    <x v="9"/>
    <s v="Q2-2026"/>
  </r>
  <r>
    <d v="2026-06-05T00:00:00"/>
    <x v="7"/>
    <s v="BAJFINANCE.NS"/>
    <n v="868.66018941897198"/>
    <n v="907.42191411844556"/>
    <n v="868.66018941897198"/>
    <n v="883.96612548828125"/>
    <n v="13274646"/>
    <n v="0"/>
    <n v="23.46"/>
    <x v="9"/>
    <s v="Q2-2026"/>
  </r>
  <r>
    <d v="2026-06-05T00:00:00"/>
    <x v="8"/>
    <s v="MARUTI.NS"/>
    <n v="13020.236947512571"/>
    <n v="13043.998310659121"/>
    <n v="12786.58354323815"/>
    <n v="12920.2412109375"/>
    <n v="295703"/>
    <n v="-1.79"/>
    <n v="123.76"/>
    <x v="9"/>
    <s v="Q2-2026"/>
  </r>
  <r>
    <d v="2026-06-05T00:00:00"/>
    <x v="9"/>
    <s v="TMPV.NS"/>
    <n v="397.7009376215467"/>
    <n v="399.7340599840814"/>
    <n v="390.3618241277174"/>
    <n v="394.52725219726563"/>
    <n v="9554051"/>
    <n v="-1.85"/>
    <n v="5.21"/>
    <x v="9"/>
    <s v="Q2-2026"/>
  </r>
  <r>
    <d v="2026-06-05T00:00:00"/>
    <x v="10"/>
    <s v="SUNPHARMA.NS"/>
    <n v="1784.323655723078"/>
    <n v="1798.187346263682"/>
    <n v="1774.349795154475"/>
    <n v="1777.541381835938"/>
    <n v="2495159"/>
    <n v="-0.56000000000000005"/>
    <n v="20.65"/>
    <x v="9"/>
    <s v="Q2-2026"/>
  </r>
  <r>
    <d v="2026-06-05T00:00:00"/>
    <x v="11"/>
    <s v="ASIANPAINT.NS"/>
    <n v="2643.0686735140898"/>
    <n v="2676.577994677205"/>
    <n v="2642.0772749118719"/>
    <n v="2663.590576171875"/>
    <n v="1615011"/>
    <n v="-0.04"/>
    <n v="12.99"/>
    <x v="9"/>
    <s v="Q2-2026"/>
  </r>
  <r>
    <d v="2026-06-05T00:00:00"/>
    <x v="12"/>
    <s v="HINDUNILVR.NS"/>
    <n v="2065.6887836943192"/>
    <n v="2106.0780132005102"/>
    <n v="2056.2844400396052"/>
    <n v="2100.138427734375"/>
    <n v="1822999"/>
    <n v="-0.46"/>
    <n v="5.94"/>
    <x v="9"/>
    <s v="Q2-2026"/>
  </r>
  <r>
    <d v="2026-06-05T00:00:00"/>
    <x v="13"/>
    <s v="LT.NS"/>
    <n v="3960"/>
    <n v="3978"/>
    <n v="3923.89990234375"/>
    <n v="3953.199951171875"/>
    <n v="1278243"/>
    <n v="-0.91"/>
    <n v="24.8"/>
    <x v="9"/>
    <s v="Q2-2026"/>
  </r>
  <r>
    <d v="2026-06-05T00:00:00"/>
    <x v="14"/>
    <s v="AXISBANK.NS"/>
    <n v="1259.029009999537"/>
    <n v="1275.0166799677861"/>
    <n v="1251.135073557467"/>
    <n v="1271.319580078125"/>
    <n v="7825303"/>
    <n v="-0.63"/>
    <n v="3.7"/>
    <x v="9"/>
    <s v="Q2-2026"/>
  </r>
  <r>
    <d v="2026-06-08T00:00:00"/>
    <x v="0"/>
    <s v="RELIANCE.NS"/>
    <n v="1277"/>
    <n v="1282.599975585938"/>
    <n v="1259.199951171875"/>
    <n v="1263.300048828125"/>
    <n v="16494759"/>
    <n v="-1.39"/>
    <n v="19.3"/>
    <x v="9"/>
    <s v="Q2-2026"/>
  </r>
  <r>
    <d v="2026-06-08T00:00:00"/>
    <x v="1"/>
    <s v="TCS.NS"/>
    <n v="2158.166883299778"/>
    <n v="2165.1287119555832"/>
    <n v="2131.6125282744961"/>
    <n v="2139.668212890625"/>
    <n v="6536734"/>
    <n v="-1.23"/>
    <n v="25.46"/>
    <x v="9"/>
    <s v="Q2-2026"/>
  </r>
  <r>
    <d v="2026-06-08T00:00:00"/>
    <x v="2"/>
    <s v="INFY.NS"/>
    <n v="1152.559265415463"/>
    <n v="1175.26781631171"/>
    <n v="1151.580446506405"/>
    <n v="1162.4453125"/>
    <n v="8631711"/>
    <n v="-0.08"/>
    <n v="12.82"/>
    <x v="9"/>
    <s v="Q2-2026"/>
  </r>
  <r>
    <d v="2026-06-08T00:00:00"/>
    <x v="3"/>
    <s v="HDFCBANK.NS"/>
    <n v="725.99250969381865"/>
    <n v="729.43556360158061"/>
    <n v="722.54945578605657"/>
    <n v="726.6319580078125"/>
    <n v="21550700"/>
    <n v="-0.47"/>
    <n v="2.8"/>
    <x v="9"/>
    <s v="Q2-2026"/>
  </r>
  <r>
    <d v="2026-06-08T00:00:00"/>
    <x v="4"/>
    <s v="ICICIBANK.NS"/>
    <n v="1235.98013161075"/>
    <n v="1243.516571470306"/>
    <n v="1232.707671160643"/>
    <n v="1239.748291015625"/>
    <n v="10714196"/>
    <n v="-0.26"/>
    <n v="3.77"/>
    <x v="9"/>
    <s v="Q2-2026"/>
  </r>
  <r>
    <d v="2026-06-08T00:00:00"/>
    <x v="5"/>
    <s v="WIPRO.NS"/>
    <n v="191.20627694364629"/>
    <n v="191.70063104041219"/>
    <n v="178.95618302924751"/>
    <n v="179.70759582519531"/>
    <n v="75164049"/>
    <n v="-6.41"/>
    <n v="11.99"/>
    <x v="9"/>
    <s v="Q2-2026"/>
  </r>
  <r>
    <d v="2026-06-08T00:00:00"/>
    <x v="6"/>
    <s v="HCLTECH.NS"/>
    <n v="1130.3598899885999"/>
    <n v="1147.287051831903"/>
    <n v="1120.8569325359269"/>
    <n v="1139.664916992188"/>
    <n v="1546444"/>
    <n v="-0.84"/>
    <n v="7.62"/>
    <x v="9"/>
    <s v="Q2-2026"/>
  </r>
  <r>
    <d v="2026-06-08T00:00:00"/>
    <x v="7"/>
    <s v="BAJFINANCE.NS"/>
    <n v="867.66624790097489"/>
    <n v="874.02717020317903"/>
    <n v="861.20596083183818"/>
    <n v="865.77783203125"/>
    <n v="6203084"/>
    <n v="-0.74"/>
    <n v="8.25"/>
    <x v="9"/>
    <s v="Q2-2026"/>
  </r>
  <r>
    <d v="2026-06-08T00:00:00"/>
    <x v="8"/>
    <s v="MARUTI.NS"/>
    <n v="12771.73259976185"/>
    <n v="12899.449925759471"/>
    <n v="12713.319249111781"/>
    <n v="12783.61328125"/>
    <n v="372902"/>
    <n v="-0.46"/>
    <n v="115.84"/>
    <x v="9"/>
    <s v="Q2-2026"/>
  </r>
  <r>
    <d v="2026-06-08T00:00:00"/>
    <x v="9"/>
    <s v="TMPV.NS"/>
    <n v="388.77500150626611"/>
    <n v="389.66759111968781"/>
    <n v="383.81613669113511"/>
    <n v="385.7996826171875"/>
    <n v="7585986"/>
    <n v="-1.28"/>
    <n v="3.87"/>
    <x v="9"/>
    <s v="Q2-2026"/>
  </r>
  <r>
    <d v="2026-06-08T00:00:00"/>
    <x v="10"/>
    <s v="SUNPHARMA.NS"/>
    <n v="1776.0452214162381"/>
    <n v="1798.78567117174"/>
    <n v="1768.864090836197"/>
    <n v="1784.124145507812"/>
    <n v="3098542"/>
    <n v="-0.4"/>
    <n v="14.66"/>
    <x v="9"/>
    <s v="Q2-2026"/>
  </r>
  <r>
    <d v="2026-06-08T00:00:00"/>
    <x v="11"/>
    <s v="ASIANPAINT.NS"/>
    <n v="2620.5640072762421"/>
    <n v="2651.991294961671"/>
    <n v="2607.4775939671831"/>
    <n v="2636.3271484375"/>
    <n v="1262904"/>
    <n v="-0.5"/>
    <n v="15.66"/>
    <x v="9"/>
    <s v="Q2-2026"/>
  </r>
  <r>
    <d v="2026-06-08T00:00:00"/>
    <x v="12"/>
    <s v="HINDUNILVR.NS"/>
    <n v="2084.1015548672108"/>
    <n v="2103.6031450994278"/>
    <n v="2070.4404602237428"/>
    <n v="2088.853271484375"/>
    <n v="1601497"/>
    <n v="-0.66"/>
    <n v="14.75"/>
    <x v="9"/>
    <s v="Q2-2026"/>
  </r>
  <r>
    <d v="2026-06-08T00:00:00"/>
    <x v="13"/>
    <s v="LT.NS"/>
    <n v="3901.10009765625"/>
    <n v="3916.699951171875"/>
    <n v="3863.10009765625"/>
    <n v="3875.5"/>
    <n v="1678709"/>
    <n v="-0.97"/>
    <n v="41.2"/>
    <x v="9"/>
    <s v="Q2-2026"/>
  </r>
  <r>
    <d v="2026-06-08T00:00:00"/>
    <x v="14"/>
    <s v="AXISBANK.NS"/>
    <n v="1261.0274061863011"/>
    <n v="1278.2141017590429"/>
    <n v="1261.0274061863011"/>
    <n v="1267.122680664062"/>
    <n v="5034388"/>
    <n v="0"/>
    <n v="11.09"/>
    <x v="9"/>
    <s v="Q2-2026"/>
  </r>
  <r>
    <d v="2026-06-09T00:00:00"/>
    <x v="0"/>
    <s v="RELIANCE.NS"/>
    <n v="1269"/>
    <n v="1274.199951171875"/>
    <n v="1257.5"/>
    <n v="1269.199951171875"/>
    <n v="23620214"/>
    <n v="-0.91"/>
    <n v="5"/>
    <x v="9"/>
    <s v="Q2-2026"/>
  </r>
  <r>
    <d v="2026-06-09T00:00:00"/>
    <x v="1"/>
    <s v="TCS.NS"/>
    <n v="2162.1450878588448"/>
    <n v="2162.1450878588448"/>
    <n v="2121.169801728995"/>
    <n v="2139.2705078125"/>
    <n v="4148655"/>
    <n v="-1.9"/>
    <n v="22.87"/>
    <x v="9"/>
    <s v="Q2-2026"/>
  </r>
  <r>
    <d v="2026-06-09T00:00:00"/>
    <x v="2"/>
    <s v="INFY.NS"/>
    <n v="1168.3182691086099"/>
    <n v="1168.3182691086099"/>
    <n v="1142.575402540363"/>
    <n v="1155.300048828125"/>
    <n v="10984054"/>
    <n v="-2.2000000000000002"/>
    <n v="13.02"/>
    <x v="9"/>
    <s v="Q2-2026"/>
  </r>
  <r>
    <d v="2026-06-09T00:00:00"/>
    <x v="3"/>
    <s v="HDFCBANK.NS"/>
    <n v="727.41893067554713"/>
    <n v="731.84571427687524"/>
    <n v="720.38523938104322"/>
    <n v="726.3367919921875"/>
    <n v="38539563"/>
    <n v="-0.97"/>
    <n v="5.51"/>
    <x v="9"/>
    <s v="Q2-2026"/>
  </r>
  <r>
    <d v="2026-06-09T00:00:00"/>
    <x v="4"/>
    <s v="ICICIBANK.NS"/>
    <n v="1244.508143286612"/>
    <n v="1269.200002371342"/>
    <n v="1242.2273229706291"/>
    <n v="1264.340942382812"/>
    <n v="22368579"/>
    <n v="-0.18"/>
    <n v="4.8600000000000003"/>
    <x v="9"/>
    <s v="Q2-2026"/>
  </r>
  <r>
    <d v="2026-06-09T00:00:00"/>
    <x v="5"/>
    <s v="WIPRO.NS"/>
    <n v="181.89265376604419"/>
    <n v="182.26836772005939"/>
    <n v="178.56071186803621"/>
    <n v="179.6186218261719"/>
    <n v="28381665"/>
    <n v="-1.83"/>
    <n v="2.65"/>
    <x v="9"/>
    <s v="Q2-2026"/>
  </r>
  <r>
    <d v="2026-06-09T00:00:00"/>
    <x v="6"/>
    <s v="HCLTECH.NS"/>
    <n v="1146.990042097251"/>
    <n v="1147.2870586092949"/>
    <n v="1124.915480080708"/>
    <n v="1134.715454101562"/>
    <n v="2225582"/>
    <n v="-1.92"/>
    <n v="12.57"/>
    <x v="9"/>
    <s v="Q2-2026"/>
  </r>
  <r>
    <d v="2026-06-09T00:00:00"/>
    <x v="7"/>
    <s v="BAJFINANCE.NS"/>
    <n v="880.58685868871794"/>
    <n v="883.32005717787592"/>
    <n v="866.77175842407257"/>
    <n v="881.48138427734375"/>
    <n v="9183355"/>
    <n v="-1.57"/>
    <n v="1.84"/>
    <x v="9"/>
    <s v="Q2-2026"/>
  </r>
  <r>
    <d v="2026-06-09T00:00:00"/>
    <x v="8"/>
    <s v="MARUTI.NS"/>
    <n v="12948.95259399414"/>
    <n v="13026.17702264553"/>
    <n v="12723.219648705461"/>
    <n v="12989.544921875"/>
    <n v="428323"/>
    <n v="-1.74"/>
    <n v="36.630000000000003"/>
    <x v="9"/>
    <s v="Q2-2026"/>
  </r>
  <r>
    <d v="2026-06-09T00:00:00"/>
    <x v="9"/>
    <s v="TMPV.NS"/>
    <n v="390.70895528000642"/>
    <n v="392.19661466510632"/>
    <n v="383.61775466449069"/>
    <n v="384.60952758789063"/>
    <n v="8550946"/>
    <n v="-1.81"/>
    <n v="7.59"/>
    <x v="9"/>
    <s v="Q2-2026"/>
  </r>
  <r>
    <d v="2026-06-09T00:00:00"/>
    <x v="10"/>
    <s v="SUNPHARMA.NS"/>
    <n v="1783.0269411279451"/>
    <n v="1791.903701065522"/>
    <n v="1761.483427423542"/>
    <n v="1774.349731445312"/>
    <n v="3756570"/>
    <n v="-1.21"/>
    <n v="17.55"/>
    <x v="9"/>
    <s v="Q2-2026"/>
  </r>
  <r>
    <d v="2026-06-09T00:00:00"/>
    <x v="11"/>
    <s v="ASIANPAINT.NS"/>
    <n v="2643.266894135656"/>
    <n v="2695.612788529204"/>
    <n v="2638.607369132209"/>
    <n v="2684.806640625"/>
    <n v="1416560"/>
    <n v="-0.18"/>
    <n v="10.81"/>
    <x v="9"/>
    <s v="Q2-2026"/>
  </r>
  <r>
    <d v="2026-06-09T00:00:00"/>
    <x v="12"/>
    <s v="HINDUNILVR.NS"/>
    <n v="2098.35651535226"/>
    <n v="2117.0663546833762"/>
    <n v="2088.8533235633449"/>
    <n v="2111.32470703125"/>
    <n v="1460636"/>
    <n v="-0.45"/>
    <n v="5.74"/>
    <x v="9"/>
    <s v="Q2-2026"/>
  </r>
  <r>
    <d v="2026-06-09T00:00:00"/>
    <x v="13"/>
    <s v="LT.NS"/>
    <n v="3924.89990234375"/>
    <n v="3924.89990234375"/>
    <n v="3885"/>
    <n v="3900.60009765625"/>
    <n v="1506501"/>
    <n v="-1.02"/>
    <n v="24.3"/>
    <x v="9"/>
    <s v="Q2-2026"/>
  </r>
  <r>
    <d v="2026-06-09T00:00:00"/>
    <x v="14"/>
    <s v="AXISBANK.NS"/>
    <n v="1274.9167682500081"/>
    <n v="1297.399428910508"/>
    <n v="1270.520134658929"/>
    <n v="1291.404052734375"/>
    <n v="7533504"/>
    <n v="-0.34"/>
    <n v="6"/>
    <x v="9"/>
    <s v="Q2-2026"/>
  </r>
  <r>
    <d v="2026-06-10T00:00:00"/>
    <x v="0"/>
    <s v="RELIANCE.NS"/>
    <n v="1275"/>
    <n v="1300.5"/>
    <n v="1254.400024414062"/>
    <n v="1258.800048828125"/>
    <n v="21012796"/>
    <n v="-1.62"/>
    <n v="41.7"/>
    <x v="9"/>
    <s v="Q2-2026"/>
  </r>
  <r>
    <d v="2026-06-10T00:00:00"/>
    <x v="1"/>
    <s v="TCS.NS"/>
    <n v="2139.5688646764361"/>
    <n v="2168.9079991883032"/>
    <n v="2133.104309614499"/>
    <n v="2142.154541015625"/>
    <n v="2848650"/>
    <n v="-0.3"/>
    <n v="26.75"/>
    <x v="9"/>
    <s v="Q2-2026"/>
  </r>
  <r>
    <d v="2026-06-10T00:00:00"/>
    <x v="2"/>
    <s v="INFY.NS"/>
    <n v="1160.099975585938"/>
    <n v="1171.400024414062"/>
    <n v="1143.300048828125"/>
    <n v="1145.300048828125"/>
    <n v="8887626"/>
    <n v="-1.45"/>
    <n v="26.1"/>
    <x v="9"/>
    <s v="Q2-2026"/>
  </r>
  <r>
    <d v="2026-06-10T00:00:00"/>
    <x v="3"/>
    <s v="HDFCBANK.NS"/>
    <n v="724.51690817308042"/>
    <n v="743.65046242721075"/>
    <n v="724.41855922207401"/>
    <n v="734.698486328125"/>
    <n v="44458159"/>
    <n v="-0.01"/>
    <n v="8.9499999999999993"/>
    <x v="9"/>
    <s v="Q2-2026"/>
  </r>
  <r>
    <d v="2026-06-10T00:00:00"/>
    <x v="4"/>
    <s v="ICICIBANK.NS"/>
    <n v="1260.6719575059051"/>
    <n v="1295.081816460548"/>
    <n v="1260.6719575059051"/>
    <n v="1282.488037109375"/>
    <n v="25951584"/>
    <n v="0"/>
    <n v="12.59"/>
    <x v="9"/>
    <s v="Q2-2026"/>
  </r>
  <r>
    <d v="2026-06-10T00:00:00"/>
    <x v="5"/>
    <s v="WIPRO.NS"/>
    <n v="180.0437640784416"/>
    <n v="180.23160595838979"/>
    <n v="176.48440862617511"/>
    <n v="176.9095458984375"/>
    <n v="16935979"/>
    <n v="-1.98"/>
    <n v="3.32"/>
    <x v="9"/>
    <s v="Q2-2026"/>
  </r>
  <r>
    <d v="2026-06-10T00:00:00"/>
    <x v="6"/>
    <s v="HCLTECH.NS"/>
    <n v="1129.271085559265"/>
    <n v="1140.3578496517689"/>
    <n v="1118.5801823841141"/>
    <n v="1120.658935546875"/>
    <n v="1600595"/>
    <n v="-0.95"/>
    <n v="19.7"/>
    <x v="9"/>
    <s v="Q2-2026"/>
  </r>
  <r>
    <d v="2026-06-10T00:00:00"/>
    <x v="7"/>
    <s v="BAJFINANCE.NS"/>
    <n v="884.66176733272346"/>
    <n v="889.23369929388684"/>
    <n v="874.7228639331322"/>
    <n v="878.69842529296875"/>
    <n v="6939714"/>
    <n v="-1.1200000000000001"/>
    <n v="10.54"/>
    <x v="9"/>
    <s v="Q2-2026"/>
  </r>
  <r>
    <d v="2026-06-10T00:00:00"/>
    <x v="8"/>
    <s v="MARUTI.NS"/>
    <n v="12987.56525182509"/>
    <n v="13073.700194416089"/>
    <n v="12920.241388650509"/>
    <n v="12943.0126953125"/>
    <n v="203885"/>
    <n v="-0.52"/>
    <n v="130.69"/>
    <x v="9"/>
    <s v="Q2-2026"/>
  </r>
  <r>
    <d v="2026-06-10T00:00:00"/>
    <x v="9"/>
    <s v="TMPV.NS"/>
    <n v="384.80791996032241"/>
    <n v="385.6013262453892"/>
    <n v="376.87373604361471"/>
    <n v="377.86550903320313"/>
    <n v="7251442"/>
    <n v="-2.06"/>
    <n v="7.74"/>
    <x v="9"/>
    <s v="Q2-2026"/>
  </r>
  <r>
    <d v="2026-06-10T00:00:00"/>
    <x v="10"/>
    <s v="SUNPHARMA.NS"/>
    <n v="1774.948194891695"/>
    <n v="1792.9011438388491"/>
    <n v="1766.3706991894121"/>
    <n v="1781.73046875"/>
    <n v="1882009"/>
    <n v="-0.48"/>
    <n v="11.17"/>
    <x v="9"/>
    <s v="Q2-2026"/>
  </r>
  <r>
    <d v="2026-06-10T00:00:00"/>
    <x v="11"/>
    <s v="ASIANPAINT.NS"/>
    <n v="2687.7809874156342"/>
    <n v="2720.3979063128031"/>
    <n v="2676.776365541024"/>
    <n v="2691.74658203125"/>
    <n v="1395772"/>
    <n v="-0.41"/>
    <n v="28.65"/>
    <x v="9"/>
    <s v="Q2-2026"/>
  </r>
  <r>
    <d v="2026-06-10T00:00:00"/>
    <x v="12"/>
    <s v="HINDUNILVR.NS"/>
    <n v="2113.403324412981"/>
    <n v="2182.698485533414"/>
    <n v="2112.0175178635091"/>
    <n v="2147.655029296875"/>
    <n v="2325534"/>
    <n v="-7.0000000000000007E-2"/>
    <n v="35.04"/>
    <x v="9"/>
    <s v="Q2-2026"/>
  </r>
  <r>
    <d v="2026-06-10T00:00:00"/>
    <x v="13"/>
    <s v="LT.NS"/>
    <n v="3904"/>
    <n v="3962.800048828125"/>
    <n v="3900"/>
    <n v="3917.5"/>
    <n v="2033070"/>
    <n v="-0.1"/>
    <n v="45.3"/>
    <x v="9"/>
    <s v="Q2-2026"/>
  </r>
  <r>
    <d v="2026-06-10T00:00:00"/>
    <x v="14"/>
    <s v="AXISBANK.NS"/>
    <n v="1282.510948810889"/>
    <n v="1325.477813476934"/>
    <n v="1282.510948810889"/>
    <n v="1313.487060546875"/>
    <n v="12262606"/>
    <n v="0"/>
    <n v="11.99"/>
    <x v="9"/>
    <s v="Q2-2026"/>
  </r>
  <r>
    <d v="2026-06-11T00:00:00"/>
    <x v="0"/>
    <s v="RELIANCE.NS"/>
    <n v="1258"/>
    <n v="1276"/>
    <n v="1253.199951171875"/>
    <n v="1263"/>
    <n v="13117486"/>
    <n v="-0.38"/>
    <n v="13"/>
    <x v="9"/>
    <s v="Q2-2026"/>
  </r>
  <r>
    <d v="2026-06-11T00:00:00"/>
    <x v="1"/>
    <s v="TCS.NS"/>
    <n v="2115.4013888441141"/>
    <n v="2142.8509821277362"/>
    <n v="2098.4940904847581"/>
    <n v="2123.95458984375"/>
    <n v="3079815"/>
    <n v="-0.8"/>
    <n v="18.899999999999999"/>
    <x v="9"/>
    <s v="Q2-2026"/>
  </r>
  <r>
    <d v="2026-06-11T00:00:00"/>
    <x v="2"/>
    <s v="INFY.NS"/>
    <n v="1129.699951171875"/>
    <n v="1133.699951171875"/>
    <n v="1109"/>
    <n v="1114.599975585938"/>
    <n v="9372176"/>
    <n v="-1.83"/>
    <n v="19.100000000000001"/>
    <x v="9"/>
    <s v="Q2-2026"/>
  </r>
  <r>
    <d v="2026-06-11T00:00:00"/>
    <x v="3"/>
    <s v="HDFCBANK.NS"/>
    <n v="730.9111639255492"/>
    <n v="743.69964997000704"/>
    <n v="728.0583237911012"/>
    <n v="732.485107421875"/>
    <n v="32632007"/>
    <n v="-0.39"/>
    <n v="11.21"/>
    <x v="9"/>
    <s v="Q2-2026"/>
  </r>
  <r>
    <d v="2026-06-11T00:00:00"/>
    <x v="4"/>
    <s v="ICICIBANK.NS"/>
    <n v="1275.744848438168"/>
    <n v="1321.8561080202701"/>
    <n v="1275.744848438168"/>
    <n v="1305.989868164062"/>
    <n v="35919374"/>
    <n v="0"/>
    <n v="15.87"/>
    <x v="9"/>
    <s v="Q2-2026"/>
  </r>
  <r>
    <d v="2026-06-11T00:00:00"/>
    <x v="5"/>
    <s v="WIPRO.NS"/>
    <n v="174.97169498760971"/>
    <n v="176.18780187459919"/>
    <n v="173.84456821970701"/>
    <n v="175.36717224121091"/>
    <n v="14468882"/>
    <n v="-0.64"/>
    <n v="0.82"/>
    <x v="9"/>
    <s v="Q2-2026"/>
  </r>
  <r>
    <d v="2026-06-11T00:00:00"/>
    <x v="6"/>
    <s v="HCLTECH.NS"/>
    <n v="1101.6530107998519"/>
    <n v="1102.741869987085"/>
    <n v="1078.489467999038"/>
    <n v="1098.980224609375"/>
    <n v="3435236"/>
    <n v="-2.1"/>
    <n v="3.76"/>
    <x v="9"/>
    <s v="Q2-2026"/>
  </r>
  <r>
    <d v="2026-06-11T00:00:00"/>
    <x v="7"/>
    <s v="BAJFINANCE.NS"/>
    <n v="874.62347677652758"/>
    <n v="881.53102659488331"/>
    <n v="863.19373815956169"/>
    <n v="865.231201171875"/>
    <n v="5191085"/>
    <n v="-1.31"/>
    <n v="16.3"/>
    <x v="9"/>
    <s v="Q2-2026"/>
  </r>
  <r>
    <d v="2026-06-11T00:00:00"/>
    <x v="8"/>
    <s v="MARUTI.NS"/>
    <n v="12940.042082104619"/>
    <n v="13085.580428399129"/>
    <n v="12839.056290798209"/>
    <n v="12967.763671875"/>
    <n v="308710"/>
    <n v="-0.78"/>
    <n v="117.82"/>
    <x v="9"/>
    <s v="Q2-2026"/>
  </r>
  <r>
    <d v="2026-06-11T00:00:00"/>
    <x v="9"/>
    <s v="TMPV.NS"/>
    <n v="371.91484450851232"/>
    <n v="375.28686637875472"/>
    <n v="369.28665232728702"/>
    <n v="372.80743408203119"/>
    <n v="6508792"/>
    <n v="-0.71"/>
    <n v="2.48"/>
    <x v="9"/>
    <s v="Q2-2026"/>
  </r>
  <r>
    <d v="2026-06-11T00:00:00"/>
    <x v="10"/>
    <s v="SUNPHARMA.NS"/>
    <n v="1775.347176496314"/>
    <n v="1800.281827851599"/>
    <n v="1774.050525925348"/>
    <n v="1789.510009765625"/>
    <n v="1858093"/>
    <n v="-7.0000000000000007E-2"/>
    <n v="10.77"/>
    <x v="9"/>
    <s v="Q2-2026"/>
  </r>
  <r>
    <d v="2026-06-11T00:00:00"/>
    <x v="11"/>
    <s v="ASIANPAINT.NS"/>
    <n v="2670.728590329697"/>
    <n v="2683.418540811208"/>
    <n v="2648.025659217818"/>
    <n v="2667.75439453125"/>
    <n v="771558"/>
    <n v="-0.85"/>
    <n v="15.66"/>
    <x v="9"/>
    <s v="Q2-2026"/>
  </r>
  <r>
    <d v="2026-06-11T00:00:00"/>
    <x v="12"/>
    <s v="HINDUNILVR.NS"/>
    <n v="2142.210429407045"/>
    <n v="2143.200360289396"/>
    <n v="2113.799461420047"/>
    <n v="2118.254150390625"/>
    <n v="1178896"/>
    <n v="-1.33"/>
    <n v="24.95"/>
    <x v="9"/>
    <s v="Q2-2026"/>
  </r>
  <r>
    <d v="2026-06-11T00:00:00"/>
    <x v="13"/>
    <s v="LT.NS"/>
    <n v="3900"/>
    <n v="3909.800048828125"/>
    <n v="3854.39990234375"/>
    <n v="3862"/>
    <n v="2224659"/>
    <n v="-1.17"/>
    <n v="47.8"/>
    <x v="9"/>
    <s v="Q2-2026"/>
  </r>
  <r>
    <d v="2026-06-11T00:00:00"/>
    <x v="14"/>
    <s v="AXISBANK.NS"/>
    <n v="1307.7914623726331"/>
    <n v="1338.467755572487"/>
    <n v="1306.2926183014431"/>
    <n v="1316.284912109375"/>
    <n v="8196686"/>
    <n v="-0.11"/>
    <n v="22.18"/>
    <x v="9"/>
    <s v="Q2-2026"/>
  </r>
  <r>
    <d v="2026-06-12T00:00:00"/>
    <x v="0"/>
    <s v="RELIANCE.NS"/>
    <n v="1277"/>
    <n v="1297"/>
    <n v="1262.5"/>
    <n v="1293"/>
    <n v="11988785"/>
    <n v="-1.1399999999999999"/>
    <n v="4"/>
    <x v="9"/>
    <s v="Q2-2026"/>
  </r>
  <r>
    <d v="2026-06-12T00:00:00"/>
    <x v="1"/>
    <s v="TCS.NS"/>
    <n v="2138.2760309559571"/>
    <n v="2156.1778767965188"/>
    <n v="2126.3414670622501"/>
    <n v="2149.61376953125"/>
    <n v="2124656"/>
    <n v="-0.56000000000000005"/>
    <n v="6.56"/>
    <x v="9"/>
    <s v="Q2-2026"/>
  </r>
  <r>
    <d v="2026-06-12T00:00:00"/>
    <x v="2"/>
    <s v="INFY.NS"/>
    <n v="1120"/>
    <n v="1123.300048828125"/>
    <n v="1111.5"/>
    <n v="1116.400024414062"/>
    <n v="8075333"/>
    <n v="-0.76"/>
    <n v="6.9"/>
    <x v="9"/>
    <s v="Q2-2026"/>
  </r>
  <r>
    <d v="2026-06-12T00:00:00"/>
    <x v="3"/>
    <s v="HDFCBANK.NS"/>
    <n v="742.42075722913523"/>
    <n v="761.84941725048031"/>
    <n v="740.84675380974625"/>
    <n v="759.8819580078125"/>
    <n v="36088159"/>
    <n v="-0.21"/>
    <n v="1.97"/>
    <x v="9"/>
    <s v="Q2-2026"/>
  </r>
  <r>
    <d v="2026-06-12T00:00:00"/>
    <x v="4"/>
    <s v="ICICIBANK.NS"/>
    <n v="1318.8811821081781"/>
    <n v="1333.0616823357291"/>
    <n v="1307.67560184027"/>
    <n v="1329.590942382812"/>
    <n v="18339846"/>
    <n v="-0.85"/>
    <n v="3.47"/>
    <x v="9"/>
    <s v="Q2-2026"/>
  </r>
  <r>
    <d v="2026-06-12T00:00:00"/>
    <x v="5"/>
    <s v="WIPRO.NS"/>
    <n v="176.63271533495109"/>
    <n v="178.4123931267533"/>
    <n v="175.56492374635971"/>
    <n v="178.10589599609381"/>
    <n v="13850153"/>
    <n v="-0.6"/>
    <n v="0.31"/>
    <x v="9"/>
    <s v="Q2-2026"/>
  </r>
  <r>
    <d v="2026-06-12T00:00:00"/>
    <x v="6"/>
    <s v="HCLTECH.NS"/>
    <n v="1108.6811510385819"/>
    <n v="1111.1558857507221"/>
    <n v="1089.3782202838929"/>
    <n v="1098.38623046875"/>
    <n v="2203987"/>
    <n v="-1.74"/>
    <n v="12.77"/>
    <x v="9"/>
    <s v="Q2-2026"/>
  </r>
  <r>
    <d v="2026-06-12T00:00:00"/>
    <x v="7"/>
    <s v="BAJFINANCE.NS"/>
    <n v="875.81620571738529"/>
    <n v="915.37303029020052"/>
    <n v="875.71678028308497"/>
    <n v="912.68951416015625"/>
    <n v="11729668"/>
    <n v="-0.01"/>
    <n v="2.68"/>
    <x v="9"/>
    <s v="Q2-2026"/>
  </r>
  <r>
    <d v="2026-06-12T00:00:00"/>
    <x v="8"/>
    <s v="MARUTI.NS"/>
    <n v="13100.431993958549"/>
    <n v="13284.58256461123"/>
    <n v="12999.44619714902"/>
    <n v="13233.099609375"/>
    <n v="559038"/>
    <n v="-0.77"/>
    <n v="51.48"/>
    <x v="9"/>
    <s v="Q2-2026"/>
  </r>
  <r>
    <d v="2026-06-12T00:00:00"/>
    <x v="9"/>
    <s v="TMPV.NS"/>
    <n v="377.12165679931638"/>
    <n v="389.71718512249112"/>
    <n v="375.88194063626798"/>
    <n v="386.79144287109381"/>
    <n v="7787586"/>
    <n v="-0.33"/>
    <n v="2.93"/>
    <x v="9"/>
    <s v="Q2-2026"/>
  </r>
  <r>
    <d v="2026-06-12T00:00:00"/>
    <x v="10"/>
    <s v="SUNPHARMA.NS"/>
    <n v="1802.2766099040041"/>
    <n v="1809.7570053518621"/>
    <n v="1787.8145120381439"/>
    <n v="1802.974731445312"/>
    <n v="1243362"/>
    <n v="-0.8"/>
    <n v="6.78"/>
    <x v="9"/>
    <s v="Q2-2026"/>
  </r>
  <r>
    <d v="2026-06-12T00:00:00"/>
    <x v="11"/>
    <s v="ASIANPAINT.NS"/>
    <n v="2702.2552523867371"/>
    <n v="2729.3204839447808"/>
    <n v="2686.09540598067"/>
    <n v="2723.7685546875"/>
    <n v="1078025"/>
    <n v="-0.6"/>
    <n v="5.55"/>
    <x v="9"/>
    <s v="Q2-2026"/>
  </r>
  <r>
    <d v="2026-06-12T00:00:00"/>
    <x v="12"/>
    <s v="HINDUNILVR.NS"/>
    <n v="2129.539277901612"/>
    <n v="2157.4552806063821"/>
    <n v="2123.4017547325602"/>
    <n v="2146.962158203125"/>
    <n v="1156153"/>
    <n v="-0.28999999999999998"/>
    <n v="10.49"/>
    <x v="9"/>
    <s v="Q2-2026"/>
  </r>
  <r>
    <d v="2026-06-12T00:00:00"/>
    <x v="13"/>
    <s v="LT.NS"/>
    <n v="3930"/>
    <n v="4059.800048828125"/>
    <n v="3921"/>
    <n v="4049.300048828125"/>
    <n v="3065790"/>
    <n v="-0.23"/>
    <n v="10.5"/>
    <x v="9"/>
    <s v="Q2-2026"/>
  </r>
  <r>
    <d v="2026-06-12T00:00:00"/>
    <x v="14"/>
    <s v="AXISBANK.NS"/>
    <n v="1330.9735596234659"/>
    <n v="1357.4531387000591"/>
    <n v="1317.4839627353899"/>
    <n v="1355.2548828125"/>
    <n v="8535670"/>
    <n v="-1.01"/>
    <n v="2.2000000000000002"/>
    <x v="9"/>
    <s v="Q2-2026"/>
  </r>
  <r>
    <d v="2026-06-15T00:00:00"/>
    <x v="0"/>
    <s v="RELIANCE.NS"/>
    <n v="1315.300048828125"/>
    <n v="1325"/>
    <n v="1303.300048828125"/>
    <n v="1307"/>
    <n v="18633321"/>
    <n v="-0.91"/>
    <n v="18"/>
    <x v="9"/>
    <s v="Q2-2026"/>
  </r>
  <r>
    <d v="2026-06-15T00:00:00"/>
    <x v="1"/>
    <s v="TCS.NS"/>
    <n v="2180.0468569322388"/>
    <n v="2180.0468569322388"/>
    <n v="2147.5252210863978"/>
    <n v="2150.21044921875"/>
    <n v="3337083"/>
    <n v="-1.49"/>
    <n v="29.84"/>
    <x v="9"/>
    <s v="Q2-2026"/>
  </r>
  <r>
    <d v="2026-06-15T00:00:00"/>
    <x v="2"/>
    <s v="INFY.NS"/>
    <n v="1130"/>
    <n v="1151"/>
    <n v="1123"/>
    <n v="1134.900024414062"/>
    <n v="7856192"/>
    <n v="-0.62"/>
    <n v="16.100000000000001"/>
    <x v="9"/>
    <s v="Q2-2026"/>
  </r>
  <r>
    <d v="2026-06-15T00:00:00"/>
    <x v="3"/>
    <s v="HDFCBANK.NS"/>
    <n v="777.14641340026958"/>
    <n v="780.58946713052387"/>
    <n v="762.98068260752905"/>
    <n v="764.70220947265625"/>
    <n v="39990334"/>
    <n v="-1.82"/>
    <n v="15.89"/>
    <x v="9"/>
    <s v="Q2-2026"/>
  </r>
  <r>
    <d v="2026-06-15T00:00:00"/>
    <x v="4"/>
    <s v="ICICIBANK.NS"/>
    <n v="1343.2755003149459"/>
    <n v="1351.307759988531"/>
    <n v="1314.2205213660741"/>
    <n v="1316.501220703125"/>
    <n v="16172921"/>
    <n v="-2.16"/>
    <n v="34.81"/>
    <x v="9"/>
    <s v="Q2-2026"/>
  </r>
  <r>
    <d v="2026-06-15T00:00:00"/>
    <x v="5"/>
    <s v="WIPRO.NS"/>
    <n v="180.9335963395059"/>
    <n v="180.9335963395059"/>
    <n v="178.8671998709215"/>
    <n v="179.33189392089841"/>
    <n v="13870660"/>
    <n v="-1.1399999999999999"/>
    <n v="1.6"/>
    <x v="9"/>
    <s v="Q2-2026"/>
  </r>
  <r>
    <d v="2026-06-15T00:00:00"/>
    <x v="6"/>
    <s v="HCLTECH.NS"/>
    <n v="1112.145787260235"/>
    <n v="1116.6003097726259"/>
    <n v="1101.75190139799"/>
    <n v="1107.98828125"/>
    <n v="2361006"/>
    <n v="-0.93"/>
    <n v="8.61"/>
    <x v="9"/>
    <s v="Q2-2026"/>
  </r>
  <r>
    <d v="2026-06-15T00:00:00"/>
    <x v="7"/>
    <s v="BAJFINANCE.NS"/>
    <n v="936.24469171286626"/>
    <n v="953.14082733825762"/>
    <n v="933.26302072015005"/>
    <n v="936.5428466796875"/>
    <n v="11989428"/>
    <n v="-0.32"/>
    <n v="16.600000000000001"/>
    <x v="9"/>
    <s v="Q2-2026"/>
  </r>
  <r>
    <d v="2026-06-15T00:00:00"/>
    <x v="8"/>
    <s v="MARUTI.NS"/>
    <n v="13415.26988636364"/>
    <n v="13822.18323863636"/>
    <n v="13385.56818181818"/>
    <n v="13667.734375"/>
    <n v="613280"/>
    <n v="-0.22"/>
    <n v="154.44999999999999"/>
    <x v="9"/>
    <s v="Q2-2026"/>
  </r>
  <r>
    <d v="2026-06-15T00:00:00"/>
    <x v="9"/>
    <s v="TMPV.NS"/>
    <n v="394.92400342710852"/>
    <n v="404.44499959731911"/>
    <n v="391.99826109851728"/>
    <n v="393.1387939453125"/>
    <n v="11097635"/>
    <n v="-0.74"/>
    <n v="11.31"/>
    <x v="9"/>
    <s v="Q2-2026"/>
  </r>
  <r>
    <d v="2026-06-15T00:00:00"/>
    <x v="10"/>
    <s v="SUNPHARMA.NS"/>
    <n v="1813.247807195416"/>
    <n v="1813.247807195416"/>
    <n v="1793.10065803818"/>
    <n v="1801.279174804688"/>
    <n v="2188933"/>
    <n v="-1.1100000000000001"/>
    <n v="11.97"/>
    <x v="9"/>
    <s v="Q2-2026"/>
  </r>
  <r>
    <d v="2026-06-15T00:00:00"/>
    <x v="11"/>
    <s v="ASIANPAINT.NS"/>
    <n v="2796.0415692652559"/>
    <n v="2808.3348153056409"/>
    <n v="2706.5182256993721"/>
    <n v="2715.73828125"/>
    <n v="2752021"/>
    <n v="-3.2"/>
    <n v="92.6"/>
    <x v="9"/>
    <s v="Q2-2026"/>
  </r>
  <r>
    <d v="2026-06-15T00:00:00"/>
    <x v="12"/>
    <s v="HINDUNILVR.NS"/>
    <n v="2177.8480070965079"/>
    <n v="2188.73724713199"/>
    <n v="2128.3514614806782"/>
    <n v="2134.39013671875"/>
    <n v="1439449"/>
    <n v="-2.27"/>
    <n v="54.35"/>
    <x v="9"/>
    <s v="Q2-2026"/>
  </r>
  <r>
    <d v="2026-06-15T00:00:00"/>
    <x v="13"/>
    <s v="LT.NS"/>
    <n v="4130"/>
    <n v="4214.89990234375"/>
    <n v="4130"/>
    <n v="4169.7998046875"/>
    <n v="3978153"/>
    <n v="0"/>
    <n v="45.1"/>
    <x v="9"/>
    <s v="Q2-2026"/>
  </r>
  <r>
    <d v="2026-06-15T00:00:00"/>
    <x v="14"/>
    <s v="AXISBANK.NS"/>
    <n v="1370.9427053735019"/>
    <n v="1376.938081636069"/>
    <n v="1359.5514660793781"/>
    <n v="1367.24560546875"/>
    <n v="7522828"/>
    <n v="-0.83"/>
    <n v="9.69"/>
    <x v="9"/>
    <s v="Q2-2026"/>
  </r>
  <r>
    <d v="2026-06-16T00:00:00"/>
    <x v="0"/>
    <s v="RELIANCE.NS"/>
    <n v="1313.400024414062"/>
    <n v="1333.400024414062"/>
    <n v="1306.400024414062"/>
    <n v="1328.800048828125"/>
    <n v="18513223"/>
    <n v="-0.53"/>
    <n v="4.5999999999999996"/>
    <x v="9"/>
    <s v="Q2-2026"/>
  </r>
  <r>
    <d v="2026-06-16T00:00:00"/>
    <x v="1"/>
    <s v="TCS.NS"/>
    <n v="2155.1832859929232"/>
    <n v="2196.9542587717428"/>
    <n v="2148.8182825027352"/>
    <n v="2187.0087890625"/>
    <n v="3079898"/>
    <n v="-0.3"/>
    <n v="9.9499999999999993"/>
    <x v="9"/>
    <s v="Q2-2026"/>
  </r>
  <r>
    <d v="2026-06-16T00:00:00"/>
    <x v="2"/>
    <s v="INFY.NS"/>
    <n v="1136.900024414062"/>
    <n v="1153.800048828125"/>
    <n v="1123.199951171875"/>
    <n v="1143.599975585938"/>
    <n v="10456090"/>
    <n v="-1.21"/>
    <n v="10.199999999999999"/>
    <x v="9"/>
    <s v="Q2-2026"/>
  </r>
  <r>
    <d v="2026-06-16T00:00:00"/>
    <x v="3"/>
    <s v="HDFCBANK.NS"/>
    <n v="767.80102092551658"/>
    <n v="774.88388668238372"/>
    <n v="766.76811676228692"/>
    <n v="772.12945556640625"/>
    <n v="27820970"/>
    <n v="-0.13"/>
    <n v="2.75"/>
    <x v="9"/>
    <s v="Q2-2026"/>
  </r>
  <r>
    <d v="2026-06-16T00:00:00"/>
    <x v="4"/>
    <s v="ICICIBANK.NS"/>
    <n v="1320.765303528013"/>
    <n v="1326.1201835892521"/>
    <n v="1315.212143892204"/>
    <n v="1323.145263671875"/>
    <n v="13069159"/>
    <n v="-0.42"/>
    <n v="2.97"/>
    <x v="9"/>
    <s v="Q2-2026"/>
  </r>
  <r>
    <d v="2026-06-16T00:00:00"/>
    <x v="5"/>
    <s v="WIPRO.NS"/>
    <n v="180.33049322515501"/>
    <n v="181.30931980268289"/>
    <n v="179.579080402496"/>
    <n v="180.6073303222656"/>
    <n v="11706020"/>
    <n v="-0.42"/>
    <n v="0.7"/>
    <x v="9"/>
    <s v="Q2-2026"/>
  </r>
  <r>
    <d v="2026-06-16T00:00:00"/>
    <x v="6"/>
    <s v="HCLTECH.NS"/>
    <n v="1129.4688977693261"/>
    <n v="1150.157703674937"/>
    <n v="1126.0042692485611"/>
    <n v="1147.286987304688"/>
    <n v="8343470"/>
    <n v="-0.31"/>
    <n v="2.87"/>
    <x v="9"/>
    <s v="Q2-2026"/>
  </r>
  <r>
    <d v="2026-06-16T00:00:00"/>
    <x v="7"/>
    <s v="BAJFINANCE.NS"/>
    <n v="940.2202381671683"/>
    <n v="958.010899073921"/>
    <n v="940.2202381671683"/>
    <n v="953.786865234375"/>
    <n v="9335988"/>
    <n v="0"/>
    <n v="4.22"/>
    <x v="9"/>
    <s v="Q2-2026"/>
  </r>
  <r>
    <d v="2026-06-16T00:00:00"/>
    <x v="8"/>
    <s v="MARUTI.NS"/>
    <n v="13723.177826460471"/>
    <n v="13736.048565349731"/>
    <n v="13525.16645893345"/>
    <n v="13554.8681640625"/>
    <n v="280511"/>
    <n v="-1.44"/>
    <n v="181.18"/>
    <x v="9"/>
    <s v="Q2-2026"/>
  </r>
  <r>
    <d v="2026-06-16T00:00:00"/>
    <x v="9"/>
    <s v="TMPV.NS"/>
    <n v="395.02316172147209"/>
    <n v="395.37028831416598"/>
    <n v="384.36160229728978"/>
    <n v="390.36184692382813"/>
    <n v="6432360"/>
    <n v="-2.7"/>
    <n v="5.01"/>
    <x v="9"/>
    <s v="Q2-2026"/>
  </r>
  <r>
    <d v="2026-06-16T00:00:00"/>
    <x v="10"/>
    <s v="SUNPHARMA.NS"/>
    <n v="1803.2740089811541"/>
    <n v="1805.169066858537"/>
    <n v="1787.9142392004269"/>
    <n v="1795.993041992188"/>
    <n v="1373638"/>
    <n v="-0.85"/>
    <n v="9.18"/>
    <x v="9"/>
    <s v="Q2-2026"/>
  </r>
  <r>
    <d v="2026-06-16T00:00:00"/>
    <x v="11"/>
    <s v="ASIANPAINT.NS"/>
    <n v="2717.423619460817"/>
    <n v="2747.1655780831529"/>
    <n v="2711.47522773635"/>
    <n v="2724.462646484375"/>
    <n v="962931"/>
    <n v="-0.22"/>
    <n v="22.7"/>
    <x v="9"/>
    <s v="Q2-2026"/>
  </r>
  <r>
    <d v="2026-06-16T00:00:00"/>
    <x v="12"/>
    <s v="HINDUNILVR.NS"/>
    <n v="2139.2405659215228"/>
    <n v="2186.7572467008999"/>
    <n v="2138.349724829844"/>
    <n v="2177.748779296875"/>
    <n v="1337309"/>
    <n v="-0.04"/>
    <n v="9.01"/>
    <x v="9"/>
    <s v="Q2-2026"/>
  </r>
  <r>
    <d v="2026-06-16T00:00:00"/>
    <x v="13"/>
    <s v="LT.NS"/>
    <n v="4205"/>
    <n v="4235.39990234375"/>
    <n v="4177.10009765625"/>
    <n v="4186.39990234375"/>
    <n v="2647549"/>
    <n v="-0.66"/>
    <n v="49"/>
    <x v="9"/>
    <s v="Q2-2026"/>
  </r>
  <r>
    <d v="2026-06-16T00:00:00"/>
    <x v="14"/>
    <s v="AXISBANK.NS"/>
    <n v="1362.44920517985"/>
    <n v="1370.443039900377"/>
    <n v="1348.1601768264129"/>
    <n v="1364.6474609375"/>
    <n v="7709061"/>
    <n v="-1.05"/>
    <n v="5.8"/>
    <x v="9"/>
    <s v="Q2-2026"/>
  </r>
  <r>
    <d v="2026-06-17T00:00:00"/>
    <x v="0"/>
    <s v="RELIANCE.NS"/>
    <n v="1333"/>
    <n v="1334"/>
    <n v="1317"/>
    <n v="1332.699951171875"/>
    <n v="10029170"/>
    <n v="-1.2"/>
    <n v="1.3"/>
    <x v="9"/>
    <s v="Q2-2026"/>
  </r>
  <r>
    <d v="2026-06-17T00:00:00"/>
    <x v="1"/>
    <s v="TCS.NS"/>
    <n v="2196.954272010656"/>
    <n v="2218.834305502839"/>
    <n v="2188.6994835403771"/>
    <n v="2210.8779296875"/>
    <n v="2865010"/>
    <n v="-0.38"/>
    <n v="7.96"/>
    <x v="9"/>
    <s v="Q2-2026"/>
  </r>
  <r>
    <d v="2026-06-17T00:00:00"/>
    <x v="2"/>
    <s v="INFY.NS"/>
    <n v="1149"/>
    <n v="1162.5"/>
    <n v="1148"/>
    <n v="1157.699951171875"/>
    <n v="5995119"/>
    <n v="-0.09"/>
    <n v="4.8"/>
    <x v="9"/>
    <s v="Q2-2026"/>
  </r>
  <r>
    <d v="2026-06-17T00:00:00"/>
    <x v="3"/>
    <s v="HDFCBANK.NS"/>
    <n v="774.83467843966434"/>
    <n v="781.37644454976305"/>
    <n v="770.35866052390577"/>
    <n v="774.2935791015625"/>
    <n v="32405604"/>
    <n v="-0.57999999999999996"/>
    <n v="7.08"/>
    <x v="9"/>
    <s v="Q2-2026"/>
  </r>
  <r>
    <d v="2026-06-17T00:00:00"/>
    <x v="4"/>
    <s v="ICICIBANK.NS"/>
    <n v="1330.780869186616"/>
    <n v="1334.7474291543861"/>
    <n v="1322.2527894658731"/>
    <n v="1325.624389648438"/>
    <n v="8026424"/>
    <n v="-0.64"/>
    <n v="9.1199999999999992"/>
    <x v="9"/>
    <s v="Q2-2026"/>
  </r>
  <r>
    <d v="2026-06-17T00:00:00"/>
    <x v="5"/>
    <s v="WIPRO.NS"/>
    <n v="181.92231459128001"/>
    <n v="183.15819988062299"/>
    <n v="181.50705894443959"/>
    <n v="182.38700866699219"/>
    <n v="16131548"/>
    <n v="-0.23"/>
    <n v="0.77"/>
    <x v="9"/>
    <s v="Q2-2026"/>
  </r>
  <r>
    <d v="2026-06-17T00:00:00"/>
    <x v="6"/>
    <s v="HCLTECH.NS"/>
    <n v="1157.1860191207211"/>
    <n v="1161.7395070902201"/>
    <n v="1147.58409621033"/>
    <n v="1155.00830078125"/>
    <n v="2263670"/>
    <n v="-0.83"/>
    <n v="6.73"/>
    <x v="9"/>
    <s v="Q2-2026"/>
  </r>
  <r>
    <d v="2026-06-17T00:00:00"/>
    <x v="7"/>
    <s v="BAJFINANCE.NS"/>
    <n v="949.26466891053508"/>
    <n v="955.92374652751676"/>
    <n v="945.73637022655532"/>
    <n v="952.5445556640625"/>
    <n v="5682977"/>
    <n v="-0.37"/>
    <n v="3.38"/>
    <x v="9"/>
    <s v="Q2-2026"/>
  </r>
  <r>
    <d v="2026-06-17T00:00:00"/>
    <x v="8"/>
    <s v="MARUTI.NS"/>
    <n v="13563.778587559609"/>
    <n v="13603.38086080796"/>
    <n v="13425.170631190391"/>
    <n v="13494.474609375"/>
    <n v="241534"/>
    <n v="-1.02"/>
    <n v="108.91"/>
    <x v="9"/>
    <s v="Q2-2026"/>
  </r>
  <r>
    <d v="2026-06-17T00:00:00"/>
    <x v="9"/>
    <s v="TMPV.NS"/>
    <n v="392.24621305572299"/>
    <n v="392.34539640688979"/>
    <n v="352.07940742043411"/>
    <n v="357.98046875"/>
    <n v="51987488"/>
    <n v="-10.24"/>
    <n v="34.36"/>
    <x v="9"/>
    <s v="Q2-2026"/>
  </r>
  <r>
    <d v="2026-06-17T00:00:00"/>
    <x v="10"/>
    <s v="SUNPHARMA.NS"/>
    <n v="1809.258306450796"/>
    <n v="1818.633759731933"/>
    <n v="1797.888081056703"/>
    <n v="1815.6416015625"/>
    <n v="1771990"/>
    <n v="-0.63"/>
    <n v="2.99"/>
    <x v="9"/>
    <s v="Q2-2026"/>
  </r>
  <r>
    <d v="2026-06-17T00:00:00"/>
    <x v="11"/>
    <s v="ASIANPAINT.NS"/>
    <n v="2740.2258274031001"/>
    <n v="2745.0835838987932"/>
    <n v="2708.9967703976022"/>
    <n v="2714.449462890625"/>
    <n v="557209"/>
    <n v="-1.1399999999999999"/>
    <n v="30.63"/>
    <x v="9"/>
    <s v="Q2-2026"/>
  </r>
  <r>
    <d v="2026-06-17T00:00:00"/>
    <x v="12"/>
    <s v="HINDUNILVR.NS"/>
    <n v="2178.9369260000281"/>
    <n v="2202.2003013528911"/>
    <n v="2161.0190806510559"/>
    <n v="2175.47216796875"/>
    <n v="1511401"/>
    <n v="-0.82"/>
    <n v="26.73"/>
    <x v="9"/>
    <s v="Q2-2026"/>
  </r>
  <r>
    <d v="2026-06-17T00:00:00"/>
    <x v="13"/>
    <s v="LT.NS"/>
    <n v="4200.10009765625"/>
    <n v="4214.7001953125"/>
    <n v="4172"/>
    <n v="4207.7001953125"/>
    <n v="1312925"/>
    <n v="-0.67"/>
    <n v="7"/>
    <x v="9"/>
    <s v="Q2-2026"/>
  </r>
  <r>
    <d v="2026-06-17T00:00:00"/>
    <x v="14"/>
    <s v="AXISBANK.NS"/>
    <n v="1363.048787960663"/>
    <n v="1364.6475305911231"/>
    <n v="1348.260266158602"/>
    <n v="1349.859008789062"/>
    <n v="4761917"/>
    <n v="-1.08"/>
    <n v="14.79"/>
    <x v="9"/>
    <s v="Q2-2026"/>
  </r>
  <r>
    <d v="2026-06-18T00:00:00"/>
    <x v="0"/>
    <s v="RELIANCE.NS"/>
    <n v="1330"/>
    <n v="1333.900024414062"/>
    <n v="1322"/>
    <n v="1328.099975585938"/>
    <n v="15494549"/>
    <n v="-0.6"/>
    <n v="5.8"/>
    <x v="9"/>
    <s v="Q2-2026"/>
  </r>
  <r>
    <d v="2026-06-18T00:00:00"/>
    <x v="1"/>
    <s v="TCS.NS"/>
    <n v="2196.9542695909472"/>
    <n v="2201.927004470057"/>
    <n v="2170.101501243751"/>
    <n v="2191.285400390625"/>
    <n v="3735188"/>
    <n v="-1.22"/>
    <n v="10.64"/>
    <x v="9"/>
    <s v="Q2-2026"/>
  </r>
  <r>
    <d v="2026-06-18T00:00:00"/>
    <x v="2"/>
    <s v="INFY.NS"/>
    <n v="1142.900024414062"/>
    <n v="1142.900024414062"/>
    <n v="1125.300048828125"/>
    <n v="1127.5"/>
    <n v="16781447"/>
    <n v="-1.54"/>
    <n v="15.4"/>
    <x v="9"/>
    <s v="Q2-2026"/>
  </r>
  <r>
    <d v="2026-06-18T00:00:00"/>
    <x v="3"/>
    <s v="HDFCBANK.NS"/>
    <n v="773.70337922403007"/>
    <n v="789.88574417362531"/>
    <n v="773.40827233382549"/>
    <n v="786"/>
    <n v="41492071"/>
    <n v="-0.04"/>
    <n v="3.89"/>
    <x v="9"/>
    <s v="Q2-2026"/>
  </r>
  <r>
    <d v="2026-06-18T00:00:00"/>
    <x v="4"/>
    <s v="ICICIBANK.NS"/>
    <n v="1322.451028843107"/>
    <n v="1335.6398887549331"/>
    <n v="1320.269469347073"/>
    <n v="1331.078369140625"/>
    <n v="13467985"/>
    <n v="-0.16"/>
    <n v="4.5599999999999996"/>
    <x v="9"/>
    <s v="Q2-2026"/>
  </r>
  <r>
    <d v="2026-06-18T00:00:00"/>
    <x v="5"/>
    <s v="WIPRO.NS"/>
    <n v="182.38700509722619"/>
    <n v="182.67372384068619"/>
    <n v="179.65817586290339"/>
    <n v="180.77540588378909"/>
    <n v="18165845"/>
    <n v="-1.5"/>
    <n v="1.9"/>
    <x v="9"/>
    <s v="Q2-2026"/>
  </r>
  <r>
    <d v="2026-06-18T00:00:00"/>
    <x v="6"/>
    <s v="HCLTECH.NS"/>
    <n v="1140.3578288590679"/>
    <n v="1156.9880955312619"/>
    <n v="1124.618490908003"/>
    <n v="1150.058837890625"/>
    <n v="3368037"/>
    <n v="-1.38"/>
    <n v="6.93"/>
    <x v="9"/>
    <s v="Q2-2026"/>
  </r>
  <r>
    <d v="2026-06-18T00:00:00"/>
    <x v="7"/>
    <s v="BAJFINANCE.NS"/>
    <n v="952.49481506721452"/>
    <n v="955.07896643536424"/>
    <n v="942.20807396759653"/>
    <n v="952.99176025390625"/>
    <n v="5750456"/>
    <n v="-1.08"/>
    <n v="2.09"/>
    <x v="9"/>
    <s v="Q2-2026"/>
  </r>
  <r>
    <d v="2026-06-18T00:00:00"/>
    <x v="8"/>
    <s v="MARUTI.NS"/>
    <n v="13510.314981529031"/>
    <n v="13577.63884337456"/>
    <n v="13299.432884865861"/>
    <n v="13349.92578125"/>
    <n v="373512"/>
    <n v="-1.56"/>
    <n v="227.71"/>
    <x v="9"/>
    <s v="Q2-2026"/>
  </r>
  <r>
    <d v="2026-06-18T00:00:00"/>
    <x v="9"/>
    <s v="TMPV.NS"/>
    <n v="360.90616419687558"/>
    <n v="363.23683664228469"/>
    <n v="356.19524276601999"/>
    <n v="361.64999389648438"/>
    <n v="22656468"/>
    <n v="-1.31"/>
    <n v="1.59"/>
    <x v="9"/>
    <s v="Q2-2026"/>
  </r>
  <r>
    <d v="2026-06-18T00:00:00"/>
    <x v="10"/>
    <s v="SUNPHARMA.NS"/>
    <n v="1812.7491843471721"/>
    <n v="1825.2165102367669"/>
    <n v="1807.7622539913341"/>
    <n v="1820.030151367188"/>
    <n v="2054738"/>
    <n v="-0.28000000000000003"/>
    <n v="5.19"/>
    <x v="9"/>
    <s v="Q2-2026"/>
  </r>
  <r>
    <d v="2026-06-18T00:00:00"/>
    <x v="11"/>
    <s v="ASIANPAINT.NS"/>
    <n v="2721.3892363671171"/>
    <n v="2741.2172089453829"/>
    <n v="2704.733690993236"/>
    <n v="2731.30322265625"/>
    <n v="600888"/>
    <n v="-0.61"/>
    <n v="9.91"/>
    <x v="9"/>
    <s v="Q2-2026"/>
  </r>
  <r>
    <d v="2026-06-18T00:00:00"/>
    <x v="12"/>
    <s v="HINDUNILVR.NS"/>
    <n v="2186.4602502931311"/>
    <n v="2199.230503444121"/>
    <n v="2174.6801696881698"/>
    <n v="2196.16162109375"/>
    <n v="1120482"/>
    <n v="-0.54"/>
    <n v="3.07"/>
    <x v="9"/>
    <s v="Q2-2026"/>
  </r>
  <r>
    <d v="2026-06-18T00:00:00"/>
    <x v="13"/>
    <s v="LT.NS"/>
    <n v="4207.7001953125"/>
    <n v="4244.89990234375"/>
    <n v="4165.60009765625"/>
    <n v="4190"/>
    <n v="1485427"/>
    <n v="-1"/>
    <n v="54.9"/>
    <x v="9"/>
    <s v="Q2-2026"/>
  </r>
  <r>
    <d v="2026-06-18T00:00:00"/>
    <x v="14"/>
    <s v="AXISBANK.NS"/>
    <n v="1346.561512407277"/>
    <n v="1364.847459181959"/>
    <n v="1343.963540367615"/>
    <n v="1359.051879882812"/>
    <n v="5186573"/>
    <n v="-0.19"/>
    <n v="5.8"/>
    <x v="9"/>
    <s v="Q2-2026"/>
  </r>
  <r>
    <d v="2026-06-19T00:00:00"/>
    <x v="0"/>
    <s v="RELIANCE.NS"/>
    <n v="1328"/>
    <n v="1338.199951171875"/>
    <n v="1305.300048828125"/>
    <n v="1309.5"/>
    <n v="24887034"/>
    <n v="-1.71"/>
    <n v="28.7"/>
    <x v="9"/>
    <s v="Q2-2026"/>
  </r>
  <r>
    <d v="2026-06-19T00:00:00"/>
    <x v="1"/>
    <s v="TCS.NS"/>
    <n v="2093.5214137178309"/>
    <n v="2126.3414643841911"/>
    <n v="2048.6672473500762"/>
    <n v="2113.412353515625"/>
    <n v="13286502"/>
    <n v="-2.14"/>
    <n v="12.93"/>
    <x v="9"/>
    <s v="Q2-2026"/>
  </r>
  <r>
    <d v="2026-06-19T00:00:00"/>
    <x v="2"/>
    <s v="INFY.NS"/>
    <n v="1062.300048828125"/>
    <n v="1066"/>
    <n v="1030"/>
    <n v="1051.400024414062"/>
    <n v="45665442"/>
    <n v="-3.04"/>
    <n v="14.6"/>
    <x v="9"/>
    <s v="Q2-2026"/>
  </r>
  <r>
    <d v="2026-06-19T00:00:00"/>
    <x v="3"/>
    <s v="HDFCBANK.NS"/>
    <n v="788.70001220703125"/>
    <n v="789.04998779296875"/>
    <n v="776.20001220703125"/>
    <n v="779.79998779296875"/>
    <n v="33798761"/>
    <n v="-1.58"/>
    <n v="9.25"/>
    <x v="9"/>
    <s v="Q2-2026"/>
  </r>
  <r>
    <d v="2026-06-19T00:00:00"/>
    <x v="4"/>
    <s v="ICICIBANK.NS"/>
    <n v="1329.2933244899971"/>
    <n v="1340.9947240691711"/>
    <n v="1320.864385095618"/>
    <n v="1335.2431640625"/>
    <n v="9057322"/>
    <n v="-0.63"/>
    <n v="5.75"/>
    <x v="9"/>
    <s v="Q2-2026"/>
  </r>
  <r>
    <d v="2026-06-19T00:00:00"/>
    <x v="5"/>
    <s v="WIPRO.NS"/>
    <n v="174.76404870076749"/>
    <n v="179.43075241675311"/>
    <n v="172.9151692716741"/>
    <n v="178.75843811035159"/>
    <n v="37469436"/>
    <n v="-1.06"/>
    <n v="0.67"/>
    <x v="9"/>
    <s v="Q2-2026"/>
  </r>
  <r>
    <d v="2026-06-19T00:00:00"/>
    <x v="6"/>
    <s v="HCLTECH.NS"/>
    <n v="1098.7822889851091"/>
    <n v="1124.519531790166"/>
    <n v="1080.370285607286"/>
    <n v="1120.262939453125"/>
    <n v="10014063"/>
    <n v="-1.68"/>
    <n v="4.26"/>
    <x v="9"/>
    <s v="Q2-2026"/>
  </r>
  <r>
    <d v="2026-06-19T00:00:00"/>
    <x v="7"/>
    <s v="BAJFINANCE.NS"/>
    <n v="948.22105600691225"/>
    <n v="965.7632445741657"/>
    <n v="947.4259558763664"/>
    <n v="955.9237060546875"/>
    <n v="12941776"/>
    <n v="-0.08"/>
    <n v="9.84"/>
    <x v="9"/>
    <s v="Q2-2026"/>
  </r>
  <r>
    <d v="2026-06-19T00:00:00"/>
    <x v="8"/>
    <s v="MARUTI.NS"/>
    <n v="13349.925600153971"/>
    <n v="13372.69690605753"/>
    <n v="13220.228162181549"/>
    <n v="13261.810546875"/>
    <n v="719756"/>
    <n v="-0.97"/>
    <n v="110.89"/>
    <x v="9"/>
    <s v="Q2-2026"/>
  </r>
  <r>
    <d v="2026-06-19T00:00:00"/>
    <x v="9"/>
    <s v="TMPV.NS"/>
    <n v="363.75"/>
    <n v="363.75"/>
    <n v="356.5"/>
    <n v="359.5"/>
    <n v="11928855"/>
    <n v="-1.99"/>
    <n v="4.25"/>
    <x v="9"/>
    <s v="Q2-2026"/>
  </r>
  <r>
    <d v="2026-06-19T00:00:00"/>
    <x v="10"/>
    <s v="SUNPHARMA.NS"/>
    <n v="1819.23208233235"/>
    <n v="1837.883152019808"/>
    <n v="1816.140210051437"/>
    <n v="1833.494750976562"/>
    <n v="2126703"/>
    <n v="-0.17"/>
    <n v="4.3899999999999997"/>
    <x v="9"/>
    <s v="Q2-2026"/>
  </r>
  <r>
    <d v="2026-06-19T00:00:00"/>
    <x v="11"/>
    <s v="ASIANPAINT.NS"/>
    <n v="2729.2212838160258"/>
    <n v="2729.2212838160258"/>
    <n v="2695.4147346165369"/>
    <n v="2709.393310546875"/>
    <n v="838991"/>
    <n v="-1.24"/>
    <n v="19.829999999999998"/>
    <x v="9"/>
    <s v="Q2-2026"/>
  </r>
  <r>
    <d v="2026-06-19T00:00:00"/>
    <x v="12"/>
    <s v="HINDUNILVR.NS"/>
    <n v="2187.35140484879"/>
    <n v="2188.3413357449599"/>
    <n v="2157.950263886682"/>
    <n v="2172.50244140625"/>
    <n v="1508994"/>
    <n v="-1.34"/>
    <n v="15.84"/>
    <x v="9"/>
    <s v="Q2-2026"/>
  </r>
  <r>
    <d v="2026-06-19T00:00:00"/>
    <x v="13"/>
    <s v="LT.NS"/>
    <n v="4190"/>
    <n v="4217.5"/>
    <n v="4161.60009765625"/>
    <n v="4209.39990234375"/>
    <n v="1397746"/>
    <n v="-0.68"/>
    <n v="8.1"/>
    <x v="9"/>
    <s v="Q2-2026"/>
  </r>
  <r>
    <d v="2026-06-19T00:00:00"/>
    <x v="14"/>
    <s v="AXISBANK.NS"/>
    <n v="1355.754509741618"/>
    <n v="1361.949683281528"/>
    <n v="1349.459315679899"/>
    <n v="1356.853637695312"/>
    <n v="4640277"/>
    <n v="-0.46"/>
    <n v="5.0999999999999996"/>
    <x v="9"/>
    <s v="Q2-2026"/>
  </r>
  <r>
    <d v="2026-06-22T00:00:00"/>
    <x v="0"/>
    <s v="RELIANCE.NS"/>
    <n v="1316.699951171875"/>
    <n v="1344.900024414062"/>
    <n v="1314.099975585938"/>
    <n v="1326.5"/>
    <n v="12931213"/>
    <n v="-0.2"/>
    <n v="18.399999999999999"/>
    <x v="9"/>
    <s v="Q2-2026"/>
  </r>
  <r>
    <d v="2026-06-22T00:00:00"/>
    <x v="1"/>
    <s v="TCS.NS"/>
    <n v="2120.5729308842242"/>
    <n v="2145.2377434880441"/>
    <n v="2109.4340537497178"/>
    <n v="2116.197021484375"/>
    <n v="4566101"/>
    <n v="-0.53"/>
    <n v="29.04"/>
    <x v="9"/>
    <s v="Q2-2026"/>
  </r>
  <r>
    <d v="2026-06-22T00:00:00"/>
    <x v="2"/>
    <s v="INFY.NS"/>
    <n v="1055"/>
    <n v="1080.300048828125"/>
    <n v="1055"/>
    <n v="1065.400024414062"/>
    <n v="10178505"/>
    <n v="0"/>
    <n v="14.9"/>
    <x v="9"/>
    <s v="Q2-2026"/>
  </r>
  <r>
    <d v="2026-06-22T00:00:00"/>
    <x v="3"/>
    <s v="HDFCBANK.NS"/>
    <n v="789.9000244140625"/>
    <n v="789.9000244140625"/>
    <n v="783.0999755859375"/>
    <n v="786.4000244140625"/>
    <n v="25194765"/>
    <n v="-0.86"/>
    <n v="3.5"/>
    <x v="9"/>
    <s v="Q2-2026"/>
  </r>
  <r>
    <d v="2026-06-22T00:00:00"/>
    <x v="4"/>
    <s v="ICICIBANK.NS"/>
    <n v="1341.68883182125"/>
    <n v="1351.307690769155"/>
    <n v="1337.1273123310041"/>
    <n v="1341.093872070312"/>
    <n v="4814845"/>
    <n v="-0.34"/>
    <n v="10.210000000000001"/>
    <x v="9"/>
    <s v="Q2-2026"/>
  </r>
  <r>
    <d v="2026-06-22T00:00:00"/>
    <x v="5"/>
    <s v="WIPRO.NS"/>
    <n v="178.79798253403769"/>
    <n v="180.34036487136879"/>
    <n v="177.96747128878081"/>
    <n v="178.14543151855469"/>
    <n v="10368112"/>
    <n v="-0.46"/>
    <n v="2.19"/>
    <x v="9"/>
    <s v="Q2-2026"/>
  </r>
  <r>
    <d v="2026-06-22T00:00:00"/>
    <x v="6"/>
    <s v="HCLTECH.NS"/>
    <n v="1124.5194897860461"/>
    <n v="1137.0910941981101"/>
    <n v="1115.610444532459"/>
    <n v="1119.075073242188"/>
    <n v="2312385"/>
    <n v="-0.79"/>
    <n v="18.02"/>
    <x v="9"/>
    <s v="Q2-2026"/>
  </r>
  <r>
    <d v="2026-06-22T00:00:00"/>
    <x v="7"/>
    <s v="BAJFINANCE.NS"/>
    <n v="960.14777987047501"/>
    <n v="967.00564768883669"/>
    <n v="955.6752732051749"/>
    <n v="962.384033203125"/>
    <n v="5680845"/>
    <n v="-0.47"/>
    <n v="4.62"/>
    <x v="9"/>
    <s v="Q2-2026"/>
  </r>
  <r>
    <d v="2026-06-22T00:00:00"/>
    <x v="8"/>
    <s v="MARUTI.NS"/>
    <n v="13316.264382485941"/>
    <n v="13360.81693989946"/>
    <n v="13246.96040428712"/>
    <n v="13287.552734375"/>
    <n v="254533"/>
    <n v="-0.52"/>
    <n v="73.260000000000005"/>
    <x v="9"/>
    <s v="Q2-2026"/>
  </r>
  <r>
    <d v="2026-06-22T00:00:00"/>
    <x v="9"/>
    <s v="TMPV.NS"/>
    <n v="362"/>
    <n v="370.5"/>
    <n v="360"/>
    <n v="361.5"/>
    <n v="15447905"/>
    <n v="-0.55000000000000004"/>
    <n v="9"/>
    <x v="9"/>
    <s v="Q2-2026"/>
  </r>
  <r>
    <d v="2026-06-22T00:00:00"/>
    <x v="10"/>
    <s v="SUNPHARMA.NS"/>
    <n v="1840.177282734144"/>
    <n v="1860.324432467924"/>
    <n v="1829.2060360620169"/>
    <n v="1858.030517578125"/>
    <n v="1588758"/>
    <n v="-0.6"/>
    <n v="2.29"/>
    <x v="9"/>
    <s v="Q2-2026"/>
  </r>
  <r>
    <d v="2026-06-22T00:00:00"/>
    <x v="11"/>
    <s v="ASIANPAINT.NS"/>
    <n v="2719.1090391012121"/>
    <n v="2732.7903889304412"/>
    <n v="2647.0344053851909"/>
    <n v="2651"/>
    <n v="1033475"/>
    <n v="-2.65"/>
    <n v="81.790000000000006"/>
    <x v="9"/>
    <s v="Q2-2026"/>
  </r>
  <r>
    <d v="2026-06-22T00:00:00"/>
    <x v="12"/>
    <s v="HINDUNILVR.NS"/>
    <n v="2181.510651390327"/>
    <n v="2185.965340390087"/>
    <n v="2160.5241648834831"/>
    <n v="2162.89990234375"/>
    <n v="765860"/>
    <n v="-0.96"/>
    <n v="23.07"/>
    <x v="9"/>
    <s v="Q2-2026"/>
  </r>
  <r>
    <d v="2026-06-22T00:00:00"/>
    <x v="13"/>
    <s v="LT.NS"/>
    <n v="4228"/>
    <n v="4235.39990234375"/>
    <n v="4190"/>
    <n v="4201.2998046875"/>
    <n v="1169466"/>
    <n v="-0.9"/>
    <n v="34.1"/>
    <x v="9"/>
    <s v="Q2-2026"/>
  </r>
  <r>
    <d v="2026-06-22T00:00:00"/>
    <x v="14"/>
    <s v="AXISBANK.NS"/>
    <n v="1359.951153365007"/>
    <n v="1365.0471986847931"/>
    <n v="1354.155574310354"/>
    <n v="1357.552978515625"/>
    <n v="3153284"/>
    <n v="-0.43"/>
    <n v="7.49"/>
    <x v="9"/>
    <s v="Q2-2026"/>
  </r>
  <r>
    <d v="2026-06-23T00:00:00"/>
    <x v="0"/>
    <s v="RELIANCE.NS"/>
    <n v="1328.900024414062"/>
    <n v="1333"/>
    <n v="1304"/>
    <n v="1309.5"/>
    <n v="15400184"/>
    <n v="-1.87"/>
    <n v="23.5"/>
    <x v="9"/>
    <s v="Q2-2026"/>
  </r>
  <r>
    <d v="2026-06-23T00:00:00"/>
    <x v="1"/>
    <s v="TCS.NS"/>
    <n v="2099.48851012349"/>
    <n v="2102.472150829492"/>
    <n v="2043.7938836114511"/>
    <n v="2048.368896484375"/>
    <n v="6392736"/>
    <n v="-2.65"/>
    <n v="54.1"/>
    <x v="9"/>
    <s v="Q2-2026"/>
  </r>
  <r>
    <d v="2026-06-23T00:00:00"/>
    <x v="2"/>
    <s v="INFY.NS"/>
    <n v="1053.800048828125"/>
    <n v="1055.300048828125"/>
    <n v="1026"/>
    <n v="1029.300048828125"/>
    <n v="19323064"/>
    <n v="-2.64"/>
    <n v="26"/>
    <x v="9"/>
    <s v="Q2-2026"/>
  </r>
  <r>
    <d v="2026-06-23T00:00:00"/>
    <x v="3"/>
    <s v="HDFCBANK.NS"/>
    <n v="783.04998779296875"/>
    <n v="790.9000244140625"/>
    <n v="772.54998779296875"/>
    <n v="774.6500244140625"/>
    <n v="28289062"/>
    <n v="-1.34"/>
    <n v="16.25"/>
    <x v="9"/>
    <s v="Q2-2026"/>
  </r>
  <r>
    <d v="2026-06-23T00:00:00"/>
    <x v="4"/>
    <s v="ICICIBANK.NS"/>
    <n v="1346.647075338441"/>
    <n v="1357.6542547634269"/>
    <n v="1320.3686162099659"/>
    <n v="1327.11181640625"/>
    <n v="11884879"/>
    <n v="-1.95"/>
    <n v="30.54"/>
    <x v="9"/>
    <s v="Q2-2026"/>
  </r>
  <r>
    <d v="2026-06-23T00:00:00"/>
    <x v="5"/>
    <s v="WIPRO.NS"/>
    <n v="177.47312174316599"/>
    <n v="177.47312174316599"/>
    <n v="172.03522664797151"/>
    <n v="172.51969909667969"/>
    <n v="23954730"/>
    <n v="-3.06"/>
    <n v="4.95"/>
    <x v="9"/>
    <s v="Q2-2026"/>
  </r>
  <r>
    <d v="2026-06-23T00:00:00"/>
    <x v="6"/>
    <s v="HCLTECH.NS"/>
    <n v="1110.2650463176831"/>
    <n v="1114.422673470214"/>
    <n v="1094.327777657975"/>
    <n v="1098.287353515625"/>
    <n v="3235632"/>
    <n v="-1.44"/>
    <n v="16.14"/>
    <x v="9"/>
    <s v="Q2-2026"/>
  </r>
  <r>
    <d v="2026-06-23T00:00:00"/>
    <x v="7"/>
    <s v="BAJFINANCE.NS"/>
    <n v="962.38399713266585"/>
    <n v="971.72659052603092"/>
    <n v="954.63166466915641"/>
    <n v="956.52008056640625"/>
    <n v="8202516"/>
    <n v="-0.81"/>
    <n v="15.21"/>
    <x v="9"/>
    <s v="Q2-2026"/>
  </r>
  <r>
    <d v="2026-06-23T00:00:00"/>
    <x v="8"/>
    <s v="MARUTI.NS"/>
    <n v="13286.56214570478"/>
    <n v="13414.279471844569"/>
    <n v="13104.39169601703"/>
    <n v="13317.25390625"/>
    <n v="398558"/>
    <n v="-1.37"/>
    <n v="97.03"/>
    <x v="9"/>
    <s v="Q2-2026"/>
  </r>
  <r>
    <d v="2026-06-23T00:00:00"/>
    <x v="9"/>
    <s v="TMPV.NS"/>
    <n v="361.5"/>
    <n v="361.89999389648438"/>
    <n v="350.10000610351563"/>
    <n v="354.54998779296881"/>
    <n v="16257406"/>
    <n v="-3.15"/>
    <n v="7.35"/>
    <x v="9"/>
    <s v="Q2-2026"/>
  </r>
  <r>
    <d v="2026-06-23T00:00:00"/>
    <x v="10"/>
    <s v="SUNPHARMA.NS"/>
    <n v="1865.111837448349"/>
    <n v="1897.4271685009071"/>
    <n v="1856.33479186575"/>
    <n v="1863.117065429688"/>
    <n v="2812236"/>
    <n v="-0.47"/>
    <n v="34.31"/>
    <x v="9"/>
    <s v="Q2-2026"/>
  </r>
  <r>
    <d v="2026-06-23T00:00:00"/>
    <x v="11"/>
    <s v="ASIANPAINT.NS"/>
    <n v="2669"/>
    <n v="2695.39990234375"/>
    <n v="2650.10009765625"/>
    <n v="2661.199951171875"/>
    <n v="1182151"/>
    <n v="-0.71"/>
    <n v="34.200000000000003"/>
    <x v="9"/>
    <s v="Q2-2026"/>
  </r>
  <r>
    <d v="2026-06-23T00:00:00"/>
    <x v="12"/>
    <s v="HINDUNILVR.NS"/>
    <n v="2160.10009765625"/>
    <n v="2179.699951171875"/>
    <n v="2156"/>
    <n v="2160.10009765625"/>
    <n v="710082"/>
    <n v="-0.19"/>
    <n v="19.600000000000001"/>
    <x v="9"/>
    <s v="Q2-2026"/>
  </r>
  <r>
    <d v="2026-06-23T00:00:00"/>
    <x v="13"/>
    <s v="LT.NS"/>
    <n v="4210"/>
    <n v="4242.39990234375"/>
    <n v="4166"/>
    <n v="4179.39990234375"/>
    <n v="2198497"/>
    <n v="-1.05"/>
    <n v="63"/>
    <x v="9"/>
    <s v="Q2-2026"/>
  </r>
  <r>
    <d v="2026-06-23T00:00:00"/>
    <x v="14"/>
    <s v="AXISBANK.NS"/>
    <n v="1357.5529705396621"/>
    <n v="1370.8427696854019"/>
    <n v="1355.054897164616"/>
    <n v="1362.44921875"/>
    <n v="5745853"/>
    <n v="-0.18"/>
    <n v="8.39"/>
    <x v="9"/>
    <s v="Q2-2026"/>
  </r>
  <r>
    <d v="2026-06-24T00:00:00"/>
    <x v="0"/>
    <s v="RELIANCE.NS"/>
    <n v="1305.699951171875"/>
    <n v="1322"/>
    <n v="1297.5"/>
    <n v="1313.599975585938"/>
    <n v="11030917"/>
    <n v="-0.63"/>
    <n v="8.4"/>
    <x v="9"/>
    <s v="Q2-2026"/>
  </r>
  <r>
    <d v="2026-06-24T00:00:00"/>
    <x v="1"/>
    <s v="TCS.NS"/>
    <n v="2049.7612582514671"/>
    <n v="2109.135662439538"/>
    <n v="2049.7612582514671"/>
    <n v="2097.49951171875"/>
    <n v="4747277"/>
    <n v="0"/>
    <n v="11.64"/>
    <x v="9"/>
    <s v="Q2-2026"/>
  </r>
  <r>
    <d v="2026-06-24T00:00:00"/>
    <x v="2"/>
    <s v="INFY.NS"/>
    <n v="1040.900024414062"/>
    <n v="1065.5"/>
    <n v="1037.699951171875"/>
    <n v="1056.599975585938"/>
    <n v="12346266"/>
    <n v="-0.31"/>
    <n v="8.9"/>
    <x v="9"/>
    <s v="Q2-2026"/>
  </r>
  <r>
    <d v="2026-06-24T00:00:00"/>
    <x v="3"/>
    <s v="HDFCBANK.NS"/>
    <n v="773"/>
    <n v="794.9000244140625"/>
    <n v="772.6500244140625"/>
    <n v="793.20001220703125"/>
    <n v="34701292"/>
    <n v="-0.05"/>
    <n v="1.7"/>
    <x v="9"/>
    <s v="Q2-2026"/>
  </r>
  <r>
    <d v="2026-06-24T00:00:00"/>
    <x v="4"/>
    <s v="ICICIBANK.NS"/>
    <n v="1329.3925787519861"/>
    <n v="1366.083259275327"/>
    <n v="1329.3925787519861"/>
    <n v="1362.11669921875"/>
    <n v="16440708"/>
    <n v="0"/>
    <n v="3.97"/>
    <x v="9"/>
    <s v="Q2-2026"/>
  </r>
  <r>
    <d v="2026-06-24T00:00:00"/>
    <x v="5"/>
    <s v="WIPRO.NS"/>
    <n v="169.56345003957679"/>
    <n v="173.50840104306229"/>
    <n v="169.55356838907801"/>
    <n v="172.5097961425781"/>
    <n v="56627728"/>
    <n v="-0.01"/>
    <n v="1"/>
    <x v="9"/>
    <s v="Q2-2026"/>
  </r>
  <r>
    <d v="2026-06-24T00:00:00"/>
    <x v="6"/>
    <s v="HCLTECH.NS"/>
    <n v="1086.5075036113631"/>
    <n v="1110.1659916215431"/>
    <n v="1082.151946351624"/>
    <n v="1102.642822265625"/>
    <n v="3503015"/>
    <n v="-0.4"/>
    <n v="7.52"/>
    <x v="9"/>
    <s v="Q2-2026"/>
  </r>
  <r>
    <d v="2026-06-24T00:00:00"/>
    <x v="7"/>
    <s v="BAJFINANCE.NS"/>
    <n v="946.5811699790587"/>
    <n v="987.82761847458323"/>
    <n v="946.5811699790587"/>
    <n v="984.8956298828125"/>
    <n v="9873777"/>
    <n v="0"/>
    <n v="2.93"/>
    <x v="9"/>
    <s v="Q2-2026"/>
  </r>
  <r>
    <d v="2026-06-24T00:00:00"/>
    <x v="8"/>
    <s v="MARUTI.NS"/>
    <n v="13306.36336616848"/>
    <n v="13306.36336616848"/>
    <n v="13069.73979142783"/>
    <n v="13116.2724609375"/>
    <n v="327495"/>
    <n v="-1.78"/>
    <n v="190.09"/>
    <x v="9"/>
    <s v="Q2-2026"/>
  </r>
  <r>
    <d v="2026-06-24T00:00:00"/>
    <x v="9"/>
    <s v="TMPV.NS"/>
    <n v="355"/>
    <n v="356.79998779296881"/>
    <n v="348"/>
    <n v="349.70001220703119"/>
    <n v="12569135"/>
    <n v="-1.97"/>
    <n v="7.1"/>
    <x v="9"/>
    <s v="Q2-2026"/>
  </r>
  <r>
    <d v="2026-06-24T00:00:00"/>
    <x v="10"/>
    <s v="SUNPHARMA.NS"/>
    <n v="1863.117071380588"/>
    <n v="1877.180189806825"/>
    <n v="1860.0251990920319"/>
    <n v="1869.500366210938"/>
    <n v="1406231"/>
    <n v="-0.17"/>
    <n v="7.68"/>
    <x v="9"/>
    <s v="Q2-2026"/>
  </r>
  <r>
    <d v="2026-06-24T00:00:00"/>
    <x v="11"/>
    <s v="ASIANPAINT.NS"/>
    <n v="2662"/>
    <n v="2687.60009765625"/>
    <n v="2653.60009765625"/>
    <n v="2667.5"/>
    <n v="1264476"/>
    <n v="-0.32"/>
    <n v="20.100000000000001"/>
    <x v="9"/>
    <s v="Q2-2026"/>
  </r>
  <r>
    <d v="2026-06-24T00:00:00"/>
    <x v="12"/>
    <s v="HINDUNILVR.NS"/>
    <n v="2160"/>
    <n v="2166"/>
    <n v="2140"/>
    <n v="2157.800048828125"/>
    <n v="942271"/>
    <n v="-0.93"/>
    <n v="8.1999999999999993"/>
    <x v="9"/>
    <s v="Q2-2026"/>
  </r>
  <r>
    <d v="2026-06-24T00:00:00"/>
    <x v="13"/>
    <s v="LT.NS"/>
    <n v="4176.5"/>
    <n v="4215"/>
    <n v="4170"/>
    <n v="4181.7001953125"/>
    <n v="1367416"/>
    <n v="-0.16"/>
    <n v="33.299999999999997"/>
    <x v="9"/>
    <s v="Q2-2026"/>
  </r>
  <r>
    <d v="2026-06-24T00:00:00"/>
    <x v="14"/>
    <s v="AXISBANK.NS"/>
    <n v="1354.955067544691"/>
    <n v="1385.031848114852"/>
    <n v="1354.955067544691"/>
    <n v="1383.43310546875"/>
    <n v="8343829"/>
    <n v="0"/>
    <n v="1.6"/>
    <x v="9"/>
    <s v="Q2-2026"/>
  </r>
  <r>
    <d v="2026-06-25T00:00:00"/>
    <x v="0"/>
    <s v="RELIANCE.NS"/>
    <n v="1318"/>
    <n v="1328"/>
    <n v="1314.599975585938"/>
    <n v="1318.099975585938"/>
    <n v="12694362"/>
    <n v="-0.26"/>
    <n v="9.9"/>
    <x v="9"/>
    <s v="Q2-2026"/>
  </r>
  <r>
    <d v="2026-06-25T00:00:00"/>
    <x v="1"/>
    <s v="TCS.NS"/>
    <n v="2121.9653638619579"/>
    <n v="2136.78401555451"/>
    <n v="2076.6139280790399"/>
    <n v="2083.27734375"/>
    <n v="4738903"/>
    <n v="-2.14"/>
    <n v="53.51"/>
    <x v="9"/>
    <s v="Q2-2026"/>
  </r>
  <r>
    <d v="2026-06-25T00:00:00"/>
    <x v="2"/>
    <s v="INFY.NS"/>
    <n v="1065"/>
    <n v="1068"/>
    <n v="1039.099975585938"/>
    <n v="1041.199951171875"/>
    <n v="15866779"/>
    <n v="-2.4300000000000002"/>
    <n v="26.8"/>
    <x v="9"/>
    <s v="Q2-2026"/>
  </r>
  <r>
    <d v="2026-06-25T00:00:00"/>
    <x v="3"/>
    <s v="HDFCBANK.NS"/>
    <n v="798.5"/>
    <n v="804.45001220703125"/>
    <n v="794.75"/>
    <n v="796.29998779296875"/>
    <n v="46707966"/>
    <n v="-0.47"/>
    <n v="8.15"/>
    <x v="9"/>
    <s v="Q2-2026"/>
  </r>
  <r>
    <d v="2026-06-25T00:00:00"/>
    <x v="4"/>
    <s v="ICICIBANK.NS"/>
    <n v="1370.3473528540351"/>
    <n v="1392.262572846284"/>
    <n v="1368.5623524176431"/>
    <n v="1375.900512695312"/>
    <n v="17173209"/>
    <n v="-0.13"/>
    <n v="16.36"/>
    <x v="9"/>
    <s v="Q2-2026"/>
  </r>
  <r>
    <d v="2026-06-25T00:00:00"/>
    <x v="5"/>
    <s v="WIPRO.NS"/>
    <n v="174.01264927455361"/>
    <n v="174.39824488255459"/>
    <n v="170.74002743214899"/>
    <n v="173.02394104003909"/>
    <n v="21544904"/>
    <n v="-1.88"/>
    <n v="1.37"/>
    <x v="9"/>
    <s v="Q2-2026"/>
  </r>
  <r>
    <d v="2026-06-25T00:00:00"/>
    <x v="6"/>
    <s v="HCLTECH.NS"/>
    <n v="1121.5497933111189"/>
    <n v="1122.0447402631539"/>
    <n v="1086.40855971664"/>
    <n v="1089.576171875"/>
    <n v="5877425"/>
    <n v="-3.13"/>
    <n v="32.47"/>
    <x v="9"/>
    <s v="Q2-2026"/>
  </r>
  <r>
    <d v="2026-06-25T00:00:00"/>
    <x v="7"/>
    <s v="BAJFINANCE.NS"/>
    <n v="990.11355015808624"/>
    <n v="999.45608278045154"/>
    <n v="972.91925973297418"/>
    <n v="974.41009521484375"/>
    <n v="12807092"/>
    <n v="-1.74"/>
    <n v="25.05"/>
    <x v="9"/>
    <s v="Q2-2026"/>
  </r>
  <r>
    <d v="2026-06-25T00:00:00"/>
    <x v="8"/>
    <s v="MARUTI.NS"/>
    <n v="13225.179063551521"/>
    <n v="13778.620828525711"/>
    <n v="13193.497245163009"/>
    <n v="13608.3310546875"/>
    <n v="981556"/>
    <n v="-0.24"/>
    <n v="170.29"/>
    <x v="9"/>
    <s v="Q2-2026"/>
  </r>
  <r>
    <d v="2026-06-25T00:00:00"/>
    <x v="9"/>
    <s v="TMPV.NS"/>
    <n v="352.29998779296881"/>
    <n v="360.5"/>
    <n v="351"/>
    <n v="353.20001220703119"/>
    <n v="15424509"/>
    <n v="-0.37"/>
    <n v="7.3"/>
    <x v="9"/>
    <s v="Q2-2026"/>
  </r>
  <r>
    <d v="2026-06-25T00:00:00"/>
    <x v="10"/>
    <s v="SUNPHARMA.NS"/>
    <n v="1865.11191700582"/>
    <n v="1882.067479887691"/>
    <n v="1853.1432843833229"/>
    <n v="1857.930786132812"/>
    <n v="1816438"/>
    <n v="-0.64"/>
    <n v="24.14"/>
    <x v="9"/>
    <s v="Q2-2026"/>
  </r>
  <r>
    <d v="2026-06-25T00:00:00"/>
    <x v="11"/>
    <s v="ASIANPAINT.NS"/>
    <n v="2690"/>
    <n v="2690.699951171875"/>
    <n v="2637.10009765625"/>
    <n v="2645.199951171875"/>
    <n v="2050810"/>
    <n v="-1.97"/>
    <n v="45.5"/>
    <x v="9"/>
    <s v="Q2-2026"/>
  </r>
  <r>
    <d v="2026-06-25T00:00:00"/>
    <x v="12"/>
    <s v="HINDUNILVR.NS"/>
    <n v="2161"/>
    <n v="2200.89990234375"/>
    <n v="2161"/>
    <n v="2174.199951171875"/>
    <n v="1898262"/>
    <n v="0"/>
    <n v="26.7"/>
    <x v="9"/>
    <s v="Q2-2026"/>
  </r>
  <r>
    <d v="2026-06-25T00:00:00"/>
    <x v="13"/>
    <s v="LT.NS"/>
    <n v="4207"/>
    <n v="4272.2998046875"/>
    <n v="4187.10009765625"/>
    <n v="4216.39990234375"/>
    <n v="3104020"/>
    <n v="-0.47"/>
    <n v="55.9"/>
    <x v="9"/>
    <s v="Q2-2026"/>
  </r>
  <r>
    <d v="2026-06-25T00:00:00"/>
    <x v="14"/>
    <s v="AXISBANK.NS"/>
    <n v="1385.831270177255"/>
    <n v="1399.0210493803561"/>
    <n v="1371.642139604455"/>
    <n v="1376.138671875"/>
    <n v="7995552"/>
    <n v="-1.02"/>
    <n v="22.88"/>
    <x v="9"/>
    <s v="Q2-2026"/>
  </r>
  <r>
    <d v="2026-06-29T00:00:00"/>
    <x v="0"/>
    <s v="RELIANCE.NS"/>
    <n v="1308"/>
    <n v="1313.699951171875"/>
    <n v="1292.599975585938"/>
    <n v="1301"/>
    <n v="13757656"/>
    <n v="-1.18"/>
    <n v="12.7"/>
    <x v="9"/>
    <s v="Q2-2026"/>
  </r>
  <r>
    <d v="2026-06-29T00:00:00"/>
    <x v="1"/>
    <s v="TCS.NS"/>
    <n v="2078.6031371123331"/>
    <n v="2093.5213414456748"/>
    <n v="2059.7067449567662"/>
    <n v="2086.4599609375"/>
    <n v="3412470"/>
    <n v="-0.91"/>
    <n v="7.06"/>
    <x v="9"/>
    <s v="Q2-2026"/>
  </r>
  <r>
    <d v="2026-06-29T00:00:00"/>
    <x v="2"/>
    <s v="INFY.NS"/>
    <n v="1037.099975585938"/>
    <n v="1046.599975585938"/>
    <n v="1029.099975585938"/>
    <n v="1036.699951171875"/>
    <n v="15080892"/>
    <n v="-0.77"/>
    <n v="9.9"/>
    <x v="9"/>
    <s v="Q2-2026"/>
  </r>
  <r>
    <d v="2026-06-29T00:00:00"/>
    <x v="3"/>
    <s v="HDFCBANK.NS"/>
    <n v="800"/>
    <n v="805.9000244140625"/>
    <n v="793.29998779296875"/>
    <n v="798.9000244140625"/>
    <n v="46695977"/>
    <n v="-0.84"/>
    <n v="7"/>
    <x v="9"/>
    <s v="Q2-2026"/>
  </r>
  <r>
    <d v="2026-06-29T00:00:00"/>
    <x v="4"/>
    <s v="ICICIBANK.NS"/>
    <n v="1378.379593988644"/>
    <n v="1390.2792739367469"/>
    <n v="1371.636393598131"/>
    <n v="1375.999633789062"/>
    <n v="13249405"/>
    <n v="-0.49"/>
    <n v="14.28"/>
    <x v="9"/>
    <s v="Q2-2026"/>
  </r>
  <r>
    <d v="2026-06-29T00:00:00"/>
    <x v="5"/>
    <s v="WIPRO.NS"/>
    <n v="174.2894741882829"/>
    <n v="174.69484815685081"/>
    <n v="172.62845171194019"/>
    <n v="173.4985046386719"/>
    <n v="24484011"/>
    <n v="-0.95"/>
    <n v="1.2"/>
    <x v="9"/>
    <s v="Q2-2026"/>
  </r>
  <r>
    <d v="2026-06-29T00:00:00"/>
    <x v="6"/>
    <s v="HCLTECH.NS"/>
    <n v="1084.5277065108401"/>
    <n v="1097.0994312395701"/>
    <n v="1075.0247494674099"/>
    <n v="1091.259033203125"/>
    <n v="5186504"/>
    <n v="-0.88"/>
    <n v="5.84"/>
    <x v="9"/>
    <s v="Q2-2026"/>
  </r>
  <r>
    <d v="2026-06-29T00:00:00"/>
    <x v="7"/>
    <s v="BAJFINANCE.NS"/>
    <n v="969.34122805619711"/>
    <n v="986.23736368954792"/>
    <n v="969.34122805619711"/>
    <n v="976.04998779296875"/>
    <n v="19875760"/>
    <n v="0"/>
    <n v="10.19"/>
    <x v="9"/>
    <s v="Q2-2026"/>
  </r>
  <r>
    <d v="2026-06-29T00:00:00"/>
    <x v="8"/>
    <s v="MARUTI.NS"/>
    <n v="13603.38022707044"/>
    <n v="13702.38590557896"/>
    <n v="13238.04927337401"/>
    <n v="13278.6416015625"/>
    <n v="1358592"/>
    <n v="-2.69"/>
    <n v="423.74"/>
    <x v="9"/>
    <s v="Q2-2026"/>
  </r>
  <r>
    <d v="2026-06-29T00:00:00"/>
    <x v="9"/>
    <s v="TMPV.NS"/>
    <n v="350"/>
    <n v="354.45001220703119"/>
    <n v="343.39999389648438"/>
    <n v="345.04998779296881"/>
    <n v="11882122"/>
    <n v="-1.89"/>
    <n v="9.4"/>
    <x v="9"/>
    <s v="Q2-2026"/>
  </r>
  <r>
    <d v="2026-06-29T00:00:00"/>
    <x v="10"/>
    <s v="SUNPHARMA.NS"/>
    <n v="1871.8941861612429"/>
    <n v="1892.1410499127519"/>
    <n v="1851.0487933791301"/>
    <n v="1869.8994140625"/>
    <n v="1655869"/>
    <n v="-1.1100000000000001"/>
    <n v="22.24"/>
    <x v="9"/>
    <s v="Q2-2026"/>
  </r>
  <r>
    <d v="2026-06-29T00:00:00"/>
    <x v="11"/>
    <s v="ASIANPAINT.NS"/>
    <n v="2631.300048828125"/>
    <n v="2687.800048828125"/>
    <n v="2630"/>
    <n v="2656.89990234375"/>
    <n v="4752587"/>
    <n v="-0.05"/>
    <n v="30.9"/>
    <x v="9"/>
    <s v="Q2-2026"/>
  </r>
  <r>
    <d v="2026-06-29T00:00:00"/>
    <x v="12"/>
    <s v="HINDUNILVR.NS"/>
    <n v="2172"/>
    <n v="2189.89990234375"/>
    <n v="2143"/>
    <n v="2151.300048828125"/>
    <n v="1423514"/>
    <n v="-1.34"/>
    <n v="38.6"/>
    <x v="9"/>
    <s v="Q2-2026"/>
  </r>
  <r>
    <d v="2026-06-29T00:00:00"/>
    <x v="13"/>
    <s v="LT.NS"/>
    <n v="4225"/>
    <n v="4252"/>
    <n v="4157.7998046875"/>
    <n v="4165.2001953125"/>
    <n v="2706906"/>
    <n v="-1.59"/>
    <n v="86.8"/>
    <x v="9"/>
    <s v="Q2-2026"/>
  </r>
  <r>
    <d v="2026-06-29T00:00:00"/>
    <x v="14"/>
    <s v="AXISBANK.NS"/>
    <n v="1391.526856407881"/>
    <n v="1391.526856407881"/>
    <n v="1351.157963719909"/>
    <n v="1355.754516601562"/>
    <n v="12602010"/>
    <n v="-2.9"/>
    <n v="35.770000000000003"/>
    <x v="9"/>
    <s v="Q2-2026"/>
  </r>
  <r>
    <d v="2026-06-30T00:00:00"/>
    <x v="0"/>
    <s v="RELIANCE.NS"/>
    <n v="1306.900024414062"/>
    <n v="1306.900024414062"/>
    <n v="1290"/>
    <n v="1293.900024414062"/>
    <n v="15695263"/>
    <n v="-1.29"/>
    <n v="13"/>
    <x v="9"/>
    <s v="Q2-2026"/>
  </r>
  <r>
    <d v="2026-06-30T00:00:00"/>
    <x v="1"/>
    <s v="TCS.NS"/>
    <n v="2078.6031154338698"/>
    <n v="2092.8251853118591"/>
    <n v="2007.7914214986549"/>
    <n v="2020.422119140625"/>
    <n v="6848411"/>
    <n v="-3.41"/>
    <n v="72.400000000000006"/>
    <x v="9"/>
    <s v="Q2-2026"/>
  </r>
  <r>
    <d v="2026-06-30T00:00:00"/>
    <x v="2"/>
    <s v="INFY.NS"/>
    <n v="1030"/>
    <n v="1030.400024414062"/>
    <n v="996"/>
    <n v="1000.400024414062"/>
    <n v="24128263"/>
    <n v="-3.3"/>
    <n v="30"/>
    <x v="9"/>
    <s v="Q2-2026"/>
  </r>
  <r>
    <d v="2026-06-30T00:00:00"/>
    <x v="3"/>
    <s v="HDFCBANK.NS"/>
    <n v="806.0999755859375"/>
    <n v="806.0999755859375"/>
    <n v="792.75"/>
    <n v="797.95001220703125"/>
    <n v="45778356"/>
    <n v="-1.66"/>
    <n v="8.15"/>
    <x v="9"/>
    <s v="Q2-2026"/>
  </r>
  <r>
    <d v="2026-06-30T00:00:00"/>
    <x v="4"/>
    <s v="ICICIBANK.NS"/>
    <n v="1390.2792468566799"/>
    <n v="1390.2792468566799"/>
    <n v="1354.679347495397"/>
    <n v="1363.703247070312"/>
    <n v="18398057"/>
    <n v="-2.56"/>
    <n v="26.58"/>
    <x v="9"/>
    <s v="Q2-2026"/>
  </r>
  <r>
    <d v="2026-06-30T00:00:00"/>
    <x v="5"/>
    <s v="WIPRO.NS"/>
    <n v="173.02393352580481"/>
    <n v="173.41941076783931"/>
    <n v="168.12983099480141"/>
    <n v="168.46598815917969"/>
    <n v="26845383"/>
    <n v="-2.83"/>
    <n v="4.95"/>
    <x v="9"/>
    <s v="Q2-2026"/>
  </r>
  <r>
    <d v="2026-06-30T00:00:00"/>
    <x v="6"/>
    <s v="HCLTECH.NS"/>
    <n v="1091.35807971494"/>
    <n v="1094.5256920198101"/>
    <n v="1057.800650647529"/>
    <n v="1060.968383789062"/>
    <n v="3794233"/>
    <n v="-3.07"/>
    <n v="33.56"/>
    <x v="9"/>
    <s v="Q2-2026"/>
  </r>
  <r>
    <d v="2026-06-30T00:00:00"/>
    <x v="7"/>
    <s v="BAJFINANCE.NS"/>
    <n v="986.9000244140625"/>
    <n v="1010.950012207031"/>
    <n v="977.70001220703125"/>
    <n v="1004.75"/>
    <n v="12445420"/>
    <n v="-0.93"/>
    <n v="6.2"/>
    <x v="9"/>
    <s v="Q2-2026"/>
  </r>
  <r>
    <d v="2026-06-30T00:00:00"/>
    <x v="8"/>
    <s v="MARUTI.NS"/>
    <n v="13607.341254870709"/>
    <n v="14059.79723227728"/>
    <n v="13375.66795352905"/>
    <n v="13974.65234375"/>
    <n v="1511415"/>
    <n v="-1.7"/>
    <n v="85.14"/>
    <x v="9"/>
    <s v="Q2-2026"/>
  </r>
  <r>
    <d v="2026-06-30T00:00:00"/>
    <x v="9"/>
    <s v="TMPV.NS"/>
    <n v="348"/>
    <n v="356.39999389648438"/>
    <n v="343.29998779296881"/>
    <n v="352.20001220703119"/>
    <n v="17609242"/>
    <n v="-1.35"/>
    <n v="4.2"/>
    <x v="9"/>
    <s v="Q2-2026"/>
  </r>
  <r>
    <d v="2026-06-30T00:00:00"/>
    <x v="10"/>
    <s v="SUNPHARMA.NS"/>
    <n v="1880.072655266883"/>
    <n v="1887.952029206841"/>
    <n v="1854.5395974023629"/>
    <n v="1857.631469726562"/>
    <n v="2352774"/>
    <n v="-1.36"/>
    <n v="30.32"/>
    <x v="9"/>
    <s v="Q2-2026"/>
  </r>
  <r>
    <d v="2026-06-30T00:00:00"/>
    <x v="11"/>
    <s v="ASIANPAINT.NS"/>
    <n v="2658"/>
    <n v="2672.10009765625"/>
    <n v="2630.300048828125"/>
    <n v="2635.699951171875"/>
    <n v="1821479"/>
    <n v="-1.04"/>
    <n v="36.4"/>
    <x v="9"/>
    <s v="Q2-2026"/>
  </r>
  <r>
    <d v="2026-06-30T00:00:00"/>
    <x v="12"/>
    <s v="HINDUNILVR.NS"/>
    <n v="2151"/>
    <n v="2151.300048828125"/>
    <n v="2114.199951171875"/>
    <n v="2118.199951171875"/>
    <n v="2364422"/>
    <n v="-1.71"/>
    <n v="33.1"/>
    <x v="9"/>
    <s v="Q2-2026"/>
  </r>
  <r>
    <d v="2026-06-30T00:00:00"/>
    <x v="13"/>
    <s v="LT.NS"/>
    <n v="4183"/>
    <n v="4193.7998046875"/>
    <n v="4134.10009765625"/>
    <n v="4143.39990234375"/>
    <n v="1539094"/>
    <n v="-1.17"/>
    <n v="50.4"/>
    <x v="9"/>
    <s v="Q2-2026"/>
  </r>
  <r>
    <d v="2026-06-30T00:00:00"/>
    <x v="14"/>
    <s v="AXISBANK.NS"/>
    <n v="1356.653716748136"/>
    <n v="1373.9404342753351"/>
    <n v="1342.564606508271"/>
    <n v="1344.662963867188"/>
    <n v="7781221"/>
    <n v="-1.04"/>
    <n v="29.28"/>
    <x v="9"/>
    <s v="Q2-2026"/>
  </r>
  <r>
    <d v="2026-07-01T00:00:00"/>
    <x v="0"/>
    <s v="RELIANCE.NS"/>
    <n v="1298.900024414062"/>
    <n v="1312.199951171875"/>
    <n v="1296.5"/>
    <n v="1308"/>
    <n v="7001401"/>
    <n v="-0.18"/>
    <n v="4.2"/>
    <x v="10"/>
    <s v="Q3-2026"/>
  </r>
  <r>
    <d v="2026-07-01T00:00:00"/>
    <x v="1"/>
    <s v="TCS.NS"/>
    <n v="2028.776408877907"/>
    <n v="2040.810403055538"/>
    <n v="1966.020518717901"/>
    <n v="1971.788818359375"/>
    <n v="4658295"/>
    <n v="-3.09"/>
    <n v="69.02"/>
    <x v="10"/>
    <s v="Q3-2026"/>
  </r>
  <r>
    <d v="2026-07-01T00:00:00"/>
    <x v="2"/>
    <s v="INFY.NS"/>
    <n v="1006"/>
    <n v="1014"/>
    <n v="982.4000244140625"/>
    <n v="985.29998779296875"/>
    <n v="13037982"/>
    <n v="-2.35"/>
    <n v="28.7"/>
    <x v="10"/>
    <s v="Q3-2026"/>
  </r>
  <r>
    <d v="2026-07-01T00:00:00"/>
    <x v="3"/>
    <s v="HDFCBANK.NS"/>
    <n v="793.5"/>
    <n v="802.25"/>
    <n v="793.5"/>
    <n v="796.1500244140625"/>
    <n v="26094378"/>
    <n v="0"/>
    <n v="6.1"/>
    <x v="10"/>
    <s v="Q3-2026"/>
  </r>
  <r>
    <d v="2026-07-01T00:00:00"/>
    <x v="4"/>
    <s v="ICICIBANK.NS"/>
    <n v="1359.9350925376609"/>
    <n v="1373.5205118413"/>
    <n v="1356.265951982439"/>
    <n v="1368.264892578125"/>
    <n v="11948034"/>
    <n v="-0.27"/>
    <n v="5.26"/>
    <x v="10"/>
    <s v="Q3-2026"/>
  </r>
  <r>
    <d v="2026-07-01T00:00:00"/>
    <x v="5"/>
    <s v="WIPRO.NS"/>
    <n v="169.06909460753889"/>
    <n v="170.2061029518828"/>
    <n v="167.33885533523949"/>
    <n v="168.20892333984381"/>
    <n v="34638511"/>
    <n v="-1.02"/>
    <n v="2"/>
    <x v="10"/>
    <s v="Q3-2026"/>
  </r>
  <r>
    <d v="2026-07-01T00:00:00"/>
    <x v="6"/>
    <s v="HCLTECH.NS"/>
    <n v="1059.1864801751999"/>
    <n v="1065.620790568787"/>
    <n v="1019.590723906968"/>
    <n v="1023.748229980469"/>
    <n v="3819777"/>
    <n v="-3.74"/>
    <n v="41.87"/>
    <x v="10"/>
    <s v="Q3-2026"/>
  </r>
  <r>
    <d v="2026-07-01T00:00:00"/>
    <x v="7"/>
    <s v="BAJFINANCE.NS"/>
    <n v="1000.400024414062"/>
    <n v="1025.400024414062"/>
    <n v="998.9000244140625"/>
    <n v="1014.900024414062"/>
    <n v="6834299"/>
    <n v="-0.15"/>
    <n v="10.5"/>
    <x v="10"/>
    <s v="Q3-2026"/>
  </r>
  <r>
    <d v="2026-07-01T00:00:00"/>
    <x v="8"/>
    <s v="MARUTI.NS"/>
    <n v="14010.29429591167"/>
    <n v="14404.3369169118"/>
    <n v="13930.09969214028"/>
    <n v="14251.8681640625"/>
    <n v="1397790"/>
    <n v="-0.56999999999999995"/>
    <n v="152.47"/>
    <x v="10"/>
    <s v="Q3-2026"/>
  </r>
  <r>
    <d v="2026-07-01T00:00:00"/>
    <x v="9"/>
    <s v="TMPV.NS"/>
    <n v="353.5"/>
    <n v="354.60000610351563"/>
    <n v="346.5"/>
    <n v="347.79998779296881"/>
    <n v="12059086"/>
    <n v="-1.98"/>
    <n v="6.8"/>
    <x v="10"/>
    <s v="Q3-2026"/>
  </r>
  <r>
    <d v="2026-07-01T00:00:00"/>
    <x v="10"/>
    <s v="SUNPHARMA.NS"/>
    <n v="1872.9912670511769"/>
    <n v="1882.466434421995"/>
    <n v="1855.3374611095489"/>
    <n v="1861.32177734375"/>
    <n v="1230360"/>
    <n v="-0.94"/>
    <n v="21.14"/>
    <x v="10"/>
    <s v="Q3-2026"/>
  </r>
  <r>
    <d v="2026-07-01T00:00:00"/>
    <x v="11"/>
    <s v="ASIANPAINT.NS"/>
    <n v="2648"/>
    <n v="2723"/>
    <n v="2624"/>
    <n v="2716.39990234375"/>
    <n v="1097512"/>
    <n v="-0.91"/>
    <n v="6.6"/>
    <x v="10"/>
    <s v="Q3-2026"/>
  </r>
  <r>
    <d v="2026-07-01T00:00:00"/>
    <x v="12"/>
    <s v="HINDUNILVR.NS"/>
    <n v="2133.5"/>
    <n v="2190"/>
    <n v="2120.199951171875"/>
    <n v="2182"/>
    <n v="2497576"/>
    <n v="-0.62"/>
    <n v="8"/>
    <x v="10"/>
    <s v="Q3-2026"/>
  </r>
  <r>
    <d v="2026-07-01T00:00:00"/>
    <x v="13"/>
    <s v="LT.NS"/>
    <n v="4130.10009765625"/>
    <n v="4142.7998046875"/>
    <n v="4081.10009765625"/>
    <n v="4092.60009765625"/>
    <n v="1437109"/>
    <n v="-1.19"/>
    <n v="50.2"/>
    <x v="10"/>
    <s v="Q3-2026"/>
  </r>
  <r>
    <d v="2026-07-01T00:00:00"/>
    <x v="14"/>
    <s v="AXISBANK.NS"/>
    <n v="1344.6628669036611"/>
    <n v="1376.638205613785"/>
    <n v="1344.6628669036611"/>
    <n v="1367.645141601562"/>
    <n v="3187785"/>
    <n v="0"/>
    <n v="8.99"/>
    <x v="10"/>
    <s v="Q3-2026"/>
  </r>
  <r>
    <d v="2026-07-02T00:00:00"/>
    <x v="0"/>
    <s v="RELIANCE.NS"/>
    <n v="1310"/>
    <n v="1313.199951171875"/>
    <n v="1299"/>
    <n v="1303.5"/>
    <n v="17795024"/>
    <n v="-0.84"/>
    <n v="9.6999999999999993"/>
    <x v="10"/>
    <s v="Q3-2026"/>
  </r>
  <r>
    <d v="2026-07-02T00:00:00"/>
    <x v="1"/>
    <s v="TCS.NS"/>
    <n v="1997.0503819057581"/>
    <n v="2065.5745732846699"/>
    <n v="1991.5803733895821"/>
    <n v="2056.82275390625"/>
    <n v="6040621"/>
    <n v="-0.27"/>
    <n v="8.75"/>
    <x v="10"/>
    <s v="Q3-2026"/>
  </r>
  <r>
    <d v="2026-07-02T00:00:00"/>
    <x v="2"/>
    <s v="INFY.NS"/>
    <n v="1006.400024414062"/>
    <n v="1045"/>
    <n v="1006"/>
    <n v="1040.900024414062"/>
    <n v="18741111"/>
    <n v="-0.04"/>
    <n v="4.0999999999999996"/>
    <x v="10"/>
    <s v="Q3-2026"/>
  </r>
  <r>
    <d v="2026-07-02T00:00:00"/>
    <x v="3"/>
    <s v="HDFCBANK.NS"/>
    <n v="795"/>
    <n v="805.45001220703125"/>
    <n v="794"/>
    <n v="795.9000244140625"/>
    <n v="34143823"/>
    <n v="-0.13"/>
    <n v="9.5500000000000007"/>
    <x v="10"/>
    <s v="Q3-2026"/>
  </r>
  <r>
    <d v="2026-07-02T00:00:00"/>
    <x v="4"/>
    <s v="ICICIBANK.NS"/>
    <n v="1370.3473604526371"/>
    <n v="1393.2542205810551"/>
    <n v="1365.2900205878909"/>
    <n v="1388.296020507812"/>
    <n v="15779429"/>
    <n v="-0.37"/>
    <n v="4.96"/>
    <x v="10"/>
    <s v="Q3-2026"/>
  </r>
  <r>
    <d v="2026-07-02T00:00:00"/>
    <x v="5"/>
    <s v="WIPRO.NS"/>
    <n v="167.5761638442014"/>
    <n v="172.9942807368854"/>
    <n v="167.09169137888941"/>
    <n v="172.03523254394531"/>
    <n v="43447174"/>
    <n v="-0.28999999999999998"/>
    <n v="0.96"/>
    <x v="10"/>
    <s v="Q3-2026"/>
  </r>
  <r>
    <d v="2026-07-02T00:00:00"/>
    <x v="6"/>
    <s v="HCLTECH.NS"/>
    <n v="1038.3987015097159"/>
    <n v="1071.9561289002879"/>
    <n v="1037.4088076093251"/>
    <n v="1067.20458984375"/>
    <n v="3726609"/>
    <n v="-0.1"/>
    <n v="4.75"/>
    <x v="10"/>
    <s v="Q3-2026"/>
  </r>
  <r>
    <d v="2026-07-02T00:00:00"/>
    <x v="7"/>
    <s v="BAJFINANCE.NS"/>
    <n v="994.70001220703125"/>
    <n v="1025.699951171875"/>
    <n v="993.4000244140625"/>
    <n v="1018.400024414062"/>
    <n v="8168339"/>
    <n v="-0.13"/>
    <n v="7.3"/>
    <x v="10"/>
    <s v="Q3-2026"/>
  </r>
  <r>
    <d v="2026-07-02T00:00:00"/>
    <x v="8"/>
    <s v="MARUTI.NS"/>
    <n v="14287.509675305901"/>
    <n v="14345.92302648344"/>
    <n v="14133.06081456529"/>
    <n v="14205.3349609375"/>
    <n v="327088"/>
    <n v="-1.08"/>
    <n v="140.59"/>
    <x v="10"/>
    <s v="Q3-2026"/>
  </r>
  <r>
    <d v="2026-07-02T00:00:00"/>
    <x v="9"/>
    <s v="TMPV.NS"/>
    <n v="351.14999389648438"/>
    <n v="351.25"/>
    <n v="345"/>
    <n v="345.95001220703119"/>
    <n v="10423984"/>
    <n v="-1.75"/>
    <n v="5.3"/>
    <x v="10"/>
    <s v="Q3-2026"/>
  </r>
  <r>
    <d v="2026-07-02T00:00:00"/>
    <x v="10"/>
    <s v="SUNPHARMA.NS"/>
    <n v="1871.0961830551009"/>
    <n v="1877.0804992055971"/>
    <n v="1863.4163593624539"/>
    <n v="1866.109252929688"/>
    <n v="1485296"/>
    <n v="-0.41"/>
    <n v="10.97"/>
    <x v="10"/>
    <s v="Q3-2026"/>
  </r>
  <r>
    <d v="2026-07-02T00:00:00"/>
    <x v="11"/>
    <s v="ASIANPAINT.NS"/>
    <n v="2720"/>
    <n v="2759.89990234375"/>
    <n v="2711"/>
    <n v="2744.5"/>
    <n v="1629567"/>
    <n v="-0.33"/>
    <n v="15.4"/>
    <x v="10"/>
    <s v="Q3-2026"/>
  </r>
  <r>
    <d v="2026-07-02T00:00:00"/>
    <x v="12"/>
    <s v="HINDUNILVR.NS"/>
    <n v="2186"/>
    <n v="2216"/>
    <n v="2179.199951171875"/>
    <n v="2210.60009765625"/>
    <n v="2585362"/>
    <n v="-0.31"/>
    <n v="5.4"/>
    <x v="10"/>
    <s v="Q3-2026"/>
  </r>
  <r>
    <d v="2026-07-02T00:00:00"/>
    <x v="13"/>
    <s v="LT.NS"/>
    <n v="4100"/>
    <n v="4110"/>
    <n v="4012"/>
    <n v="4059.39990234375"/>
    <n v="2481554"/>
    <n v="-2.15"/>
    <n v="50.6"/>
    <x v="10"/>
    <s v="Q3-2026"/>
  </r>
  <r>
    <d v="2026-07-02T00:00:00"/>
    <x v="14"/>
    <s v="AXISBANK.NS"/>
    <n v="1372.941166068036"/>
    <n v="1374.440010135796"/>
    <n v="1357.053394554533"/>
    <n v="1361.549926757812"/>
    <n v="4013561"/>
    <n v="-1.1599999999999999"/>
    <n v="12.89"/>
    <x v="10"/>
    <s v="Q3-2026"/>
  </r>
  <r>
    <d v="2026-07-03T00:00:00"/>
    <x v="0"/>
    <s v="RELIANCE.NS"/>
    <n v="1312"/>
    <n v="1312"/>
    <n v="1302"/>
    <n v="1304"/>
    <n v="7839550"/>
    <n v="-0.76"/>
    <n v="8"/>
    <x v="10"/>
    <s v="Q3-2026"/>
  </r>
  <r>
    <d v="2026-07-03T00:00:00"/>
    <x v="1"/>
    <s v="TCS.NS"/>
    <n v="2088.5485393778358"/>
    <n v="2105.0581154318788"/>
    <n v="2073.630335525138"/>
    <n v="2082.083984375"/>
    <n v="4028819"/>
    <n v="-0.71"/>
    <n v="22.97"/>
    <x v="10"/>
    <s v="Q3-2026"/>
  </r>
  <r>
    <d v="2026-07-03T00:00:00"/>
    <x v="2"/>
    <s v="INFY.NS"/>
    <n v="1063"/>
    <n v="1068.699951171875"/>
    <n v="1042"/>
    <n v="1047.199951171875"/>
    <n v="11653534"/>
    <n v="-1.98"/>
    <n v="21.5"/>
    <x v="10"/>
    <s v="Q3-2026"/>
  </r>
  <r>
    <d v="2026-07-03T00:00:00"/>
    <x v="3"/>
    <s v="HDFCBANK.NS"/>
    <n v="803"/>
    <n v="807"/>
    <n v="798.54998779296875"/>
    <n v="801.04998779296875"/>
    <n v="25871958"/>
    <n v="-0.55000000000000004"/>
    <n v="5.95"/>
    <x v="10"/>
    <s v="Q3-2026"/>
  </r>
  <r>
    <d v="2026-07-03T00:00:00"/>
    <x v="4"/>
    <s v="ICICIBANK.NS"/>
    <n v="1402.1789477753739"/>
    <n v="1408.1287877235011"/>
    <n v="1394.1466880553619"/>
    <n v="1399.600708007812"/>
    <n v="12901785"/>
    <n v="-0.56999999999999995"/>
    <n v="8.5299999999999994"/>
    <x v="10"/>
    <s v="Q3-2026"/>
  </r>
  <r>
    <d v="2026-07-03T00:00:00"/>
    <x v="5"/>
    <s v="WIPRO.NS"/>
    <n v="174.2103759921963"/>
    <n v="176.12847224983949"/>
    <n v="172.61855524001211"/>
    <n v="174.09173583984381"/>
    <n v="29538753"/>
    <n v="-0.91"/>
    <n v="2.04"/>
    <x v="10"/>
    <s v="Q3-2026"/>
  </r>
  <r>
    <d v="2026-07-03T00:00:00"/>
    <x v="6"/>
    <s v="HCLTECH.NS"/>
    <n v="1115.7093743357591"/>
    <n v="1147.287013454956"/>
    <n v="1103.830647708098"/>
    <n v="1127.489135742188"/>
    <n v="12768463"/>
    <n v="-1.06"/>
    <n v="19.8"/>
    <x v="10"/>
    <s v="Q3-2026"/>
  </r>
  <r>
    <d v="2026-07-03T00:00:00"/>
    <x v="7"/>
    <s v="BAJFINANCE.NS"/>
    <n v="1035"/>
    <n v="1040"/>
    <n v="1017.599975585938"/>
    <n v="1031.400024414062"/>
    <n v="9399193"/>
    <n v="-1.68"/>
    <n v="8.6"/>
    <x v="10"/>
    <s v="Q3-2026"/>
  </r>
  <r>
    <d v="2026-07-03T00:00:00"/>
    <x v="8"/>
    <s v="MARUTI.NS"/>
    <n v="14306.32102272727"/>
    <n v="14375.625"/>
    <n v="14190.484375"/>
    <n v="14223.15625"/>
    <n v="384188"/>
    <n v="-0.81"/>
    <n v="152.47"/>
    <x v="10"/>
    <s v="Q3-2026"/>
  </r>
  <r>
    <d v="2026-07-03T00:00:00"/>
    <x v="9"/>
    <s v="TMPV.NS"/>
    <n v="346.5"/>
    <n v="347.54998779296881"/>
    <n v="341"/>
    <n v="344.10000610351563"/>
    <n v="12651872"/>
    <n v="-1.59"/>
    <n v="3.45"/>
    <x v="10"/>
    <s v="Q3-2026"/>
  </r>
  <r>
    <d v="2026-07-03T00:00:00"/>
    <x v="10"/>
    <s v="SUNPHARMA.NS"/>
    <n v="1875.0857010730881"/>
    <n v="1920.0677858283741"/>
    <n v="1866.707634228688"/>
    <n v="1899.820922851562"/>
    <n v="2168491"/>
    <n v="-0.45"/>
    <n v="20.25"/>
    <x v="10"/>
    <s v="Q3-2026"/>
  </r>
  <r>
    <d v="2026-07-03T00:00:00"/>
    <x v="11"/>
    <s v="ASIANPAINT.NS"/>
    <n v="2744"/>
    <n v="2762.39990234375"/>
    <n v="2730"/>
    <n v="2737.800048828125"/>
    <n v="472124"/>
    <n v="-0.51"/>
    <n v="24.6"/>
    <x v="10"/>
    <s v="Q3-2026"/>
  </r>
  <r>
    <d v="2026-07-03T00:00:00"/>
    <x v="12"/>
    <s v="HINDUNILVR.NS"/>
    <n v="2224.89990234375"/>
    <n v="2239.300048828125"/>
    <n v="2190"/>
    <n v="2201.199951171875"/>
    <n v="1536616"/>
    <n v="-1.57"/>
    <n v="38.1"/>
    <x v="10"/>
    <s v="Q3-2026"/>
  </r>
  <r>
    <d v="2026-07-03T00:00:00"/>
    <x v="13"/>
    <s v="LT.NS"/>
    <n v="4080"/>
    <n v="4094"/>
    <n v="4019"/>
    <n v="4026.60009765625"/>
    <n v="1505428"/>
    <n v="-1.5"/>
    <n v="67.400000000000006"/>
    <x v="10"/>
    <s v="Q3-2026"/>
  </r>
  <r>
    <d v="2026-07-03T00:00:00"/>
    <x v="14"/>
    <s v="AXISBANK.NS"/>
    <n v="1371.941884852612"/>
    <n v="1371.941884852612"/>
    <n v="1337.3685740578369"/>
    <n v="1341.065673828125"/>
    <n v="3500465"/>
    <n v="-2.52"/>
    <n v="30.88"/>
    <x v="10"/>
    <s v="Q3-2026"/>
  </r>
  <r>
    <d v="2026-07-06T00:00:00"/>
    <x v="0"/>
    <s v="RELIANCE.NS"/>
    <n v="1304"/>
    <n v="1325.599975585938"/>
    <n v="1299.400024414062"/>
    <n v="1321.300048828125"/>
    <n v="7610709"/>
    <n v="-0.35"/>
    <n v="4.3"/>
    <x v="10"/>
    <s v="Q3-2026"/>
  </r>
  <r>
    <d v="2026-07-06T00:00:00"/>
    <x v="1"/>
    <s v="TCS.NS"/>
    <n v="2078.6031065753991"/>
    <n v="2081.5867473982339"/>
    <n v="2039.4180542258839"/>
    <n v="2046.3798828125"/>
    <n v="2567386"/>
    <n v="-1.89"/>
    <n v="35.21"/>
    <x v="10"/>
    <s v="Q3-2026"/>
  </r>
  <r>
    <d v="2026-07-06T00:00:00"/>
    <x v="2"/>
    <s v="INFY.NS"/>
    <n v="1050.099975585938"/>
    <n v="1053"/>
    <n v="1033"/>
    <n v="1042.199951171875"/>
    <n v="5559747"/>
    <n v="-1.63"/>
    <n v="10.8"/>
    <x v="10"/>
    <s v="Q3-2026"/>
  </r>
  <r>
    <d v="2026-07-06T00:00:00"/>
    <x v="3"/>
    <s v="HDFCBANK.NS"/>
    <n v="805"/>
    <n v="831.5"/>
    <n v="805"/>
    <n v="829.8499755859375"/>
    <n v="63203327"/>
    <n v="0"/>
    <n v="1.65"/>
    <x v="10"/>
    <s v="Q3-2026"/>
  </r>
  <r>
    <d v="2026-07-06T00:00:00"/>
    <x v="4"/>
    <s v="ICICIBANK.NS"/>
    <n v="1400.1956098660601"/>
    <n v="1419.631728682569"/>
    <n v="1399.7989296759681"/>
    <n v="1414.971069335938"/>
    <n v="12306949"/>
    <n v="-0.03"/>
    <n v="4.66"/>
    <x v="10"/>
    <s v="Q3-2026"/>
  </r>
  <r>
    <d v="2026-07-06T00:00:00"/>
    <x v="5"/>
    <s v="WIPRO.NS"/>
    <n v="174.09174456499281"/>
    <n v="174.3092615795336"/>
    <n v="171.61009237280979"/>
    <n v="172.35162353515619"/>
    <n v="8304046"/>
    <n v="-1.43"/>
    <n v="1.96"/>
    <x v="10"/>
    <s v="Q3-2026"/>
  </r>
  <r>
    <d v="2026-07-06T00:00:00"/>
    <x v="6"/>
    <s v="HCLTECH.NS"/>
    <n v="1133.4285739039881"/>
    <n v="1136.2992905292431"/>
    <n v="1114.6205888348391"/>
    <n v="1122.737670898438"/>
    <n v="2747815"/>
    <n v="-1.66"/>
    <n v="13.56"/>
    <x v="10"/>
    <s v="Q3-2026"/>
  </r>
  <r>
    <d v="2026-07-06T00:00:00"/>
    <x v="7"/>
    <s v="BAJFINANCE.NS"/>
    <n v="1040"/>
    <n v="1040.199951171875"/>
    <n v="1024.800048828125"/>
    <n v="1029.099975585938"/>
    <n v="4819952"/>
    <n v="-1.46"/>
    <n v="11.1"/>
    <x v="10"/>
    <s v="Q3-2026"/>
  </r>
  <r>
    <d v="2026-07-06T00:00:00"/>
    <x v="8"/>
    <s v="MARUTI.NS"/>
    <n v="14205.33557973333"/>
    <n v="14381.56569774229"/>
    <n v="14148.90233969675"/>
    <n v="14312.26171875"/>
    <n v="214686"/>
    <n v="-0.4"/>
    <n v="69.3"/>
    <x v="10"/>
    <s v="Q3-2026"/>
  </r>
  <r>
    <d v="2026-07-06T00:00:00"/>
    <x v="9"/>
    <s v="TMPV.NS"/>
    <n v="345.5"/>
    <n v="348.64999389648438"/>
    <n v="341.60000610351563"/>
    <n v="347.04998779296881"/>
    <n v="4980867"/>
    <n v="-1.1299999999999999"/>
    <n v="1.6"/>
    <x v="10"/>
    <s v="Q3-2026"/>
  </r>
  <r>
    <d v="2026-07-06T00:00:00"/>
    <x v="10"/>
    <s v="SUNPHARMA.NS"/>
    <n v="1899.0230030546929"/>
    <n v="1911.9890214579029"/>
    <n v="1895.033458930629"/>
    <n v="1907.800048828125"/>
    <n v="1213635"/>
    <n v="-0.21"/>
    <n v="4.1900000000000004"/>
    <x v="10"/>
    <s v="Q3-2026"/>
  </r>
  <r>
    <d v="2026-07-06T00:00:00"/>
    <x v="11"/>
    <s v="ASIANPAINT.NS"/>
    <n v="2724"/>
    <n v="2758"/>
    <n v="2722"/>
    <n v="2754.89990234375"/>
    <n v="504943"/>
    <n v="-7.0000000000000007E-2"/>
    <n v="3.1"/>
    <x v="10"/>
    <s v="Q3-2026"/>
  </r>
  <r>
    <d v="2026-07-06T00:00:00"/>
    <x v="12"/>
    <s v="HINDUNILVR.NS"/>
    <n v="2202.10009765625"/>
    <n v="2221.39990234375"/>
    <n v="2190.300048828125"/>
    <n v="2202"/>
    <n v="2131061"/>
    <n v="-0.54"/>
    <n v="19.399999999999999"/>
    <x v="10"/>
    <s v="Q3-2026"/>
  </r>
  <r>
    <d v="2026-07-06T00:00:00"/>
    <x v="13"/>
    <s v="LT.NS"/>
    <n v="4027.699951171875"/>
    <n v="4068"/>
    <n v="4016.5"/>
    <n v="4041"/>
    <n v="1252054"/>
    <n v="-0.28000000000000003"/>
    <n v="27"/>
    <x v="10"/>
    <s v="Q3-2026"/>
  </r>
  <r>
    <d v="2026-07-06T00:00:00"/>
    <x v="14"/>
    <s v="AXISBANK.NS"/>
    <n v="1354.655195262198"/>
    <n v="1369.9434532686021"/>
    <n v="1334.470810970254"/>
    <n v="1338.567626953125"/>
    <n v="5154081"/>
    <n v="-1.49"/>
    <n v="31.38"/>
    <x v="10"/>
    <s v="Q3-2026"/>
  </r>
  <r>
    <d v="2026-07-07T00:00:00"/>
    <x v="0"/>
    <s v="RELIANCE.NS"/>
    <n v="1323.5"/>
    <n v="1328"/>
    <n v="1304.099975585938"/>
    <n v="1308.400024414062"/>
    <n v="14335554"/>
    <n v="-1.47"/>
    <n v="19.600000000000001"/>
    <x v="10"/>
    <s v="Q3-2026"/>
  </r>
  <r>
    <d v="2026-07-07T00:00:00"/>
    <x v="1"/>
    <s v="TCS.NS"/>
    <n v="2038.8212111731859"/>
    <n v="2111.1247245880518"/>
    <n v="2037.8266642409069"/>
    <n v="2084.669921875"/>
    <n v="4769048"/>
    <n v="-0.05"/>
    <n v="26.45"/>
    <x v="10"/>
    <s v="Q3-2026"/>
  </r>
  <r>
    <d v="2026-07-07T00:00:00"/>
    <x v="2"/>
    <s v="INFY.NS"/>
    <n v="1040.599975585938"/>
    <n v="1087.5"/>
    <n v="1040.599975585938"/>
    <n v="1071.800048828125"/>
    <n v="18866296"/>
    <n v="0"/>
    <n v="15.7"/>
    <x v="10"/>
    <s v="Q3-2026"/>
  </r>
  <r>
    <d v="2026-07-07T00:00:00"/>
    <x v="3"/>
    <s v="HDFCBANK.NS"/>
    <n v="843"/>
    <n v="843"/>
    <n v="826.0999755859375"/>
    <n v="829.29998779296875"/>
    <n v="57611729"/>
    <n v="-2"/>
    <n v="13.7"/>
    <x v="10"/>
    <s v="Q3-2026"/>
  </r>
  <r>
    <d v="2026-07-07T00:00:00"/>
    <x v="4"/>
    <s v="ICICIBANK.NS"/>
    <n v="1419.631786933186"/>
    <n v="1421.020107130573"/>
    <n v="1398.2123873371311"/>
    <n v="1402.873046875"/>
    <n v="15664178"/>
    <n v="-1.51"/>
    <n v="18.149999999999999"/>
    <x v="10"/>
    <s v="Q3-2026"/>
  </r>
  <r>
    <d v="2026-07-07T00:00:00"/>
    <x v="5"/>
    <s v="WIPRO.NS"/>
    <n v="171.93635542159689"/>
    <n v="174.21038737132301"/>
    <n v="170.81912537882599"/>
    <n v="171.04652404785159"/>
    <n v="18837725"/>
    <n v="-0.65"/>
    <n v="3.16"/>
    <x v="10"/>
    <s v="Q3-2026"/>
  </r>
  <r>
    <d v="2026-07-07T00:00:00"/>
    <x v="6"/>
    <s v="HCLTECH.NS"/>
    <n v="1123.5296127626909"/>
    <n v="1163.125370040671"/>
    <n v="1122.539718830742"/>
    <n v="1156.39404296875"/>
    <n v="5179529"/>
    <n v="-0.09"/>
    <n v="6.73"/>
    <x v="10"/>
    <s v="Q3-2026"/>
  </r>
  <r>
    <d v="2026-07-07T00:00:00"/>
    <x v="7"/>
    <s v="BAJFINANCE.NS"/>
    <n v="1024"/>
    <n v="1052.900024414062"/>
    <n v="1024"/>
    <n v="1042.5"/>
    <n v="9101171"/>
    <n v="0"/>
    <n v="10.4"/>
    <x v="10"/>
    <s v="Q3-2026"/>
  </r>
  <r>
    <d v="2026-07-07T00:00:00"/>
    <x v="8"/>
    <s v="MARUTI.NS"/>
    <n v="14319.19202632487"/>
    <n v="14452.849699252611"/>
    <n v="14270.67924133628"/>
    <n v="14393.4462890625"/>
    <n v="524759"/>
    <n v="-0.34"/>
    <n v="59.4"/>
    <x v="10"/>
    <s v="Q3-2026"/>
  </r>
  <r>
    <d v="2026-07-07T00:00:00"/>
    <x v="9"/>
    <s v="TMPV.NS"/>
    <n v="348.79998779296881"/>
    <n v="348.79998779296881"/>
    <n v="341.70001220703119"/>
    <n v="342.29998779296881"/>
    <n v="7428187"/>
    <n v="-2.04"/>
    <n v="6.5"/>
    <x v="10"/>
    <s v="Q3-2026"/>
  </r>
  <r>
    <d v="2026-07-07T00:00:00"/>
    <x v="10"/>
    <s v="SUNPHARMA.NS"/>
    <n v="1900.599975585938"/>
    <n v="1924.900024414062"/>
    <n v="1898.599975585938"/>
    <n v="1903.400024414062"/>
    <n v="2060613"/>
    <n v="-0.11"/>
    <n v="21.5"/>
    <x v="10"/>
    <s v="Q3-2026"/>
  </r>
  <r>
    <d v="2026-07-07T00:00:00"/>
    <x v="11"/>
    <s v="ASIANPAINT.NS"/>
    <n v="2750"/>
    <n v="2751.800048828125"/>
    <n v="2726.39990234375"/>
    <n v="2731.39990234375"/>
    <n v="489066"/>
    <n v="-0.86"/>
    <n v="20.399999999999999"/>
    <x v="10"/>
    <s v="Q3-2026"/>
  </r>
  <r>
    <d v="2026-07-07T00:00:00"/>
    <x v="12"/>
    <s v="HINDUNILVR.NS"/>
    <n v="2200"/>
    <n v="2219.39990234375"/>
    <n v="2193.699951171875"/>
    <n v="2208.800048828125"/>
    <n v="2552492"/>
    <n v="-0.28999999999999998"/>
    <n v="10.6"/>
    <x v="10"/>
    <s v="Q3-2026"/>
  </r>
  <r>
    <d v="2026-07-07T00:00:00"/>
    <x v="13"/>
    <s v="LT.NS"/>
    <n v="4044.5"/>
    <n v="4046.300048828125"/>
    <n v="3975"/>
    <n v="3991.89990234375"/>
    <n v="2442514"/>
    <n v="-1.72"/>
    <n v="54.4"/>
    <x v="10"/>
    <s v="Q3-2026"/>
  </r>
  <r>
    <d v="2026-07-07T00:00:00"/>
    <x v="14"/>
    <s v="AXISBANK.NS"/>
    <n v="1345.762131730582"/>
    <n v="1355.8543237280389"/>
    <n v="1335.1702030839799"/>
    <n v="1339.966552734375"/>
    <n v="6198988"/>
    <n v="-0.79"/>
    <n v="15.89"/>
    <x v="10"/>
    <s v="Q3-2026"/>
  </r>
  <r>
    <d v="2026-07-08T00:00:00"/>
    <x v="0"/>
    <s v="RELIANCE.NS"/>
    <n v="1297"/>
    <n v="1302.300048828125"/>
    <n v="1271.599975585938"/>
    <n v="1275.900024414062"/>
    <n v="19960868"/>
    <n v="-1.96"/>
    <n v="26.4"/>
    <x v="10"/>
    <s v="Q3-2026"/>
  </r>
  <r>
    <d v="2026-07-08T00:00:00"/>
    <x v="1"/>
    <s v="TCS.NS"/>
    <n v="2082.5813599967719"/>
    <n v="2098.1956989000232"/>
    <n v="2037.627885410664"/>
    <n v="2046.280395507812"/>
    <n v="3666985"/>
    <n v="-2.16"/>
    <n v="51.92"/>
    <x v="10"/>
    <s v="Q3-2026"/>
  </r>
  <r>
    <d v="2026-07-08T00:00:00"/>
    <x v="2"/>
    <s v="INFY.NS"/>
    <n v="1071.900024414062"/>
    <n v="1079.699951171875"/>
    <n v="1064.400024414062"/>
    <n v="1069.300048828125"/>
    <n v="13022221"/>
    <n v="-0.7"/>
    <n v="10.4"/>
    <x v="10"/>
    <s v="Q3-2026"/>
  </r>
  <r>
    <d v="2026-07-08T00:00:00"/>
    <x v="3"/>
    <s v="HDFCBANK.NS"/>
    <n v="825.9000244140625"/>
    <n v="834.3499755859375"/>
    <n v="806.95001220703125"/>
    <n v="810.29998779296875"/>
    <n v="38754632"/>
    <n v="-2.29"/>
    <n v="24.05"/>
    <x v="10"/>
    <s v="Q3-2026"/>
  </r>
  <r>
    <d v="2026-07-08T00:00:00"/>
    <x v="4"/>
    <s v="ICICIBANK.NS"/>
    <n v="1398.5098849300491"/>
    <n v="1406.44300461528"/>
    <n v="1364.3974460735969"/>
    <n v="1369.05810546875"/>
    <n v="10573142"/>
    <n v="-2.44"/>
    <n v="37.380000000000003"/>
    <x v="10"/>
    <s v="Q3-2026"/>
  </r>
  <r>
    <d v="2026-07-08T00:00:00"/>
    <x v="5"/>
    <s v="WIPRO.NS"/>
    <n v="171.0465209307437"/>
    <n v="173.4194146084817"/>
    <n v="170.29510811964099"/>
    <n v="170.7696838378906"/>
    <n v="16482564"/>
    <n v="-0.44"/>
    <n v="2.65"/>
    <x v="10"/>
    <s v="Q3-2026"/>
  </r>
  <r>
    <d v="2026-07-08T00:00:00"/>
    <x v="6"/>
    <s v="HCLTECH.NS"/>
    <n v="1153.226427328151"/>
    <n v="1164.6102075120771"/>
    <n v="1130.1618504469229"/>
    <n v="1134.0224609375"/>
    <n v="3091794"/>
    <n v="-2"/>
    <n v="30.59"/>
    <x v="10"/>
    <s v="Q3-2026"/>
  </r>
  <r>
    <d v="2026-07-08T00:00:00"/>
    <x v="7"/>
    <s v="BAJFINANCE.NS"/>
    <n v="1025"/>
    <n v="1034.699951171875"/>
    <n v="1004.099975585938"/>
    <n v="1010.400024414062"/>
    <n v="8313859"/>
    <n v="-2.04"/>
    <n v="24.3"/>
    <x v="10"/>
    <s v="Q3-2026"/>
  </r>
  <r>
    <d v="2026-07-08T00:00:00"/>
    <x v="8"/>
    <s v="MARUTI.NS"/>
    <n v="14331.07198261717"/>
    <n v="14355.82340227627"/>
    <n v="13741.98819473066"/>
    <n v="13812.2822265625"/>
    <n v="481076"/>
    <n v="-4.1100000000000003"/>
    <n v="543.54"/>
    <x v="10"/>
    <s v="Q3-2026"/>
  </r>
  <r>
    <d v="2026-07-08T00:00:00"/>
    <x v="9"/>
    <s v="TMPV.NS"/>
    <n v="340.95001220703119"/>
    <n v="341.39999389648438"/>
    <n v="330.75"/>
    <n v="332.04998779296881"/>
    <n v="10789766"/>
    <n v="-2.99"/>
    <n v="9.35"/>
    <x v="10"/>
    <s v="Q3-2026"/>
  </r>
  <r>
    <d v="2026-07-08T00:00:00"/>
    <x v="10"/>
    <s v="SUNPHARMA.NS"/>
    <n v="1904"/>
    <n v="1929.5"/>
    <n v="1875.099975585938"/>
    <n v="1888.199951171875"/>
    <n v="2785926"/>
    <n v="-1.52"/>
    <n v="41.3"/>
    <x v="10"/>
    <s v="Q3-2026"/>
  </r>
  <r>
    <d v="2026-07-08T00:00:00"/>
    <x v="11"/>
    <s v="ASIANPAINT.NS"/>
    <n v="2676.60009765625"/>
    <n v="2713.10009765625"/>
    <n v="2653.300048828125"/>
    <n v="2665.89990234375"/>
    <n v="1481672"/>
    <n v="-0.87"/>
    <n v="47.2"/>
    <x v="10"/>
    <s v="Q3-2026"/>
  </r>
  <r>
    <d v="2026-07-08T00:00:00"/>
    <x v="12"/>
    <s v="HINDUNILVR.NS"/>
    <n v="2199"/>
    <n v="2199"/>
    <n v="2130"/>
    <n v="2135.800048828125"/>
    <n v="1326689"/>
    <n v="-3.14"/>
    <n v="63.2"/>
    <x v="10"/>
    <s v="Q3-2026"/>
  </r>
  <r>
    <d v="2026-07-08T00:00:00"/>
    <x v="13"/>
    <s v="LT.NS"/>
    <n v="3950"/>
    <n v="3988"/>
    <n v="3871"/>
    <n v="3892.10009765625"/>
    <n v="2252308"/>
    <n v="-2"/>
    <n v="95.9"/>
    <x v="10"/>
    <s v="Q3-2026"/>
  </r>
  <r>
    <d v="2026-07-08T00:00:00"/>
    <x v="14"/>
    <s v="AXISBANK.NS"/>
    <n v="1342.964257588774"/>
    <n v="1342.964257588774"/>
    <n v="1302.9950832557749"/>
    <n v="1308.490844726562"/>
    <n v="6917968"/>
    <n v="-2.98"/>
    <n v="34.47"/>
    <x v="10"/>
    <s v="Q3-2026"/>
  </r>
  <r>
    <d v="2026-07-09T00:00:00"/>
    <x v="0"/>
    <s v="RELIANCE.NS"/>
    <n v="1277.099975585938"/>
    <n v="1296.5"/>
    <n v="1274.199951171875"/>
    <n v="1279.800048828125"/>
    <n v="14651963"/>
    <n v="-0.23"/>
    <n v="16.7"/>
    <x v="10"/>
    <s v="Q3-2026"/>
  </r>
  <r>
    <d v="2026-07-09T00:00:00"/>
    <x v="1"/>
    <s v="TCS.NS"/>
    <n v="2046.280350211656"/>
    <n v="2053.7394523387939"/>
    <n v="2005.006651774823"/>
    <n v="2038.323974609375"/>
    <n v="3791498"/>
    <n v="-2.02"/>
    <n v="15.42"/>
    <x v="10"/>
    <s v="Q3-2026"/>
  </r>
  <r>
    <d v="2026-07-09T00:00:00"/>
    <x v="2"/>
    <s v="INFY.NS"/>
    <n v="1062.699951171875"/>
    <n v="1062.699951171875"/>
    <n v="1040.400024414062"/>
    <n v="1050.800048828125"/>
    <n v="9003333"/>
    <n v="-2.1"/>
    <n v="11.9"/>
    <x v="10"/>
    <s v="Q3-2026"/>
  </r>
  <r>
    <d v="2026-07-09T00:00:00"/>
    <x v="3"/>
    <s v="HDFCBANK.NS"/>
    <n v="813"/>
    <n v="822.8499755859375"/>
    <n v="812.29998779296875"/>
    <n v="817.54998779296875"/>
    <n v="39891798"/>
    <n v="-0.09"/>
    <n v="5.3"/>
    <x v="10"/>
    <s v="Q3-2026"/>
  </r>
  <r>
    <d v="2026-07-09T00:00:00"/>
    <x v="4"/>
    <s v="ICICIBANK.NS"/>
    <n v="1371.3389070760329"/>
    <n v="1391.8658055614051"/>
    <n v="1365.7857475821461"/>
    <n v="1369.1572265625"/>
    <n v="13948838"/>
    <n v="-0.4"/>
    <n v="22.71"/>
    <x v="10"/>
    <s v="Q3-2026"/>
  </r>
  <r>
    <d v="2026-07-09T00:00:00"/>
    <x v="5"/>
    <s v="WIPRO.NS"/>
    <n v="171.0465147541525"/>
    <n v="172.32194166542001"/>
    <n v="169.71175267956761"/>
    <n v="170.80921936035159"/>
    <n v="10270117"/>
    <n v="-0.78"/>
    <n v="1.51"/>
    <x v="10"/>
    <s v="Q3-2026"/>
  </r>
  <r>
    <d v="2026-07-09T00:00:00"/>
    <x v="6"/>
    <s v="HCLTECH.NS"/>
    <n v="1132.5375461008241"/>
    <n v="1150.157705221932"/>
    <n v="1109.6710220003511"/>
    <n v="1138.77392578125"/>
    <n v="2033525"/>
    <n v="-2.02"/>
    <n v="11.38"/>
    <x v="10"/>
    <s v="Q3-2026"/>
  </r>
  <r>
    <d v="2026-07-09T00:00:00"/>
    <x v="7"/>
    <s v="BAJFINANCE.NS"/>
    <n v="1000"/>
    <n v="1013.5"/>
    <n v="994.0999755859375"/>
    <n v="1003.799987792969"/>
    <n v="11712515"/>
    <n v="-0.59"/>
    <n v="9.6999999999999993"/>
    <x v="10"/>
    <s v="Q3-2026"/>
  </r>
  <r>
    <d v="2026-07-09T00:00:00"/>
    <x v="8"/>
    <s v="MARUTI.NS"/>
    <n v="13860.79545454546"/>
    <n v="13897.42755681818"/>
    <n v="13563.77840909091"/>
    <n v="13591.5"/>
    <n v="576451"/>
    <n v="-2.14"/>
    <n v="305.93"/>
    <x v="10"/>
    <s v="Q3-2026"/>
  </r>
  <r>
    <d v="2026-07-09T00:00:00"/>
    <x v="9"/>
    <s v="TMPV.NS"/>
    <n v="332.89999389648438"/>
    <n v="334.60000610351563"/>
    <n v="330"/>
    <n v="331.5"/>
    <n v="11549474"/>
    <n v="-0.87"/>
    <n v="3.1"/>
    <x v="10"/>
    <s v="Q3-2026"/>
  </r>
  <r>
    <d v="2026-07-09T00:00:00"/>
    <x v="10"/>
    <s v="SUNPHARMA.NS"/>
    <n v="1889.900024414062"/>
    <n v="1952"/>
    <n v="1888.199951171875"/>
    <n v="1938.699951171875"/>
    <n v="4446201"/>
    <n v="-0.09"/>
    <n v="13.3"/>
    <x v="10"/>
    <s v="Q3-2026"/>
  </r>
  <r>
    <d v="2026-07-09T00:00:00"/>
    <x v="11"/>
    <s v="ASIANPAINT.NS"/>
    <n v="2658"/>
    <n v="2722.800048828125"/>
    <n v="2656"/>
    <n v="2673.800048828125"/>
    <n v="918568"/>
    <n v="-0.08"/>
    <n v="49"/>
    <x v="10"/>
    <s v="Q3-2026"/>
  </r>
  <r>
    <d v="2026-07-09T00:00:00"/>
    <x v="12"/>
    <s v="HINDUNILVR.NS"/>
    <n v="2139"/>
    <n v="2166.800048828125"/>
    <n v="2137.10009765625"/>
    <n v="2144.5"/>
    <n v="2201039"/>
    <n v="-0.09"/>
    <n v="22.3"/>
    <x v="10"/>
    <s v="Q3-2026"/>
  </r>
  <r>
    <d v="2026-07-09T00:00:00"/>
    <x v="13"/>
    <s v="LT.NS"/>
    <n v="3916"/>
    <n v="3947.300048828125"/>
    <n v="3867.800048828125"/>
    <n v="3886"/>
    <n v="5117653"/>
    <n v="-1.23"/>
    <n v="61.3"/>
    <x v="10"/>
    <s v="Q3-2026"/>
  </r>
  <r>
    <d v="2026-07-09T00:00:00"/>
    <x v="14"/>
    <s v="AXISBANK.NS"/>
    <n v="1311.8882333774441"/>
    <n v="1320.5814799012489"/>
    <n v="1291.2041127197449"/>
    <n v="1296.599975585938"/>
    <n v="5609851"/>
    <n v="-1.58"/>
    <n v="23.98"/>
    <x v="10"/>
    <s v="Q3-2026"/>
  </r>
  <r>
    <d v="2026-07-10T00:00:00"/>
    <x v="0"/>
    <s v="RELIANCE.NS"/>
    <n v="1291.900024414062"/>
    <n v="1311.099975585938"/>
    <n v="1287.800048828125"/>
    <n v="1307.800048828125"/>
    <n v="8412537"/>
    <n v="-0.32"/>
    <n v="3.3"/>
    <x v="10"/>
    <s v="Q3-2026"/>
  </r>
  <r>
    <d v="2026-07-10T00:00:00"/>
    <x v="1"/>
    <s v="TCS.NS"/>
    <n v="2093.7200783959852"/>
    <n v="2121.6669433173088"/>
    <n v="2053.341620075063"/>
    <n v="2057.717529296875"/>
    <n v="6714551"/>
    <n v="-1.93"/>
    <n v="63.95"/>
    <x v="10"/>
    <s v="Q3-2026"/>
  </r>
  <r>
    <d v="2026-07-10T00:00:00"/>
    <x v="2"/>
    <s v="INFY.NS"/>
    <n v="1075"/>
    <n v="1091.300048828125"/>
    <n v="1064.699951171875"/>
    <n v="1068"/>
    <n v="9747266"/>
    <n v="-0.96"/>
    <n v="23.3"/>
    <x v="10"/>
    <s v="Q3-2026"/>
  </r>
  <r>
    <d v="2026-07-10T00:00:00"/>
    <x v="3"/>
    <s v="HDFCBANK.NS"/>
    <n v="824"/>
    <n v="827.70001220703125"/>
    <n v="820.29998779296875"/>
    <n v="824.95001220703125"/>
    <n v="23595785"/>
    <n v="-0.45"/>
    <n v="2.75"/>
    <x v="10"/>
    <s v="Q3-2026"/>
  </r>
  <r>
    <d v="2026-07-10T00:00:00"/>
    <x v="4"/>
    <s v="ICICIBANK.NS"/>
    <n v="1378.0819804981661"/>
    <n v="1396.4273194454099"/>
    <n v="1377.9828407138159"/>
    <n v="1389.48583984375"/>
    <n v="6409645"/>
    <n v="-0.01"/>
    <n v="6.94"/>
    <x v="10"/>
    <s v="Q3-2026"/>
  </r>
  <r>
    <d v="2026-07-10T00:00:00"/>
    <x v="5"/>
    <s v="WIPRO.NS"/>
    <n v="173.25133076236909"/>
    <n v="175.2188654785781"/>
    <n v="173.0239321043918"/>
    <n v="173.47874450683591"/>
    <n v="16249590"/>
    <n v="-0.13"/>
    <n v="1.74"/>
    <x v="10"/>
    <s v="Q3-2026"/>
  </r>
  <r>
    <d v="2026-07-10T00:00:00"/>
    <x v="6"/>
    <s v="HCLTECH.NS"/>
    <n v="1161.145528976783"/>
    <n v="1179.4585658788039"/>
    <n v="1141.8425981881669"/>
    <n v="1152.33544921875"/>
    <n v="3979475"/>
    <n v="-1.66"/>
    <n v="27.12"/>
    <x v="10"/>
    <s v="Q3-2026"/>
  </r>
  <r>
    <d v="2026-07-10T00:00:00"/>
    <x v="7"/>
    <s v="BAJFINANCE.NS"/>
    <n v="1010.099975585938"/>
    <n v="1023.900024414062"/>
    <n v="1004.200012207031"/>
    <n v="1020.5"/>
    <n v="7039305"/>
    <n v="-0.57999999999999996"/>
    <n v="3.4"/>
    <x v="10"/>
    <s v="Q3-2026"/>
  </r>
  <r>
    <d v="2026-07-10T00:00:00"/>
    <x v="8"/>
    <s v="MARUTI.NS"/>
    <n v="13662.784002476719"/>
    <n v="13847.9246262784"/>
    <n v="13639.022638994151"/>
    <n v="13716.2470703125"/>
    <n v="430154"/>
    <n v="-0.17"/>
    <n v="131.68"/>
    <x v="10"/>
    <s v="Q3-2026"/>
  </r>
  <r>
    <d v="2026-07-10T00:00:00"/>
    <x v="9"/>
    <s v="TMPV.NS"/>
    <n v="334.54998779296881"/>
    <n v="340.25"/>
    <n v="333.64999389648438"/>
    <n v="337.95001220703119"/>
    <n v="19331002"/>
    <n v="-0.27"/>
    <n v="2.2999999999999998"/>
    <x v="10"/>
    <s v="Q3-2026"/>
  </r>
  <r>
    <d v="2026-07-10T00:00:00"/>
    <x v="10"/>
    <s v="SUNPHARMA.NS"/>
    <n v="1942.800048828125"/>
    <n v="1953.900024414062"/>
    <n v="1926.599975585938"/>
    <n v="1935.5"/>
    <n v="1478172"/>
    <n v="-0.83"/>
    <n v="18.399999999999999"/>
    <x v="10"/>
    <s v="Q3-2026"/>
  </r>
  <r>
    <d v="2026-07-10T00:00:00"/>
    <x v="11"/>
    <s v="ASIANPAINT.NS"/>
    <n v="2695"/>
    <n v="2728.199951171875"/>
    <n v="2672.89990234375"/>
    <n v="2677.800048828125"/>
    <n v="982095"/>
    <n v="-0.82"/>
    <n v="50.4"/>
    <x v="10"/>
    <s v="Q3-2026"/>
  </r>
  <r>
    <d v="2026-07-10T00:00:00"/>
    <x v="12"/>
    <s v="HINDUNILVR.NS"/>
    <n v="2151.5"/>
    <n v="2178"/>
    <n v="2145"/>
    <n v="2150.60009765625"/>
    <n v="1665179"/>
    <n v="-0.3"/>
    <n v="27.4"/>
    <x v="10"/>
    <s v="Q3-2026"/>
  </r>
  <r>
    <d v="2026-07-10T00:00:00"/>
    <x v="13"/>
    <s v="LT.NS"/>
    <n v="3905"/>
    <n v="3953.800048828125"/>
    <n v="3905"/>
    <n v="3945.800048828125"/>
    <n v="1283990"/>
    <n v="0"/>
    <n v="8"/>
    <x v="10"/>
    <s v="Q3-2026"/>
  </r>
  <r>
    <d v="2026-07-10T00:00:00"/>
    <x v="14"/>
    <s v="AXISBANK.NS"/>
    <n v="1304"/>
    <n v="1326.599975585938"/>
    <n v="1303.900024414062"/>
    <n v="1323.699951171875"/>
    <n v="3549139"/>
    <n v="-0.01"/>
    <n v="2.9"/>
    <x v="10"/>
    <s v="Q3-2026"/>
  </r>
  <r>
    <d v="2026-07-13T00:00:00"/>
    <x v="0"/>
    <s v="RELIANCE.NS"/>
    <n v="1300"/>
    <n v="1306.400024414062"/>
    <n v="1295"/>
    <n v="1296.900024414062"/>
    <n v="9488352"/>
    <n v="-0.38"/>
    <n v="9.5"/>
    <x v="10"/>
    <s v="Q3-2026"/>
  </r>
  <r>
    <d v="2026-07-13T00:00:00"/>
    <x v="1"/>
    <s v="TCS.NS"/>
    <n v="2063.6849941312239"/>
    <n v="2192.876550375036"/>
    <n v="2053.839076102231"/>
    <n v="2169.604248046875"/>
    <n v="12382622"/>
    <n v="-0.48"/>
    <n v="23.27"/>
    <x v="10"/>
    <s v="Q3-2026"/>
  </r>
  <r>
    <d v="2026-07-13T00:00:00"/>
    <x v="2"/>
    <s v="INFY.NS"/>
    <n v="1057.099975585938"/>
    <n v="1114.900024414062"/>
    <n v="1057.099975585938"/>
    <n v="1102.599975585938"/>
    <n v="20994760"/>
    <n v="0"/>
    <n v="12.3"/>
    <x v="10"/>
    <s v="Q3-2026"/>
  </r>
  <r>
    <d v="2026-07-13T00:00:00"/>
    <x v="3"/>
    <s v="HDFCBANK.NS"/>
    <n v="817"/>
    <n v="821.95001220703125"/>
    <n v="811"/>
    <n v="817.95001220703125"/>
    <n v="21741736"/>
    <n v="-0.73"/>
    <n v="4"/>
    <x v="10"/>
    <s v="Q3-2026"/>
  </r>
  <r>
    <d v="2026-07-13T00:00:00"/>
    <x v="4"/>
    <s v="ICICIBANK.NS"/>
    <n v="1381.8503130438819"/>
    <n v="1401.1872926666699"/>
    <n v="1374.7105536030811"/>
    <n v="1397.716552734375"/>
    <n v="10091437"/>
    <n v="-0.52"/>
    <n v="3.47"/>
    <x v="10"/>
    <s v="Q3-2026"/>
  </r>
  <r>
    <d v="2026-07-13T00:00:00"/>
    <x v="5"/>
    <s v="WIPRO.NS"/>
    <n v="172.62845263285121"/>
    <n v="177.9180322940197"/>
    <n v="172.39115724075509"/>
    <n v="176.4151916503906"/>
    <n v="22417855"/>
    <n v="-0.14000000000000001"/>
    <n v="1.5"/>
    <x v="10"/>
    <s v="Q3-2026"/>
  </r>
  <r>
    <d v="2026-07-13T00:00:00"/>
    <x v="6"/>
    <s v="HCLTECH.NS"/>
    <n v="1150.2567271120649"/>
    <n v="1224.498770600366"/>
    <n v="1150.2567271120649"/>
    <n v="1208.8583984375"/>
    <n v="9028077"/>
    <n v="0"/>
    <n v="15.64"/>
    <x v="10"/>
    <s v="Q3-2026"/>
  </r>
  <r>
    <d v="2026-07-13T00:00:00"/>
    <x v="7"/>
    <s v="BAJFINANCE.NS"/>
    <n v="1014"/>
    <n v="1028"/>
    <n v="1003.700012207031"/>
    <n v="1022.599975585938"/>
    <n v="4874070"/>
    <n v="-1.02"/>
    <n v="5.4"/>
    <x v="10"/>
    <s v="Q3-2026"/>
  </r>
  <r>
    <d v="2026-07-13T00:00:00"/>
    <x v="8"/>
    <s v="MARUTI.NS"/>
    <n v="13545.95738636364"/>
    <n v="13703.37642045455"/>
    <n v="13401.40909090909"/>
    <n v="13558.828125"/>
    <n v="458633"/>
    <n v="-1.07"/>
    <n v="144.55000000000001"/>
    <x v="10"/>
    <s v="Q3-2026"/>
  </r>
  <r>
    <d v="2026-07-13T00:00:00"/>
    <x v="9"/>
    <s v="TMPV.NS"/>
    <n v="339.35000610351563"/>
    <n v="344"/>
    <n v="334.39999389648438"/>
    <n v="342.25"/>
    <n v="8402444"/>
    <n v="-1.46"/>
    <n v="1.75"/>
    <x v="10"/>
    <s v="Q3-2026"/>
  </r>
  <r>
    <d v="2026-07-13T00:00:00"/>
    <x v="10"/>
    <s v="SUNPHARMA.NS"/>
    <n v="1925.900024414062"/>
    <n v="1933.099975585938"/>
    <n v="1911"/>
    <n v="1921.400024414062"/>
    <n v="1573176"/>
    <n v="-0.77"/>
    <n v="11.7"/>
    <x v="10"/>
    <s v="Q3-2026"/>
  </r>
  <r>
    <d v="2026-07-13T00:00:00"/>
    <x v="11"/>
    <s v="ASIANPAINT.NS"/>
    <n v="2650.5"/>
    <n v="2664.39990234375"/>
    <n v="2630.10009765625"/>
    <n v="2652.10009765625"/>
    <n v="1107802"/>
    <n v="-0.77"/>
    <n v="12.3"/>
    <x v="10"/>
    <s v="Q3-2026"/>
  </r>
  <r>
    <d v="2026-07-13T00:00:00"/>
    <x v="12"/>
    <s v="HINDUNILVR.NS"/>
    <n v="2143"/>
    <n v="2143"/>
    <n v="2120"/>
    <n v="2130.60009765625"/>
    <n v="1833988"/>
    <n v="-1.07"/>
    <n v="12.4"/>
    <x v="10"/>
    <s v="Q3-2026"/>
  </r>
  <r>
    <d v="2026-07-13T00:00:00"/>
    <x v="13"/>
    <s v="LT.NS"/>
    <n v="3895"/>
    <n v="3939"/>
    <n v="3875.60009765625"/>
    <n v="3928.5"/>
    <n v="1744547"/>
    <n v="-0.5"/>
    <n v="10.5"/>
    <x v="10"/>
    <s v="Q3-2026"/>
  </r>
  <r>
    <d v="2026-07-13T00:00:00"/>
    <x v="14"/>
    <s v="AXISBANK.NS"/>
    <n v="1315.900024414062"/>
    <n v="1329.900024414062"/>
    <n v="1313.5"/>
    <n v="1319.400024414062"/>
    <n v="3674483"/>
    <n v="-0.18"/>
    <n v="10.5"/>
    <x v="10"/>
    <s v="Q3-2026"/>
  </r>
  <r>
    <d v="2026-07-14T00:00:00"/>
    <x v="0"/>
    <s v="RELIANCE.NS"/>
    <n v="1290"/>
    <n v="1308"/>
    <n v="1286.900024414062"/>
    <n v="1293"/>
    <n v="13511284"/>
    <n v="-0.24"/>
    <n v="15"/>
    <x v="10"/>
    <s v="Q3-2026"/>
  </r>
  <r>
    <d v="2026-07-14T00:00:00"/>
    <x v="1"/>
    <s v="TCS.NS"/>
    <n v="2170.996422535663"/>
    <n v="2215.850586742918"/>
    <n v="2167.1177865856462"/>
    <n v="2188.60009765625"/>
    <n v="9546290"/>
    <n v="-0.18"/>
    <n v="27.25"/>
    <x v="10"/>
    <s v="Q3-2026"/>
  </r>
  <r>
    <d v="2026-07-14T00:00:00"/>
    <x v="2"/>
    <s v="INFY.NS"/>
    <n v="1107.800048828125"/>
    <n v="1113.5"/>
    <n v="1090"/>
    <n v="1092.900024414062"/>
    <n v="14819413"/>
    <n v="-1.61"/>
    <n v="20.6"/>
    <x v="10"/>
    <s v="Q3-2026"/>
  </r>
  <r>
    <d v="2026-07-14T00:00:00"/>
    <x v="3"/>
    <s v="HDFCBANK.NS"/>
    <n v="811.4000244140625"/>
    <n v="818.4000244140625"/>
    <n v="807"/>
    <n v="809.4000244140625"/>
    <n v="25605395"/>
    <n v="-0.54"/>
    <n v="9"/>
    <x v="10"/>
    <s v="Q3-2026"/>
  </r>
  <r>
    <d v="2026-07-14T00:00:00"/>
    <x v="4"/>
    <s v="ICICIBANK.NS"/>
    <n v="1388.2959393084111"/>
    <n v="1399.9973392167869"/>
    <n v="1380.3628196552199"/>
    <n v="1395.931518554688"/>
    <n v="14133017"/>
    <n v="-0.56999999999999995"/>
    <n v="4.07"/>
    <x v="10"/>
    <s v="Q3-2026"/>
  </r>
  <r>
    <d v="2026-07-14T00:00:00"/>
    <x v="5"/>
    <s v="WIPRO.NS"/>
    <n v="176.48441426759661"/>
    <n v="178.46183067395631"/>
    <n v="174.7146332219603"/>
    <n v="175.1397705078125"/>
    <n v="14461463"/>
    <n v="-1"/>
    <n v="3.32"/>
    <x v="10"/>
    <s v="Q3-2026"/>
  </r>
  <r>
    <d v="2026-07-14T00:00:00"/>
    <x v="6"/>
    <s v="HCLTECH.NS"/>
    <n v="1187.8726953172161"/>
    <n v="1196.88070575604"/>
    <n v="1152.2365144577"/>
    <n v="1154.9091796875"/>
    <n v="9754723"/>
    <n v="-3"/>
    <n v="41.97"/>
    <x v="10"/>
    <s v="Q3-2026"/>
  </r>
  <r>
    <d v="2026-07-14T00:00:00"/>
    <x v="7"/>
    <s v="BAJFINANCE.NS"/>
    <n v="1007"/>
    <n v="1022"/>
    <n v="995.20001220703125"/>
    <n v="1006.599975585938"/>
    <n v="6458393"/>
    <n v="-1.17"/>
    <n v="15.4"/>
    <x v="10"/>
    <s v="Q3-2026"/>
  </r>
  <r>
    <d v="2026-07-14T00:00:00"/>
    <x v="8"/>
    <s v="MARUTI.NS"/>
    <n v="13483.583358648129"/>
    <n v="13553.8773904026"/>
    <n v="13336.064897642291"/>
    <n v="13354.8759765625"/>
    <n v="368645"/>
    <n v="-1.0900000000000001"/>
    <n v="199"/>
    <x v="10"/>
    <s v="Q3-2026"/>
  </r>
  <r>
    <d v="2026-07-14T00:00:00"/>
    <x v="9"/>
    <s v="TMPV.NS"/>
    <n v="340.04998779296881"/>
    <n v="340.75"/>
    <n v="332.54998779296881"/>
    <n v="333.35000610351563"/>
    <n v="8043834"/>
    <n v="-2.21"/>
    <n v="7.4"/>
    <x v="10"/>
    <s v="Q3-2026"/>
  </r>
  <r>
    <d v="2026-07-14T00:00:00"/>
    <x v="10"/>
    <s v="SUNPHARMA.NS"/>
    <n v="1910"/>
    <n v="1950.800048828125"/>
    <n v="1910"/>
    <n v="1942.599975585938"/>
    <n v="2822124"/>
    <n v="0"/>
    <n v="8.1999999999999993"/>
    <x v="10"/>
    <s v="Q3-2026"/>
  </r>
  <r>
    <d v="2026-07-14T00:00:00"/>
    <x v="11"/>
    <s v="ASIANPAINT.NS"/>
    <n v="2604"/>
    <n v="2655.89990234375"/>
    <n v="2579.89990234375"/>
    <n v="2641"/>
    <n v="975301"/>
    <n v="-0.93"/>
    <n v="14.9"/>
    <x v="10"/>
    <s v="Q3-2026"/>
  </r>
  <r>
    <d v="2026-07-14T00:00:00"/>
    <x v="12"/>
    <s v="HINDUNILVR.NS"/>
    <n v="2125"/>
    <n v="2145"/>
    <n v="2116.10009765625"/>
    <n v="2120.199951171875"/>
    <n v="2681897"/>
    <n v="-0.42"/>
    <n v="24.8"/>
    <x v="10"/>
    <s v="Q3-2026"/>
  </r>
  <r>
    <d v="2026-07-14T00:00:00"/>
    <x v="13"/>
    <s v="LT.NS"/>
    <n v="3892"/>
    <n v="3897.89990234375"/>
    <n v="3843"/>
    <n v="3848.699951171875"/>
    <n v="2409089"/>
    <n v="-1.26"/>
    <n v="49.2"/>
    <x v="10"/>
    <s v="Q3-2026"/>
  </r>
  <r>
    <d v="2026-07-14T00:00:00"/>
    <x v="14"/>
    <s v="AXISBANK.NS"/>
    <n v="1320.099975585938"/>
    <n v="1323.699951171875"/>
    <n v="1298.599975585938"/>
    <n v="1317.599975585938"/>
    <n v="6005505"/>
    <n v="-1.63"/>
    <n v="6.1"/>
    <x v="10"/>
    <s v="Q3-2026"/>
  </r>
  <r>
    <d v="2026-07-15T00:00:00"/>
    <x v="0"/>
    <s v="RELIANCE.NS"/>
    <n v="1294.099975585938"/>
    <n v="1310.900024414062"/>
    <n v="1294.099975585938"/>
    <n v="1295.5"/>
    <n v="9577965"/>
    <n v="0"/>
    <n v="15.4"/>
    <x v="10"/>
    <s v="Q3-2026"/>
  </r>
  <r>
    <d v="2026-07-15T00:00:00"/>
    <x v="1"/>
    <s v="TCS.NS"/>
    <n v="2174.10009765625"/>
    <n v="2202.89990234375"/>
    <n v="2145.39990234375"/>
    <n v="2189.199951171875"/>
    <n v="5426489"/>
    <n v="-1.32"/>
    <n v="13.7"/>
    <x v="10"/>
    <s v="Q3-2026"/>
  </r>
  <r>
    <d v="2026-07-15T00:00:00"/>
    <x v="2"/>
    <s v="INFY.NS"/>
    <n v="1079"/>
    <n v="1088.099975585938"/>
    <n v="1073"/>
    <n v="1076.300048828125"/>
    <n v="8501933"/>
    <n v="-0.56000000000000005"/>
    <n v="11.8"/>
    <x v="10"/>
    <s v="Q3-2026"/>
  </r>
  <r>
    <d v="2026-07-15T00:00:00"/>
    <x v="3"/>
    <s v="HDFCBANK.NS"/>
    <n v="811"/>
    <n v="819.70001220703125"/>
    <n v="809.70001220703125"/>
    <n v="815.45001220703125"/>
    <n v="21488739"/>
    <n v="-0.16"/>
    <n v="4.25"/>
    <x v="10"/>
    <s v="Q3-2026"/>
  </r>
  <r>
    <d v="2026-07-15T00:00:00"/>
    <x v="4"/>
    <s v="ICICIBANK.NS"/>
    <n v="1401.0881343697581"/>
    <n v="1416.061873669893"/>
    <n v="1397.4189938599211"/>
    <n v="1404.360473632812"/>
    <n v="12961648"/>
    <n v="-0.26"/>
    <n v="11.7"/>
    <x v="10"/>
    <s v="Q3-2026"/>
  </r>
  <r>
    <d v="2026-07-15T00:00:00"/>
    <x v="5"/>
    <s v="WIPRO.NS"/>
    <n v="173.1425810395998"/>
    <n v="174.6058800875945"/>
    <n v="172.51970511124799"/>
    <n v="172.6778869628906"/>
    <n v="10398720"/>
    <n v="-0.36"/>
    <n v="1.93"/>
    <x v="10"/>
    <s v="Q3-2026"/>
  </r>
  <r>
    <d v="2026-07-15T00:00:00"/>
    <x v="6"/>
    <s v="HCLTECH.NS"/>
    <n v="1145.307212307029"/>
    <n v="1169.65857744199"/>
    <n v="1132.9335388810671"/>
    <n v="1156.196044921875"/>
    <n v="3253196"/>
    <n v="-1.08"/>
    <n v="13.46"/>
    <x v="10"/>
    <s v="Q3-2026"/>
  </r>
  <r>
    <d v="2026-07-15T00:00:00"/>
    <x v="7"/>
    <s v="BAJFINANCE.NS"/>
    <n v="1006.599975585938"/>
    <n v="1037.300048828125"/>
    <n v="1006.599975585938"/>
    <n v="1021.299987792969"/>
    <n v="5538356"/>
    <n v="0"/>
    <n v="16"/>
    <x v="10"/>
    <s v="Q3-2026"/>
  </r>
  <r>
    <d v="2026-07-15T00:00:00"/>
    <x v="8"/>
    <s v="MARUTI.NS"/>
    <n v="13368.73686288697"/>
    <n v="13470.71271246687"/>
    <n v="13301.413001028401"/>
    <n v="13447.94140625"/>
    <n v="456369"/>
    <n v="-0.5"/>
    <n v="22.77"/>
    <x v="10"/>
    <s v="Q3-2026"/>
  </r>
  <r>
    <d v="2026-07-15T00:00:00"/>
    <x v="9"/>
    <s v="TMPV.NS"/>
    <n v="335"/>
    <n v="335.10000610351563"/>
    <n v="330.79998779296881"/>
    <n v="333"/>
    <n v="7144390"/>
    <n v="-1.25"/>
    <n v="2.1"/>
    <x v="10"/>
    <s v="Q3-2026"/>
  </r>
  <r>
    <d v="2026-07-15T00:00:00"/>
    <x v="10"/>
    <s v="SUNPHARMA.NS"/>
    <n v="1955"/>
    <n v="1962.699951171875"/>
    <n v="1943.300048828125"/>
    <n v="1951.5"/>
    <n v="2283494"/>
    <n v="-0.6"/>
    <n v="11.2"/>
    <x v="10"/>
    <s v="Q3-2026"/>
  </r>
  <r>
    <d v="2026-07-15T00:00:00"/>
    <x v="11"/>
    <s v="ASIANPAINT.NS"/>
    <n v="2644.89990234375"/>
    <n v="2684"/>
    <n v="2644.89990234375"/>
    <n v="2670"/>
    <n v="809114"/>
    <n v="0"/>
    <n v="14"/>
    <x v="10"/>
    <s v="Q3-2026"/>
  </r>
  <r>
    <d v="2026-07-15T00:00:00"/>
    <x v="12"/>
    <s v="HINDUNILVR.NS"/>
    <n v="2121"/>
    <n v="2128.5"/>
    <n v="2091"/>
    <n v="2102.60009765625"/>
    <n v="2029614"/>
    <n v="-1.41"/>
    <n v="25.9"/>
    <x v="10"/>
    <s v="Q3-2026"/>
  </r>
  <r>
    <d v="2026-07-15T00:00:00"/>
    <x v="13"/>
    <s v="LT.NS"/>
    <n v="3868"/>
    <n v="3868"/>
    <n v="3778.60009765625"/>
    <n v="3783.89990234375"/>
    <n v="3602201"/>
    <n v="-2.31"/>
    <n v="84.1"/>
    <x v="10"/>
    <s v="Q3-2026"/>
  </r>
  <r>
    <d v="2026-07-15T00:00:00"/>
    <x v="14"/>
    <s v="AXISBANK.NS"/>
    <n v="1328"/>
    <n v="1348"/>
    <n v="1303.300048828125"/>
    <n v="1312.300048828125"/>
    <n v="9442403"/>
    <n v="-1.86"/>
    <n v="35.700000000000003"/>
    <x v="10"/>
    <s v="Q3-2026"/>
  </r>
  <r>
    <d v="2026-07-16T00:00:00"/>
    <x v="0"/>
    <s v="RELIANCE.NS"/>
    <n v="1295.5"/>
    <n v="1309.400024414062"/>
    <n v="1291.800048828125"/>
    <n v="1296.599975585938"/>
    <n v="15631046"/>
    <n v="-0.28999999999999998"/>
    <n v="12.8"/>
    <x v="10"/>
    <s v="Q3-2026"/>
  </r>
  <r>
    <d v="2026-07-16T00:00:00"/>
    <x v="1"/>
    <s v="TCS.NS"/>
    <n v="2206"/>
    <n v="2231.39990234375"/>
    <n v="2187.800048828125"/>
    <n v="2201"/>
    <n v="5197595"/>
    <n v="-0.83"/>
    <n v="30.4"/>
    <x v="10"/>
    <s v="Q3-2026"/>
  </r>
  <r>
    <d v="2026-07-16T00:00:00"/>
    <x v="2"/>
    <s v="INFY.NS"/>
    <n v="1082.5"/>
    <n v="1097.300048828125"/>
    <n v="1077.900024414062"/>
    <n v="1082.400024414062"/>
    <n v="8592146"/>
    <n v="-0.42"/>
    <n v="14.9"/>
    <x v="10"/>
    <s v="Q3-2026"/>
  </r>
  <r>
    <d v="2026-07-16T00:00:00"/>
    <x v="3"/>
    <s v="HDFCBANK.NS"/>
    <n v="814.5"/>
    <n v="818"/>
    <n v="806.5"/>
    <n v="808.29998779296875"/>
    <n v="18698186"/>
    <n v="-0.98"/>
    <n v="9.6999999999999993"/>
    <x v="10"/>
    <s v="Q3-2026"/>
  </r>
  <r>
    <d v="2026-07-16T00:00:00"/>
    <x v="4"/>
    <s v="ICICIBANK.NS"/>
    <n v="1408.2278901435359"/>
    <n v="1411.7977698077209"/>
    <n v="1394.4440704195181"/>
    <n v="1406.34375"/>
    <n v="10165264"/>
    <n v="-0.98"/>
    <n v="5.45"/>
    <x v="10"/>
    <s v="Q3-2026"/>
  </r>
  <r>
    <d v="2026-07-16T00:00:00"/>
    <x v="5"/>
    <s v="WIPRO.NS"/>
    <n v="173.61716675469339"/>
    <n v="175.98017876012349"/>
    <n v="173.42930978198919"/>
    <n v="175.7330017089844"/>
    <n v="11184572"/>
    <n v="-0.11"/>
    <n v="0.25"/>
    <x v="10"/>
    <s v="Q3-2026"/>
  </r>
  <r>
    <d v="2026-07-16T00:00:00"/>
    <x v="6"/>
    <s v="HCLTECH.NS"/>
    <n v="1163.5212977819581"/>
    <n v="1191.8322387544761"/>
    <n v="1162.8282995597581"/>
    <n v="1175.400024414062"/>
    <n v="5147444"/>
    <n v="-0.06"/>
    <n v="16.43"/>
    <x v="10"/>
    <s v="Q3-2026"/>
  </r>
  <r>
    <d v="2026-07-16T00:00:00"/>
    <x v="7"/>
    <s v="BAJFINANCE.NS"/>
    <n v="1024"/>
    <n v="1042.400024414062"/>
    <n v="1021.200012207031"/>
    <n v="1037.599975585938"/>
    <n v="9079076"/>
    <n v="-0.27"/>
    <n v="4.8"/>
    <x v="10"/>
    <s v="Q3-2026"/>
  </r>
  <r>
    <d v="2026-07-16T00:00:00"/>
    <x v="8"/>
    <s v="MARUTI.NS"/>
    <n v="13469.72301136364"/>
    <n v="13707.33664772727"/>
    <n v="13448.93181818182"/>
    <n v="13645.953125"/>
    <n v="356847"/>
    <n v="-0.15"/>
    <n v="61.38"/>
    <x v="10"/>
    <s v="Q3-2026"/>
  </r>
  <r>
    <d v="2026-07-16T00:00:00"/>
    <x v="9"/>
    <s v="TMPV.NS"/>
    <n v="334.64999389648438"/>
    <n v="339.20001220703119"/>
    <n v="331.29998779296881"/>
    <n v="331.79998779296881"/>
    <n v="8194443"/>
    <n v="-1"/>
    <n v="7.4"/>
    <x v="10"/>
    <s v="Q3-2026"/>
  </r>
  <r>
    <d v="2026-07-16T00:00:00"/>
    <x v="10"/>
    <s v="SUNPHARMA.NS"/>
    <n v="1950"/>
    <n v="1957.699951171875"/>
    <n v="1943"/>
    <n v="1950.099975585938"/>
    <n v="1396189"/>
    <n v="-0.36"/>
    <n v="7.6"/>
    <x v="10"/>
    <s v="Q3-2026"/>
  </r>
  <r>
    <d v="2026-07-16T00:00:00"/>
    <x v="11"/>
    <s v="ASIANPAINT.NS"/>
    <n v="2688"/>
    <n v="2693.10009765625"/>
    <n v="2660.10009765625"/>
    <n v="2674.699951171875"/>
    <n v="455037"/>
    <n v="-1.04"/>
    <n v="18.399999999999999"/>
    <x v="10"/>
    <s v="Q3-2026"/>
  </r>
  <r>
    <d v="2026-07-16T00:00:00"/>
    <x v="12"/>
    <s v="HINDUNILVR.NS"/>
    <n v="2104.89990234375"/>
    <n v="2123"/>
    <n v="2096"/>
    <n v="2098.39990234375"/>
    <n v="2143092"/>
    <n v="-0.42"/>
    <n v="24.6"/>
    <x v="10"/>
    <s v="Q3-2026"/>
  </r>
  <r>
    <d v="2026-07-16T00:00:00"/>
    <x v="13"/>
    <s v="LT.NS"/>
    <n v="3795"/>
    <n v="3802"/>
    <n v="3762.300048828125"/>
    <n v="3775.60009765625"/>
    <n v="2936753"/>
    <n v="-0.86"/>
    <n v="26.4"/>
    <x v="10"/>
    <s v="Q3-2026"/>
  </r>
  <r>
    <d v="2026-07-16T00:00:00"/>
    <x v="14"/>
    <s v="AXISBANK.NS"/>
    <n v="1315.099975585938"/>
    <n v="1315.5"/>
    <n v="1299.400024414062"/>
    <n v="1307.599975585938"/>
    <n v="5001226"/>
    <n v="-1.19"/>
    <n v="7.9"/>
    <x v="10"/>
    <s v="Q3-2026"/>
  </r>
  <r>
    <d v="2026-07-17T00:00:00"/>
    <x v="0"/>
    <s v="RELIANCE.NS"/>
    <n v="1300"/>
    <n v="1330.300048828125"/>
    <n v="1296.099975585938"/>
    <n v="1327.199951171875"/>
    <n v="18302218"/>
    <n v="-0.3"/>
    <n v="3.1"/>
    <x v="10"/>
    <s v="Q3-2026"/>
  </r>
  <r>
    <d v="2026-07-17T00:00:00"/>
    <x v="1"/>
    <s v="TCS.NS"/>
    <n v="2224.800048828125"/>
    <n v="2275"/>
    <n v="2215.10009765625"/>
    <n v="2269"/>
    <n v="5615138"/>
    <n v="-0.44"/>
    <n v="6"/>
    <x v="10"/>
    <s v="Q3-2026"/>
  </r>
  <r>
    <d v="2026-07-17T00:00:00"/>
    <x v="2"/>
    <s v="INFY.NS"/>
    <n v="1105"/>
    <n v="1116.800048828125"/>
    <n v="1092"/>
    <n v="1096.5"/>
    <n v="12547728"/>
    <n v="-1.18"/>
    <n v="20.3"/>
    <x v="10"/>
    <s v="Q3-2026"/>
  </r>
  <r>
    <d v="2026-07-17T00:00:00"/>
    <x v="3"/>
    <s v="HDFCBANK.NS"/>
    <n v="810"/>
    <n v="823.70001220703125"/>
    <n v="808.5"/>
    <n v="819.5999755859375"/>
    <n v="17415322"/>
    <n v="-0.19"/>
    <n v="4.0999999999999996"/>
    <x v="10"/>
    <s v="Q3-2026"/>
  </r>
  <r>
    <d v="2026-07-17T00:00:00"/>
    <x v="4"/>
    <s v="ICICIBANK.NS"/>
    <n v="1410.2112272612981"/>
    <n v="1442.935347434669"/>
    <n v="1407.8312670387279"/>
    <n v="1432.225708007812"/>
    <n v="11112550"/>
    <n v="-0.17"/>
    <n v="10.71"/>
    <x v="10"/>
    <s v="Q3-2026"/>
  </r>
  <r>
    <d v="2026-07-17T00:00:00"/>
    <x v="5"/>
    <s v="WIPRO.NS"/>
    <n v="171.59031737522909"/>
    <n v="174.26970824635649"/>
    <n v="171.59031737522909"/>
    <n v="174.01264953613281"/>
    <n v="22960032"/>
    <n v="0"/>
    <n v="0.26"/>
    <x v="10"/>
    <s v="Q3-2026"/>
  </r>
  <r>
    <d v="2026-07-17T00:00:00"/>
    <x v="6"/>
    <s v="HCLTECH.NS"/>
    <n v="1197.800048828125"/>
    <n v="1223.5"/>
    <n v="1195.800048828125"/>
    <n v="1203.900024414062"/>
    <n v="5037972"/>
    <n v="-0.17"/>
    <n v="19.600000000000001"/>
    <x v="10"/>
    <s v="Q3-2026"/>
  </r>
  <r>
    <d v="2026-07-17T00:00:00"/>
    <x v="7"/>
    <s v="BAJFINANCE.NS"/>
    <n v="1044.900024414062"/>
    <n v="1058.5"/>
    <n v="1037.599975585938"/>
    <n v="1056.300048828125"/>
    <n v="12882360"/>
    <n v="-0.7"/>
    <n v="2.2000000000000002"/>
    <x v="10"/>
    <s v="Q3-2026"/>
  </r>
  <r>
    <d v="2026-07-17T00:00:00"/>
    <x v="8"/>
    <s v="MARUTI.NS"/>
    <n v="13613.280896249909"/>
    <n v="13746.93856323127"/>
    <n v="13563.778056627179"/>
    <n v="13665.75390625"/>
    <n v="237330"/>
    <n v="-0.36"/>
    <n v="81.180000000000007"/>
    <x v="10"/>
    <s v="Q3-2026"/>
  </r>
  <r>
    <d v="2026-07-17T00:00:00"/>
    <x v="9"/>
    <s v="TMPV.NS"/>
    <n v="332.10000610351563"/>
    <n v="336.79998779296881"/>
    <n v="330.20001220703119"/>
    <n v="335.60000610351563"/>
    <n v="7785825"/>
    <n v="-0.56999999999999995"/>
    <n v="1.2"/>
    <x v="10"/>
    <s v="Q3-2026"/>
  </r>
  <r>
    <d v="2026-07-17T00:00:00"/>
    <x v="10"/>
    <s v="SUNPHARMA.NS"/>
    <n v="1948.699951171875"/>
    <n v="1952.599975585938"/>
    <n v="1922.5"/>
    <n v="1932.599975585938"/>
    <n v="2475664"/>
    <n v="-1.34"/>
    <n v="20"/>
    <x v="10"/>
    <s v="Q3-2026"/>
  </r>
  <r>
    <d v="2026-07-17T00:00:00"/>
    <x v="11"/>
    <s v="ASIANPAINT.NS"/>
    <n v="2665"/>
    <n v="2700"/>
    <n v="2665"/>
    <n v="2689"/>
    <n v="452284"/>
    <n v="0"/>
    <n v="11"/>
    <x v="10"/>
    <s v="Q3-2026"/>
  </r>
  <r>
    <d v="2026-07-17T00:00:00"/>
    <x v="12"/>
    <s v="HINDUNILVR.NS"/>
    <n v="2100"/>
    <n v="2154.5"/>
    <n v="2092.10009765625"/>
    <n v="2143.800048828125"/>
    <n v="1059832"/>
    <n v="-0.38"/>
    <n v="10.7"/>
    <x v="10"/>
    <s v="Q3-2026"/>
  </r>
  <r>
    <d v="2026-07-17T00:00:00"/>
    <x v="13"/>
    <s v="LT.NS"/>
    <n v="3788.89990234375"/>
    <n v="3828.89990234375"/>
    <n v="3767.699951171875"/>
    <n v="3814.5"/>
    <n v="1942610"/>
    <n v="-0.56000000000000005"/>
    <n v="14.4"/>
    <x v="10"/>
    <s v="Q3-2026"/>
  </r>
  <r>
    <d v="2026-07-17T00:00:00"/>
    <x v="14"/>
    <s v="AXISBANK.NS"/>
    <n v="1307"/>
    <n v="1333"/>
    <n v="1305"/>
    <n v="1328.5"/>
    <n v="11192836"/>
    <n v="-0.15"/>
    <n v="4.5"/>
    <x v="10"/>
    <s v="Q3-2026"/>
  </r>
  <r>
    <d v="2026-07-20T00:00:00"/>
    <x v="0"/>
    <s v="RELIANCE.NS"/>
    <n v="1317.199951171875"/>
    <n v="1345.900024414062"/>
    <n v="1314.900024414062"/>
    <n v="1323.099975585938"/>
    <n v="14305844"/>
    <n v="-0.17"/>
    <n v="22.8"/>
    <x v="10"/>
    <s v="Q3-2026"/>
  </r>
  <r>
    <d v="2026-07-20T00:00:00"/>
    <x v="1"/>
    <s v="TCS.NS"/>
    <n v="2280.10009765625"/>
    <n v="2283.39990234375"/>
    <n v="2245.10009765625"/>
    <n v="2251.10009765625"/>
    <n v="2202693"/>
    <n v="-1.54"/>
    <n v="32.299999999999997"/>
    <x v="10"/>
    <s v="Q3-2026"/>
  </r>
  <r>
    <d v="2026-07-20T00:00:00"/>
    <x v="2"/>
    <s v="INFY.NS"/>
    <n v="1102"/>
    <n v="1103.800048828125"/>
    <n v="1083.199951171875"/>
    <n v="1087.099975585938"/>
    <n v="6372645"/>
    <n v="-1.71"/>
    <n v="16.7"/>
    <x v="10"/>
    <s v="Q3-2026"/>
  </r>
  <r>
    <d v="2026-07-20T00:00:00"/>
    <x v="3"/>
    <s v="HDFCBANK.NS"/>
    <n v="790"/>
    <n v="790"/>
    <n v="774.54998779296875"/>
    <n v="777.5999755859375"/>
    <n v="56061789"/>
    <n v="-1.96"/>
    <n v="12.4"/>
    <x v="10"/>
    <s v="Q3-2026"/>
  </r>
  <r>
    <d v="2026-07-20T00:00:00"/>
    <x v="4"/>
    <s v="ICICIBANK.NS"/>
    <n v="1432.423976242017"/>
    <n v="1467.62719614966"/>
    <n v="1427.465776255025"/>
    <n v="1447.99267578125"/>
    <n v="22236415"/>
    <n v="-0.35"/>
    <n v="19.63"/>
    <x v="10"/>
    <s v="Q3-2026"/>
  </r>
  <r>
    <d v="2026-07-20T00:00:00"/>
    <x v="5"/>
    <s v="WIPRO.NS"/>
    <n v="175.0013456767054"/>
    <n v="175.79231522813529"/>
    <n v="173.86433731848641"/>
    <n v="174.38835144042969"/>
    <n v="10183661"/>
    <n v="-0.65"/>
    <n v="1.4"/>
    <x v="10"/>
    <s v="Q3-2026"/>
  </r>
  <r>
    <d v="2026-07-20T00:00:00"/>
    <x v="6"/>
    <s v="HCLTECH.NS"/>
    <n v="1205"/>
    <n v="1224.699951171875"/>
    <n v="1200.099975585938"/>
    <n v="1221.300048828125"/>
    <n v="3612829"/>
    <n v="-0.41"/>
    <n v="3.4"/>
    <x v="10"/>
    <s v="Q3-2026"/>
  </r>
  <r>
    <d v="2026-07-20T00:00:00"/>
    <x v="7"/>
    <s v="BAJFINANCE.NS"/>
    <n v="1057"/>
    <n v="1067.699951171875"/>
    <n v="1038.199951171875"/>
    <n v="1064"/>
    <n v="9348760"/>
    <n v="-1.78"/>
    <n v="3.7"/>
    <x v="10"/>
    <s v="Q3-2026"/>
  </r>
  <r>
    <d v="2026-07-20T00:00:00"/>
    <x v="8"/>
    <s v="MARUTI.NS"/>
    <n v="13686.54554536037"/>
    <n v="13694.46599995838"/>
    <n v="13243.990144696591"/>
    <n v="13379.6279296875"/>
    <n v="517730"/>
    <n v="-3.23"/>
    <n v="314.83999999999997"/>
    <x v="10"/>
    <s v="Q3-2026"/>
  </r>
  <r>
    <d v="2026-07-20T00:00:00"/>
    <x v="9"/>
    <s v="TMPV.NS"/>
    <n v="335.5"/>
    <n v="337.60000610351563"/>
    <n v="332.45001220703119"/>
    <n v="336.45001220703119"/>
    <n v="7562963"/>
    <n v="-0.91"/>
    <n v="1.1499999999999999"/>
    <x v="10"/>
    <s v="Q3-2026"/>
  </r>
  <r>
    <d v="2026-07-20T00:00:00"/>
    <x v="10"/>
    <s v="SUNPHARMA.NS"/>
    <n v="1942"/>
    <n v="1958.800048828125"/>
    <n v="1935"/>
    <n v="1956.400024414062"/>
    <n v="1676034"/>
    <n v="-0.36"/>
    <n v="2.4"/>
    <x v="10"/>
    <s v="Q3-2026"/>
  </r>
  <r>
    <d v="2026-07-20T00:00:00"/>
    <x v="11"/>
    <s v="ASIANPAINT.NS"/>
    <n v="2689"/>
    <n v="2708.5"/>
    <n v="2666.699951171875"/>
    <n v="2691.39990234375"/>
    <n v="571087"/>
    <n v="-0.83"/>
    <n v="17.100000000000001"/>
    <x v="10"/>
    <s v="Q3-2026"/>
  </r>
  <r>
    <d v="2026-07-20T00:00:00"/>
    <x v="12"/>
    <s v="HINDUNILVR.NS"/>
    <n v="2153.800048828125"/>
    <n v="2153.800048828125"/>
    <n v="2128.39990234375"/>
    <n v="2139.699951171875"/>
    <n v="689849"/>
    <n v="-1.18"/>
    <n v="14.1"/>
    <x v="10"/>
    <s v="Q3-2026"/>
  </r>
  <r>
    <d v="2026-07-20T00:00:00"/>
    <x v="13"/>
    <s v="LT.NS"/>
    <n v="3815"/>
    <n v="3850"/>
    <n v="3807"/>
    <n v="3838.800048828125"/>
    <n v="1450930"/>
    <n v="-0.21"/>
    <n v="11.2"/>
    <x v="10"/>
    <s v="Q3-2026"/>
  </r>
  <r>
    <d v="2026-07-20T00:00:00"/>
    <x v="14"/>
    <s v="AXISBANK.NS"/>
    <n v="1275"/>
    <n v="1284"/>
    <n v="1249.099975585938"/>
    <n v="1256"/>
    <n v="25314148"/>
    <n v="-2.0299999999999998"/>
    <n v="28"/>
    <x v="10"/>
    <s v="Q3-2026"/>
  </r>
  <r>
    <d v="2026-07-21T00:00:00"/>
    <x v="0"/>
    <s v="RELIANCE.NS"/>
    <n v="1321"/>
    <n v="1326.900024414062"/>
    <n v="1302.699951171875"/>
    <n v="1303.699951171875"/>
    <n v="12753410"/>
    <n v="-1.39"/>
    <n v="23.2"/>
    <x v="10"/>
    <s v="Q3-2026"/>
  </r>
  <r>
    <d v="2026-07-21T00:00:00"/>
    <x v="1"/>
    <s v="TCS.NS"/>
    <n v="2245.10009765625"/>
    <n v="2259.89990234375"/>
    <n v="2218.5"/>
    <n v="2221.10009765625"/>
    <n v="2382160"/>
    <n v="-1.18"/>
    <n v="38.799999999999997"/>
    <x v="10"/>
    <s v="Q3-2026"/>
  </r>
  <r>
    <d v="2026-07-21T00:00:00"/>
    <x v="2"/>
    <s v="INFY.NS"/>
    <n v="1080"/>
    <n v="1094.5"/>
    <n v="1067.199951171875"/>
    <n v="1073.5"/>
    <n v="9485229"/>
    <n v="-1.19"/>
    <n v="21"/>
    <x v="10"/>
    <s v="Q3-2026"/>
  </r>
  <r>
    <d v="2026-07-21T00:00:00"/>
    <x v="3"/>
    <s v="HDFCBANK.NS"/>
    <n v="769.1500244140625"/>
    <n v="772.5"/>
    <n v="760.0999755859375"/>
    <n v="761.45001220703125"/>
    <n v="42246009"/>
    <n v="-1.18"/>
    <n v="11.05"/>
    <x v="10"/>
    <s v="Q3-2026"/>
  </r>
  <r>
    <d v="2026-07-21T00:00:00"/>
    <x v="4"/>
    <s v="ICICIBANK.NS"/>
    <n v="1457.7107481697999"/>
    <n v="1461.5781682422521"/>
    <n v="1444.422748432306"/>
    <n v="1450.868408203125"/>
    <n v="18269907"/>
    <n v="-0.91"/>
    <n v="10.71"/>
    <x v="10"/>
    <s v="Q3-2026"/>
  </r>
  <r>
    <d v="2026-07-21T00:00:00"/>
    <x v="5"/>
    <s v="WIPRO.NS"/>
    <n v="174.12140471814371"/>
    <n v="175.49570853646259"/>
    <n v="172.5295838851421"/>
    <n v="172.99427795410159"/>
    <n v="11350578"/>
    <n v="-0.91"/>
    <n v="2.5"/>
    <x v="10"/>
    <s v="Q3-2026"/>
  </r>
  <r>
    <d v="2026-07-21T00:00:00"/>
    <x v="6"/>
    <s v="HCLTECH.NS"/>
    <n v="1219"/>
    <n v="1240.699951171875"/>
    <n v="1217.199951171875"/>
    <n v="1239.5"/>
    <n v="4642320"/>
    <n v="-0.15"/>
    <n v="1.2"/>
    <x v="10"/>
    <s v="Q3-2026"/>
  </r>
  <r>
    <d v="2026-07-21T00:00:00"/>
    <x v="7"/>
    <s v="BAJFINANCE.NS"/>
    <n v="1064"/>
    <n v="1074.400024414062"/>
    <n v="1060.900024414062"/>
    <n v="1069.199951171875"/>
    <n v="6970658"/>
    <n v="-0.28999999999999998"/>
    <n v="5.2"/>
    <x v="10"/>
    <s v="Q3-2026"/>
  </r>
  <r>
    <d v="2026-07-21T00:00:00"/>
    <x v="8"/>
    <s v="MARUTI.NS"/>
    <n v="13385.56835836949"/>
    <n v="13519.22603058694"/>
    <n v="13215.27858339615"/>
    <n v="13461.802734375"/>
    <n v="341101"/>
    <n v="-1.27"/>
    <n v="57.42"/>
    <x v="10"/>
    <s v="Q3-2026"/>
  </r>
  <r>
    <d v="2026-07-21T00:00:00"/>
    <x v="9"/>
    <s v="TMPV.NS"/>
    <n v="336.10000610351563"/>
    <n v="337.64999389648438"/>
    <n v="331.79998779296881"/>
    <n v="333.79998779296881"/>
    <n v="5847490"/>
    <n v="-1.28"/>
    <n v="3.85"/>
    <x v="10"/>
    <s v="Q3-2026"/>
  </r>
  <r>
    <d v="2026-07-21T00:00:00"/>
    <x v="10"/>
    <s v="SUNPHARMA.NS"/>
    <n v="1952.099975585938"/>
    <n v="1966.5"/>
    <n v="1938.199951171875"/>
    <n v="1961.900024414062"/>
    <n v="1412579"/>
    <n v="-0.71"/>
    <n v="4.5999999999999996"/>
    <x v="10"/>
    <s v="Q3-2026"/>
  </r>
  <r>
    <d v="2026-07-21T00:00:00"/>
    <x v="11"/>
    <s v="ASIANPAINT.NS"/>
    <n v="2695"/>
    <n v="2720"/>
    <n v="2680.5"/>
    <n v="2692.39990234375"/>
    <n v="1000078"/>
    <n v="-0.54"/>
    <n v="27.6"/>
    <x v="10"/>
    <s v="Q3-2026"/>
  </r>
  <r>
    <d v="2026-07-21T00:00:00"/>
    <x v="12"/>
    <s v="HINDUNILVR.NS"/>
    <n v="2139.699951171875"/>
    <n v="2147.699951171875"/>
    <n v="2127.5"/>
    <n v="2142.5"/>
    <n v="1032417"/>
    <n v="-0.56999999999999995"/>
    <n v="5.2"/>
    <x v="10"/>
    <s v="Q3-2026"/>
  </r>
  <r>
    <d v="2026-07-21T00:00:00"/>
    <x v="13"/>
    <s v="LT.NS"/>
    <n v="3839"/>
    <n v="3859.5"/>
    <n v="3815.699951171875"/>
    <n v="3846.60009765625"/>
    <n v="1393919"/>
    <n v="-0.61"/>
    <n v="12.9"/>
    <x v="10"/>
    <s v="Q3-2026"/>
  </r>
  <r>
    <d v="2026-07-21T00:00:00"/>
    <x v="14"/>
    <s v="AXISBANK.NS"/>
    <n v="1245"/>
    <n v="1267.699951171875"/>
    <n v="1244.5"/>
    <n v="1258.199951171875"/>
    <n v="15014867"/>
    <n v="-0.04"/>
    <n v="9.5"/>
    <x v="10"/>
    <s v="Q3-2026"/>
  </r>
  <r>
    <d v="2026-07-22T00:00:00"/>
    <x v="0"/>
    <s v="RELIANCE.NS"/>
    <n v="1302"/>
    <n v="1304.599975585938"/>
    <n v="1280.699951171875"/>
    <n v="1288.599975585938"/>
    <n v="10840383"/>
    <n v="-1.64"/>
    <n v="16"/>
    <x v="10"/>
    <s v="Q3-2026"/>
  </r>
  <r>
    <d v="2026-07-22T00:00:00"/>
    <x v="1"/>
    <s v="TCS.NS"/>
    <n v="2216"/>
    <n v="2226.800048828125"/>
    <n v="2201"/>
    <n v="2208.300048828125"/>
    <n v="1599665"/>
    <n v="-0.68"/>
    <n v="18.5"/>
    <x v="10"/>
    <s v="Q3-2026"/>
  </r>
  <r>
    <d v="2026-07-22T00:00:00"/>
    <x v="2"/>
    <s v="INFY.NS"/>
    <n v="1064"/>
    <n v="1069.300048828125"/>
    <n v="1046.199951171875"/>
    <n v="1052.099975585938"/>
    <n v="7517203"/>
    <n v="-1.67"/>
    <n v="17.2"/>
    <x v="10"/>
    <s v="Q3-2026"/>
  </r>
  <r>
    <d v="2026-07-22T00:00:00"/>
    <x v="3"/>
    <s v="HDFCBANK.NS"/>
    <n v="760.25"/>
    <n v="761.3499755859375"/>
    <n v="750.3499755859375"/>
    <n v="753.1500244140625"/>
    <n v="23385446"/>
    <n v="-1.3"/>
    <n v="8.1999999999999993"/>
    <x v="10"/>
    <s v="Q3-2026"/>
  </r>
  <r>
    <d v="2026-07-22T00:00:00"/>
    <x v="4"/>
    <s v="ICICIBANK.NS"/>
    <n v="1454.1408592092239"/>
    <n v="1454.1408592092239"/>
    <n v="1426.3749403739951"/>
    <n v="1428.655639648438"/>
    <n v="8345136"/>
    <n v="-1.91"/>
    <n v="25.49"/>
    <x v="10"/>
    <s v="Q3-2026"/>
  </r>
  <r>
    <d v="2026-07-22T00:00:00"/>
    <x v="5"/>
    <s v="WIPRO.NS"/>
    <n v="172.79653613611441"/>
    <n v="172.98439310773301"/>
    <n v="171.46177403307959"/>
    <n v="172.47026062011719"/>
    <n v="5057035"/>
    <n v="-0.77"/>
    <n v="0.51"/>
    <x v="10"/>
    <s v="Q3-2026"/>
  </r>
  <r>
    <d v="2026-07-22T00:00:00"/>
    <x v="6"/>
    <s v="HCLTECH.NS"/>
    <n v="1243.800048828125"/>
    <n v="1243.800048828125"/>
    <n v="1227.699951171875"/>
    <n v="1237.300048828125"/>
    <n v="2377718"/>
    <n v="-1.29"/>
    <n v="6.5"/>
    <x v="10"/>
    <s v="Q3-2026"/>
  </r>
  <r>
    <d v="2026-07-22T00:00:00"/>
    <x v="7"/>
    <s v="BAJFINANCE.NS"/>
    <n v="1064"/>
    <n v="1070.599975585938"/>
    <n v="1056.099975585938"/>
    <n v="1060.300048828125"/>
    <n v="6757716"/>
    <n v="-0.74"/>
    <n v="10.3"/>
    <x v="10"/>
    <s v="Q3-2026"/>
  </r>
  <r>
    <d v="2026-07-22T00:00:00"/>
    <x v="8"/>
    <s v="MARUTI.NS"/>
    <n v="13460.81223266196"/>
    <n v="13582.589218879781"/>
    <n v="13356.856268817481"/>
    <n v="13410.3193359375"/>
    <n v="299404"/>
    <n v="-0.77"/>
    <n v="172.27"/>
    <x v="10"/>
    <s v="Q3-2026"/>
  </r>
  <r>
    <d v="2026-07-22T00:00:00"/>
    <x v="9"/>
    <s v="TMPV.NS"/>
    <n v="333.79998779296881"/>
    <n v="334.60000610351563"/>
    <n v="327.10000610351563"/>
    <n v="327.70001220703119"/>
    <n v="8609616"/>
    <n v="-2.0099999999999998"/>
    <n v="6.9"/>
    <x v="10"/>
    <s v="Q3-2026"/>
  </r>
  <r>
    <d v="2026-07-22T00:00:00"/>
    <x v="10"/>
    <s v="SUNPHARMA.NS"/>
    <n v="1938"/>
    <n v="1951.800048828125"/>
    <n v="1925.199951171875"/>
    <n v="1943"/>
    <n v="1718430"/>
    <n v="-0.66"/>
    <n v="8.8000000000000007"/>
    <x v="10"/>
    <s v="Q3-2026"/>
  </r>
  <r>
    <d v="2026-07-22T00:00:00"/>
    <x v="11"/>
    <s v="ASIANPAINT.NS"/>
    <n v="2683"/>
    <n v="2700"/>
    <n v="2665.60009765625"/>
    <n v="2692.800048828125"/>
    <n v="528096"/>
    <n v="-0.65"/>
    <n v="7.2"/>
    <x v="10"/>
    <s v="Q3-2026"/>
  </r>
  <r>
    <d v="2026-07-22T00:00:00"/>
    <x v="12"/>
    <s v="HINDUNILVR.NS"/>
    <n v="2139.699951171875"/>
    <n v="2159.89990234375"/>
    <n v="2130"/>
    <n v="2154.60009765625"/>
    <n v="819175"/>
    <n v="-0.45"/>
    <n v="5.3"/>
    <x v="10"/>
    <s v="Q3-2026"/>
  </r>
  <r>
    <d v="2026-07-22T00:00:00"/>
    <x v="13"/>
    <s v="LT.NS"/>
    <n v="3835"/>
    <n v="3843.300048828125"/>
    <n v="3806.199951171875"/>
    <n v="3817.39990234375"/>
    <n v="1157406"/>
    <n v="-0.75"/>
    <n v="25.9"/>
    <x v="10"/>
    <s v="Q3-2026"/>
  </r>
  <r>
    <d v="2026-07-22T00:00:00"/>
    <x v="14"/>
    <s v="AXISBANK.NS"/>
    <n v="1258.199951171875"/>
    <n v="1258.199951171875"/>
    <n v="1230.5"/>
    <n v="1238.400024414062"/>
    <n v="8358923"/>
    <n v="-2.2000000000000002"/>
    <n v="19.8"/>
    <x v="10"/>
    <s v="Q3-2026"/>
  </r>
  <r>
    <d v="2026-07-23T00:00:00"/>
    <x v="0"/>
    <s v="RELIANCE.NS"/>
    <n v="1283"/>
    <n v="1287.300048828125"/>
    <n v="1268"/>
    <n v="1272.199951171875"/>
    <n v="12580741"/>
    <n v="-1.17"/>
    <n v="15.1"/>
    <x v="10"/>
    <s v="Q3-2026"/>
  </r>
  <r>
    <d v="2026-07-23T00:00:00"/>
    <x v="1"/>
    <s v="TCS.NS"/>
    <n v="2204"/>
    <n v="2250"/>
    <n v="2193.60009765625"/>
    <n v="2242.89990234375"/>
    <n v="2503539"/>
    <n v="-0.47"/>
    <n v="7.1"/>
    <x v="10"/>
    <s v="Q3-2026"/>
  </r>
  <r>
    <d v="2026-07-23T00:00:00"/>
    <x v="2"/>
    <s v="INFY.NS"/>
    <n v="1046.900024414062"/>
    <n v="1058.5"/>
    <n v="1032"/>
    <n v="1047.400024414062"/>
    <n v="13794578"/>
    <n v="-1.42"/>
    <n v="11.1"/>
    <x v="10"/>
    <s v="Q3-2026"/>
  </r>
  <r>
    <d v="2026-07-23T00:00:00"/>
    <x v="3"/>
    <s v="HDFCBANK.NS"/>
    <n v="749.4000244140625"/>
    <n v="751"/>
    <n v="743.25"/>
    <n v="747.25"/>
    <n v="32532090"/>
    <n v="-0.82"/>
    <n v="3.75"/>
    <x v="10"/>
    <s v="Q3-2026"/>
  </r>
  <r>
    <d v="2026-07-23T00:00:00"/>
    <x v="4"/>
    <s v="ICICIBANK.NS"/>
    <n v="1420.524269707493"/>
    <n v="1433.911409422014"/>
    <n v="1414.6735696222979"/>
    <n v="1422.606689453125"/>
    <n v="12409328"/>
    <n v="-0.41"/>
    <n v="11.3"/>
    <x v="10"/>
    <s v="Q3-2026"/>
  </r>
  <r>
    <d v="2026-07-23T00:00:00"/>
    <x v="5"/>
    <s v="WIPRO.NS"/>
    <n v="171.84737282841519"/>
    <n v="173.57761220862309"/>
    <n v="171.3530187197843"/>
    <n v="172.8459777832031"/>
    <n v="9055905"/>
    <n v="-0.28999999999999998"/>
    <n v="0.73"/>
    <x v="10"/>
    <s v="Q3-2026"/>
  </r>
  <r>
    <d v="2026-07-23T00:00:00"/>
    <x v="6"/>
    <s v="HCLTECH.NS"/>
    <n v="1236"/>
    <n v="1248.800048828125"/>
    <n v="1228.800048828125"/>
    <n v="1244.699951171875"/>
    <n v="1878476"/>
    <n v="-0.57999999999999996"/>
    <n v="4.0999999999999996"/>
    <x v="10"/>
    <s v="Q3-2026"/>
  </r>
  <r>
    <d v="2026-07-23T00:00:00"/>
    <x v="7"/>
    <s v="BAJFINANCE.NS"/>
    <n v="1053.300048828125"/>
    <n v="1061.199951171875"/>
    <n v="1036.5"/>
    <n v="1039.800048828125"/>
    <n v="8016651"/>
    <n v="-1.59"/>
    <n v="21.4"/>
    <x v="10"/>
    <s v="Q3-2026"/>
  </r>
  <r>
    <d v="2026-07-23T00:00:00"/>
    <x v="8"/>
    <s v="MARUTI.NS"/>
    <n v="13406.35928530751"/>
    <n v="13433.09081921958"/>
    <n v="13239.039684154201"/>
    <n v="13269.7314453125"/>
    <n v="327912"/>
    <n v="-1.25"/>
    <n v="163.36000000000001"/>
    <x v="10"/>
    <s v="Q3-2026"/>
  </r>
  <r>
    <d v="2026-07-23T00:00:00"/>
    <x v="9"/>
    <s v="TMPV.NS"/>
    <n v="326.95001220703119"/>
    <n v="328.5"/>
    <n v="323.79998779296881"/>
    <n v="324.29998779296881"/>
    <n v="6985396"/>
    <n v="-0.96"/>
    <n v="4.2"/>
    <x v="10"/>
    <s v="Q3-2026"/>
  </r>
  <r>
    <d v="2026-07-23T00:00:00"/>
    <x v="10"/>
    <s v="SUNPHARMA.NS"/>
    <n v="1929.099975585938"/>
    <n v="1958.5"/>
    <n v="1926.800048828125"/>
    <n v="1954"/>
    <n v="2057288"/>
    <n v="-0.12"/>
    <n v="4.5"/>
    <x v="10"/>
    <s v="Q3-2026"/>
  </r>
  <r>
    <d v="2026-07-23T00:00:00"/>
    <x v="11"/>
    <s v="ASIANPAINT.NS"/>
    <n v="2671.10009765625"/>
    <n v="2693.39990234375"/>
    <n v="2656"/>
    <n v="2668.800048828125"/>
    <n v="584245"/>
    <n v="-0.56999999999999995"/>
    <n v="24.6"/>
    <x v="10"/>
    <s v="Q3-2026"/>
  </r>
  <r>
    <d v="2026-07-23T00:00:00"/>
    <x v="12"/>
    <s v="HINDUNILVR.NS"/>
    <n v="2150"/>
    <n v="2166"/>
    <n v="2139.89990234375"/>
    <n v="2161.800048828125"/>
    <n v="833281"/>
    <n v="-0.47"/>
    <n v="4.2"/>
    <x v="10"/>
    <s v="Q3-2026"/>
  </r>
  <r>
    <d v="2026-07-23T00:00:00"/>
    <x v="13"/>
    <s v="LT.NS"/>
    <n v="3800"/>
    <n v="3827.60009765625"/>
    <n v="3777.699951171875"/>
    <n v="3792.39990234375"/>
    <n v="1278355"/>
    <n v="-0.59"/>
    <n v="35.200000000000003"/>
    <x v="10"/>
    <s v="Q3-2026"/>
  </r>
  <r>
    <d v="2026-07-23T00:00:00"/>
    <x v="14"/>
    <s v="AXISBANK.NS"/>
    <n v="1230.099975585938"/>
    <n v="1239.400024414062"/>
    <n v="1219.199951171875"/>
    <n v="1223"/>
    <n v="8240787"/>
    <n v="-0.89"/>
    <n v="16.399999999999999"/>
    <x v="10"/>
    <s v="Q3-2026"/>
  </r>
  <r>
    <d v="2026-07-24T00:00:00"/>
    <x v="0"/>
    <s v="RELIANCE.NS"/>
    <n v="1265"/>
    <n v="1283.400024414062"/>
    <n v="1249.800048828125"/>
    <n v="1278"/>
    <n v="9817000"/>
    <n v="-1.2"/>
    <n v="5.4"/>
    <x v="10"/>
    <s v="Q3-2026"/>
  </r>
  <r>
    <d v="2026-07-24T00:00:00"/>
    <x v="1"/>
    <s v="TCS.NS"/>
    <n v="2205.10009765625"/>
    <n v="2264.300048828125"/>
    <n v="2205.10009765625"/>
    <n v="2254.300048828125"/>
    <n v="3211699"/>
    <n v="0"/>
    <n v="10"/>
    <x v="10"/>
    <s v="Q3-2026"/>
  </r>
  <r>
    <d v="2026-07-24T00:00:00"/>
    <x v="2"/>
    <s v="INFY.NS"/>
    <n v="1028"/>
    <n v="1043.400024414062"/>
    <n v="1013.900024414062"/>
    <n v="1040.900024414062"/>
    <n v="29036900"/>
    <n v="-1.37"/>
    <n v="2.5"/>
    <x v="10"/>
    <s v="Q3-2026"/>
  </r>
  <r>
    <d v="2026-07-24T00:00:00"/>
    <x v="3"/>
    <s v="HDFCBANK.NS"/>
    <n v="738.5"/>
    <n v="748.25"/>
    <n v="737.25"/>
    <n v="742.79998779296875"/>
    <n v="23837859"/>
    <n v="-0.17"/>
    <n v="5.45"/>
    <x v="10"/>
    <s v="Q3-2026"/>
  </r>
  <r>
    <d v="2026-07-24T00:00:00"/>
    <x v="4"/>
    <s v="ICICIBANK.NS"/>
    <n v="1416.061838507173"/>
    <n v="1427.9615178223589"/>
    <n v="1403.5671994361869"/>
    <n v="1420.9208984375"/>
    <n v="10870914"/>
    <n v="-0.88"/>
    <n v="7.04"/>
    <x v="10"/>
    <s v="Q3-2026"/>
  </r>
  <r>
    <d v="2026-07-24T00:00:00"/>
    <x v="5"/>
    <s v="WIPRO.NS"/>
    <n v="172.03523029813911"/>
    <n v="175.89118632194959"/>
    <n v="170.84878345131199"/>
    <n v="175.1199951171875"/>
    <n v="13282944"/>
    <n v="-0.69"/>
    <n v="0.77"/>
    <x v="10"/>
    <s v="Q3-2026"/>
  </r>
  <r>
    <d v="2026-07-24T00:00:00"/>
    <x v="6"/>
    <s v="HCLTECH.NS"/>
    <n v="1237"/>
    <n v="1276"/>
    <n v="1236.599975585938"/>
    <n v="1271"/>
    <n v="3674904"/>
    <n v="-0.03"/>
    <n v="5"/>
    <x v="10"/>
    <s v="Q3-2026"/>
  </r>
  <r>
    <d v="2026-07-24T00:00:00"/>
    <x v="7"/>
    <s v="BAJFINANCE.NS"/>
    <n v="1027.300048828125"/>
    <n v="1030.199951171875"/>
    <n v="1001.299987792969"/>
    <n v="1012.799987792969"/>
    <n v="18416962"/>
    <n v="-2.5299999999999998"/>
    <n v="17.399999999999999"/>
    <x v="10"/>
    <s v="Q3-2026"/>
  </r>
  <r>
    <d v="2026-07-24T00:00:00"/>
    <x v="8"/>
    <s v="MARUTI.NS"/>
    <n v="13207.35795454546"/>
    <n v="13360.81676136364"/>
    <n v="13065.77982954546"/>
    <n v="13308.34375"/>
    <n v="223369"/>
    <n v="-1.07"/>
    <n v="52.47"/>
    <x v="10"/>
    <s v="Q3-2026"/>
  </r>
  <r>
    <d v="2026-07-24T00:00:00"/>
    <x v="9"/>
    <s v="TMPV.NS"/>
    <n v="321"/>
    <n v="325.75"/>
    <n v="318.25"/>
    <n v="323.79998779296881"/>
    <n v="7171058"/>
    <n v="-0.86"/>
    <n v="1.95"/>
    <x v="10"/>
    <s v="Q3-2026"/>
  </r>
  <r>
    <d v="2026-07-24T00:00:00"/>
    <x v="10"/>
    <s v="SUNPHARMA.NS"/>
    <n v="1945"/>
    <n v="1959.800048828125"/>
    <n v="1934.800048828125"/>
    <n v="1941.099975585938"/>
    <n v="1578929"/>
    <n v="-0.52"/>
    <n v="18.7"/>
    <x v="10"/>
    <s v="Q3-2026"/>
  </r>
  <r>
    <d v="2026-07-24T00:00:00"/>
    <x v="11"/>
    <s v="ASIANPAINT.NS"/>
    <n v="2620.10009765625"/>
    <n v="2657.10009765625"/>
    <n v="2620.10009765625"/>
    <n v="2637.89990234375"/>
    <n v="645563"/>
    <n v="0"/>
    <n v="19.2"/>
    <x v="10"/>
    <s v="Q3-2026"/>
  </r>
  <r>
    <d v="2026-07-24T00:00:00"/>
    <x v="12"/>
    <s v="HINDUNILVR.NS"/>
    <n v="2148"/>
    <n v="2163"/>
    <n v="2139"/>
    <n v="2145"/>
    <n v="1603494"/>
    <n v="-0.42"/>
    <n v="18"/>
    <x v="10"/>
    <s v="Q3-2026"/>
  </r>
  <r>
    <d v="2026-07-24T00:00:00"/>
    <x v="13"/>
    <s v="LT.NS"/>
    <n v="3751"/>
    <n v="3805"/>
    <n v="3720"/>
    <n v="3785.60009765625"/>
    <n v="1994087"/>
    <n v="-0.83"/>
    <n v="19.399999999999999"/>
    <x v="10"/>
    <s v="Q3-2026"/>
  </r>
  <r>
    <d v="2026-07-24T00:00:00"/>
    <x v="14"/>
    <s v="AXISBANK.NS"/>
    <n v="1216.800048828125"/>
    <n v="1233.900024414062"/>
    <n v="1210.599975585938"/>
    <n v="1227.300048828125"/>
    <n v="8088828"/>
    <n v="-0.51"/>
    <n v="6.6"/>
    <x v="10"/>
    <s v="Q3-2026"/>
  </r>
  <r>
    <d v="2026-07-27T00:00:00"/>
    <x v="0"/>
    <s v="RELIANCE.NS"/>
    <n v="1288.199951171875"/>
    <n v="1288.699951171875"/>
    <n v="1278"/>
    <n v="1280"/>
    <n v="7163132"/>
    <n v="-0.79"/>
    <n v="8.6999999999999993"/>
    <x v="10"/>
    <s v="Q3-2026"/>
  </r>
  <r>
    <d v="2026-07-27T00:00:00"/>
    <x v="1"/>
    <s v="TCS.NS"/>
    <n v="2286"/>
    <n v="2315"/>
    <n v="2272.39990234375"/>
    <n v="2295.60009765625"/>
    <n v="4007292"/>
    <n v="-0.59"/>
    <n v="19.399999999999999"/>
    <x v="10"/>
    <s v="Q3-2026"/>
  </r>
  <r>
    <d v="2026-07-27T00:00:00"/>
    <x v="2"/>
    <s v="INFY.NS"/>
    <n v="1065"/>
    <n v="1082"/>
    <n v="1057.400024414062"/>
    <n v="1079.199951171875"/>
    <n v="15956349"/>
    <n v="-0.71"/>
    <n v="2.8"/>
    <x v="10"/>
    <s v="Q3-2026"/>
  </r>
  <r>
    <d v="2026-07-27T00:00:00"/>
    <x v="3"/>
    <s v="HDFCBANK.NS"/>
    <n v="746.0999755859375"/>
    <n v="747.95001220703125"/>
    <n v="738.0999755859375"/>
    <n v="739.54998779296875"/>
    <n v="29678752"/>
    <n v="-1.07"/>
    <n v="8.4"/>
    <x v="10"/>
    <s v="Q3-2026"/>
  </r>
  <r>
    <d v="2026-07-27T00:00:00"/>
    <x v="4"/>
    <s v="ICICIBANK.NS"/>
    <n v="1423.6974916567499"/>
    <n v="1436.8863520032719"/>
    <n v="1416.8552725346731"/>
    <n v="1433.613891601562"/>
    <n v="10608300"/>
    <n v="-0.48"/>
    <n v="3.27"/>
    <x v="10"/>
    <s v="Q3-2026"/>
  </r>
  <r>
    <d v="2026-07-27T00:00:00"/>
    <x v="5"/>
    <s v="WIPRO.NS"/>
    <n v="177.5"/>
    <n v="178.7799987792969"/>
    <n v="175.61000061035159"/>
    <n v="178.5299987792969"/>
    <n v="12504426"/>
    <n v="-1.06"/>
    <n v="0.25"/>
    <x v="10"/>
    <s v="Q3-2026"/>
  </r>
  <r>
    <d v="2026-07-27T00:00:00"/>
    <x v="6"/>
    <s v="HCLTECH.NS"/>
    <n v="1284.599975585938"/>
    <n v="1303"/>
    <n v="1277.300048828125"/>
    <n v="1295.900024414062"/>
    <n v="3847049"/>
    <n v="-0.56999999999999995"/>
    <n v="7.1"/>
    <x v="10"/>
    <s v="Q3-2026"/>
  </r>
  <r>
    <d v="2026-07-27T00:00:00"/>
    <x v="7"/>
    <s v="BAJFINANCE.NS"/>
    <n v="1026.699951171875"/>
    <n v="1050"/>
    <n v="1026.599975585938"/>
    <n v="1048.300048828125"/>
    <n v="7610916"/>
    <n v="-0.01"/>
    <n v="1.7"/>
    <x v="10"/>
    <s v="Q3-2026"/>
  </r>
  <r>
    <d v="2026-07-27T00:00:00"/>
    <x v="8"/>
    <s v="MARUTI.NS"/>
    <n v="13443.98188529907"/>
    <n v="13623.18217407138"/>
    <n v="13366.757451463491"/>
    <n v="13593.48046875"/>
    <n v="333477"/>
    <n v="-0.56999999999999995"/>
    <n v="29.7"/>
    <x v="10"/>
    <s v="Q3-2026"/>
  </r>
  <r>
    <d v="2026-07-27T00:00:00"/>
    <x v="9"/>
    <s v="TMPV.NS"/>
    <n v="326.75"/>
    <n v="329.04998779296881"/>
    <n v="326.10000610351563"/>
    <n v="327.64999389648438"/>
    <n v="4777294"/>
    <n v="-0.2"/>
    <n v="1.4"/>
    <x v="10"/>
    <s v="Q3-2026"/>
  </r>
  <r>
    <d v="2026-07-27T00:00:00"/>
    <x v="10"/>
    <s v="SUNPHARMA.NS"/>
    <n v="1948.5"/>
    <n v="1977"/>
    <n v="1933"/>
    <n v="1973.699951171875"/>
    <n v="5414380"/>
    <n v="-0.8"/>
    <n v="3.3"/>
    <x v="10"/>
    <s v="Q3-2026"/>
  </r>
  <r>
    <d v="2026-07-27T00:00:00"/>
    <x v="11"/>
    <s v="ASIANPAINT.NS"/>
    <n v="2665.800048828125"/>
    <n v="2723.89990234375"/>
    <n v="2664.300048828125"/>
    <n v="2710.199951171875"/>
    <n v="715239"/>
    <n v="-0.06"/>
    <n v="13.7"/>
    <x v="10"/>
    <s v="Q3-2026"/>
  </r>
  <r>
    <d v="2026-07-27T00:00:00"/>
    <x v="12"/>
    <s v="HINDUNILVR.NS"/>
    <n v="2155"/>
    <n v="2181.300048828125"/>
    <n v="2152.39990234375"/>
    <n v="2174.60009765625"/>
    <n v="698681"/>
    <n v="-0.12"/>
    <n v="6.7"/>
    <x v="10"/>
    <s v="Q3-2026"/>
  </r>
  <r>
    <d v="2026-07-27T00:00:00"/>
    <x v="13"/>
    <s v="LT.NS"/>
    <n v="3820"/>
    <n v="3837.300048828125"/>
    <n v="3798.699951171875"/>
    <n v="3806"/>
    <n v="1454211"/>
    <n v="-0.56000000000000005"/>
    <n v="31.3"/>
    <x v="10"/>
    <s v="Q3-2026"/>
  </r>
  <r>
    <d v="2026-07-27T00:00:00"/>
    <x v="14"/>
    <s v="AXISBANK.NS"/>
    <n v="1237"/>
    <n v="1237"/>
    <n v="1221.599975585938"/>
    <n v="1227.5"/>
    <n v="5967502"/>
    <n v="-1.24"/>
    <n v="9.5"/>
    <x v="10"/>
    <s v="Q3-2026"/>
  </r>
  <r>
    <d v="2026-07-28T00:00:00"/>
    <x v="0"/>
    <s v="RELIANCE.NS"/>
    <n v="1275"/>
    <n v="1279.199951171875"/>
    <n v="1265.900024414062"/>
    <n v="1267.699951171875"/>
    <n v="9312184"/>
    <n v="-0.71"/>
    <n v="11.5"/>
    <x v="10"/>
    <s v="Q3-2026"/>
  </r>
  <r>
    <d v="2026-07-28T00:00:00"/>
    <x v="1"/>
    <s v="TCS.NS"/>
    <n v="2325"/>
    <n v="2417.39990234375"/>
    <n v="2323"/>
    <n v="2398"/>
    <n v="8248513"/>
    <n v="-0.09"/>
    <n v="19.399999999999999"/>
    <x v="10"/>
    <s v="Q3-2026"/>
  </r>
  <r>
    <d v="2026-07-28T00:00:00"/>
    <x v="2"/>
    <s v="INFY.NS"/>
    <n v="1097"/>
    <n v="1118.5"/>
    <n v="1097"/>
    <n v="1105.699951171875"/>
    <n v="28100895"/>
    <n v="0"/>
    <n v="12.8"/>
    <x v="10"/>
    <s v="Q3-2026"/>
  </r>
  <r>
    <d v="2026-07-28T00:00:00"/>
    <x v="3"/>
    <s v="HDFCBANK.NS"/>
    <n v="732"/>
    <n v="740.25"/>
    <n v="732"/>
    <n v="735.4000244140625"/>
    <n v="33886037"/>
    <n v="0"/>
    <n v="4.8499999999999996"/>
    <x v="10"/>
    <s v="Q3-2026"/>
  </r>
  <r>
    <d v="2026-07-28T00:00:00"/>
    <x v="4"/>
    <s v="ICICIBANK.NS"/>
    <n v="1430.2423604987889"/>
    <n v="1433.812240139265"/>
    <n v="1405.7487808950841"/>
    <n v="1418.838500976562"/>
    <n v="19486209"/>
    <n v="-1.71"/>
    <n v="14.97"/>
    <x v="10"/>
    <s v="Q3-2026"/>
  </r>
  <r>
    <d v="2026-07-28T00:00:00"/>
    <x v="5"/>
    <s v="WIPRO.NS"/>
    <n v="178.55000305175781"/>
    <n v="181.69999694824219"/>
    <n v="178.55000305175781"/>
    <n v="181.1199951171875"/>
    <n v="26873060"/>
    <n v="0"/>
    <n v="0.57999999999999996"/>
    <x v="10"/>
    <s v="Q3-2026"/>
  </r>
  <r>
    <d v="2026-07-28T00:00:00"/>
    <x v="6"/>
    <s v="HCLTECH.NS"/>
    <n v="1301"/>
    <n v="1342"/>
    <n v="1301"/>
    <n v="1318.599975585938"/>
    <n v="5187064"/>
    <n v="0"/>
    <n v="23.4"/>
    <x v="10"/>
    <s v="Q3-2026"/>
  </r>
  <r>
    <d v="2026-07-28T00:00:00"/>
    <x v="7"/>
    <s v="BAJFINANCE.NS"/>
    <n v="1049"/>
    <n v="1055"/>
    <n v="1042.400024414062"/>
    <n v="1048.400024414062"/>
    <n v="4726447"/>
    <n v="-0.63"/>
    <n v="6.6"/>
    <x v="10"/>
    <s v="Q3-2026"/>
  </r>
  <r>
    <d v="2026-07-28T00:00:00"/>
    <x v="8"/>
    <s v="MARUTI.NS"/>
    <n v="13592.48952696507"/>
    <n v="13710.30628373605"/>
    <n v="13533.086120189781"/>
    <n v="13664.763671875"/>
    <n v="481068"/>
    <n v="-0.44"/>
    <n v="45.54"/>
    <x v="10"/>
    <s v="Q3-2026"/>
  </r>
  <r>
    <d v="2026-07-28T00:00:00"/>
    <x v="9"/>
    <s v="TMPV.NS"/>
    <n v="327"/>
    <n v="327.35000610351563"/>
    <n v="322.79998779296881"/>
    <n v="324.39999389648438"/>
    <n v="6650930"/>
    <n v="-1.28"/>
    <n v="2.95"/>
    <x v="10"/>
    <s v="Q3-2026"/>
  </r>
  <r>
    <d v="2026-07-28T00:00:00"/>
    <x v="10"/>
    <s v="SUNPHARMA.NS"/>
    <n v="1978.800048828125"/>
    <n v="1993"/>
    <n v="1970.900024414062"/>
    <n v="1976.699951171875"/>
    <n v="4579529"/>
    <n v="-0.4"/>
    <n v="16.3"/>
    <x v="10"/>
    <s v="Q3-2026"/>
  </r>
  <r>
    <d v="2026-07-28T00:00:00"/>
    <x v="11"/>
    <s v="ASIANPAINT.NS"/>
    <n v="2712"/>
    <n v="2749.800048828125"/>
    <n v="2706.300048828125"/>
    <n v="2736.199951171875"/>
    <n v="1282146"/>
    <n v="-0.21"/>
    <n v="13.6"/>
    <x v="10"/>
    <s v="Q3-2026"/>
  </r>
  <r>
    <d v="2026-07-28T00:00:00"/>
    <x v="12"/>
    <s v="HINDUNILVR.NS"/>
    <n v="2174.60009765625"/>
    <n v="2213"/>
    <n v="2016"/>
    <n v="2022.699951171875"/>
    <n v="9947304"/>
    <n v="-7.29"/>
    <n v="190.3"/>
    <x v="10"/>
    <s v="Q3-2026"/>
  </r>
  <r>
    <d v="2026-07-28T00:00:00"/>
    <x v="13"/>
    <s v="LT.NS"/>
    <n v="3812"/>
    <n v="3837"/>
    <n v="3793"/>
    <n v="3832"/>
    <n v="1702441"/>
    <n v="-0.5"/>
    <n v="5"/>
    <x v="10"/>
    <s v="Q3-2026"/>
  </r>
  <r>
    <d v="2026-07-28T00:00:00"/>
    <x v="14"/>
    <s v="AXISBANK.NS"/>
    <n v="1222.5"/>
    <n v="1233.900024414062"/>
    <n v="1219.699951171875"/>
    <n v="1223.5"/>
    <n v="6093182"/>
    <n v="-0.23"/>
    <n v="10.4"/>
    <x v="10"/>
    <s v="Q3-2026"/>
  </r>
  <r>
    <d v="2026-07-29T00:00:00"/>
    <x v="0"/>
    <s v="RELIANCE.NS"/>
    <n v="1275"/>
    <n v="1282.400024414062"/>
    <n v="1268.699951171875"/>
    <n v="1275.900024414062"/>
    <n v="9448307"/>
    <n v="-0.49"/>
    <n v="6.5"/>
    <x v="10"/>
    <s v="Q3-2026"/>
  </r>
  <r>
    <d v="2026-07-29T00:00:00"/>
    <x v="1"/>
    <s v="TCS.NS"/>
    <n v="2440"/>
    <n v="2475.5"/>
    <n v="2415.10009765625"/>
    <n v="2446.60009765625"/>
    <n v="7169419"/>
    <n v="-1.02"/>
    <n v="28.9"/>
    <x v="10"/>
    <s v="Q3-2026"/>
  </r>
  <r>
    <d v="2026-07-29T00:00:00"/>
    <x v="2"/>
    <s v="INFY.NS"/>
    <n v="1147"/>
    <n v="1164.5"/>
    <n v="1128.400024414062"/>
    <n v="1155.599975585938"/>
    <n v="34400369"/>
    <n v="-1.62"/>
    <n v="8.9"/>
    <x v="10"/>
    <s v="Q3-2026"/>
  </r>
  <r>
    <d v="2026-07-29T00:00:00"/>
    <x v="3"/>
    <s v="HDFCBANK.NS"/>
    <n v="743"/>
    <n v="751.25"/>
    <n v="740.79998779296875"/>
    <n v="748.20001220703125"/>
    <n v="20460659"/>
    <n v="-0.3"/>
    <n v="3.05"/>
    <x v="10"/>
    <s v="Q3-2026"/>
  </r>
  <r>
    <d v="2026-07-29T00:00:00"/>
    <x v="4"/>
    <s v="ICICIBANK.NS"/>
    <n v="1430.4406700852689"/>
    <n v="1436.390509960841"/>
    <n v="1416.5577103756029"/>
    <n v="1425.879150390625"/>
    <n v="10856166"/>
    <n v="-0.97"/>
    <n v="10.51"/>
    <x v="10"/>
    <s v="Q3-2026"/>
  </r>
  <r>
    <d v="2026-07-29T00:00:00"/>
    <x v="5"/>
    <s v="WIPRO.NS"/>
    <n v="183"/>
    <n v="185.75999450683591"/>
    <n v="181.44999694824219"/>
    <n v="183.61000061035159"/>
    <n v="26147867"/>
    <n v="-0.85"/>
    <n v="2.15"/>
    <x v="10"/>
    <s v="Q3-2026"/>
  </r>
  <r>
    <d v="2026-07-29T00:00:00"/>
    <x v="6"/>
    <s v="HCLTECH.NS"/>
    <n v="1344"/>
    <n v="1352.699951171875"/>
    <n v="1323.199951171875"/>
    <n v="1344.300048828125"/>
    <n v="3061520"/>
    <n v="-1.55"/>
    <n v="8.4"/>
    <x v="10"/>
    <s v="Q3-2026"/>
  </r>
  <r>
    <d v="2026-07-29T00:00:00"/>
    <x v="7"/>
    <s v="BAJFINANCE.NS"/>
    <n v="1056"/>
    <n v="1065.900024414062"/>
    <n v="1048.400024414062"/>
    <n v="1054.400024414062"/>
    <n v="6444368"/>
    <n v="-0.72"/>
    <n v="11.5"/>
    <x v="10"/>
    <s v="Q3-2026"/>
  </r>
  <r>
    <d v="2026-07-29T00:00:00"/>
    <x v="8"/>
    <s v="MARUTI.NS"/>
    <n v="13642.98295454546"/>
    <n v="13840.99431818182"/>
    <n v="13583.57954545455"/>
    <n v="13809.3125"/>
    <n v="515674"/>
    <n v="-0.44"/>
    <n v="31.68"/>
    <x v="10"/>
    <s v="Q3-2026"/>
  </r>
  <r>
    <d v="2026-07-29T00:00:00"/>
    <x v="9"/>
    <s v="TMPV.NS"/>
    <n v="326"/>
    <n v="330.5"/>
    <n v="325.35000610351563"/>
    <n v="329.79998779296881"/>
    <n v="7220810"/>
    <n v="-0.2"/>
    <n v="0.7"/>
    <x v="10"/>
    <s v="Q3-2026"/>
  </r>
  <r>
    <d v="2026-07-29T00:00:00"/>
    <x v="10"/>
    <s v="SUNPHARMA.NS"/>
    <n v="1977"/>
    <n v="1992.699951171875"/>
    <n v="1960.400024414062"/>
    <n v="1989.900024414062"/>
    <n v="2682295"/>
    <n v="-0.84"/>
    <n v="2.8"/>
    <x v="10"/>
    <s v="Q3-2026"/>
  </r>
  <r>
    <d v="2026-07-29T00:00:00"/>
    <x v="11"/>
    <s v="ASIANPAINT.NS"/>
    <n v="2746.199951171875"/>
    <n v="2864"/>
    <n v="2718.5"/>
    <n v="2758.39990234375"/>
    <n v="3803474"/>
    <n v="-1.01"/>
    <n v="105.6"/>
    <x v="10"/>
    <s v="Q3-2026"/>
  </r>
  <r>
    <d v="2026-07-29T00:00:00"/>
    <x v="12"/>
    <s v="HINDUNILVR.NS"/>
    <n v="2050.5"/>
    <n v="2123"/>
    <n v="2047"/>
    <n v="2117.800048828125"/>
    <n v="5183374"/>
    <n v="-0.17"/>
    <n v="5.2"/>
    <x v="10"/>
    <s v="Q3-2026"/>
  </r>
  <r>
    <d v="2026-07-29T00:00:00"/>
    <x v="13"/>
    <s v="LT.NS"/>
    <n v="3895.39990234375"/>
    <n v="3978.199951171875"/>
    <n v="3891.10009765625"/>
    <n v="3931.39990234375"/>
    <n v="3115802"/>
    <n v="-0.11"/>
    <n v="46.8"/>
    <x v="10"/>
    <s v="Q3-2026"/>
  </r>
  <r>
    <d v="2026-07-29T00:00:00"/>
    <x v="14"/>
    <s v="AXISBANK.NS"/>
    <n v="1229.5"/>
    <n v="1237.099975585938"/>
    <n v="1214.400024414062"/>
    <n v="1235.400024414062"/>
    <n v="10110233"/>
    <n v="-1.23"/>
    <n v="1.7"/>
    <x v="10"/>
    <s v="Q3-2026"/>
  </r>
  <r>
    <d v="2026-07-30T00:00:00"/>
    <x v="0"/>
    <s v="RELIANCE.NS"/>
    <n v="1279.800048828125"/>
    <n v="1297"/>
    <n v="1275.300048828125"/>
    <n v="1292.900024414062"/>
    <n v="12158451"/>
    <n v="-0.35"/>
    <n v="4.0999999999999996"/>
    <x v="10"/>
    <s v="Q3-2026"/>
  </r>
  <r>
    <d v="2026-07-30T00:00:00"/>
    <x v="1"/>
    <s v="TCS.NS"/>
    <n v="2440"/>
    <n v="2495"/>
    <n v="2423"/>
    <n v="2431.800048828125"/>
    <n v="4901582"/>
    <n v="-0.7"/>
    <n v="63.2"/>
    <x v="10"/>
    <s v="Q3-2026"/>
  </r>
  <r>
    <d v="2026-07-30T00:00:00"/>
    <x v="2"/>
    <s v="INFY.NS"/>
    <n v="1168"/>
    <n v="1187.699951171875"/>
    <n v="1151.300048828125"/>
    <n v="1155.099975585938"/>
    <n v="22630218"/>
    <n v="-1.43"/>
    <n v="32.6"/>
    <x v="10"/>
    <s v="Q3-2026"/>
  </r>
  <r>
    <d v="2026-07-30T00:00:00"/>
    <x v="3"/>
    <s v="HDFCBANK.NS"/>
    <n v="752.79998779296875"/>
    <n v="757.9000244140625"/>
    <n v="745.5"/>
    <n v="753.95001220703125"/>
    <n v="35844392"/>
    <n v="-0.97"/>
    <n v="3.95"/>
    <x v="10"/>
    <s v="Q3-2026"/>
  </r>
  <r>
    <d v="2026-07-30T00:00:00"/>
    <x v="4"/>
    <s v="ICICIBANK.NS"/>
    <n v="1419.1359572803699"/>
    <n v="1430.1431368958181"/>
    <n v="1410.7070174140661"/>
    <n v="1421.91259765625"/>
    <n v="14141173"/>
    <n v="-0.59"/>
    <n v="8.23"/>
    <x v="10"/>
    <s v="Q3-2026"/>
  </r>
  <r>
    <d v="2026-07-30T00:00:00"/>
    <x v="5"/>
    <s v="WIPRO.NS"/>
    <n v="183.3999938964844"/>
    <n v="191.3399963378906"/>
    <n v="183.3999938964844"/>
    <n v="186.33000183105469"/>
    <n v="54015268"/>
    <n v="0"/>
    <n v="5.01"/>
    <x v="10"/>
    <s v="Q3-2026"/>
  </r>
  <r>
    <d v="2026-07-30T00:00:00"/>
    <x v="6"/>
    <s v="HCLTECH.NS"/>
    <n v="1349"/>
    <n v="1369.900024414062"/>
    <n v="1345.599975585938"/>
    <n v="1352.699951171875"/>
    <n v="3747919"/>
    <n v="-0.25"/>
    <n v="17.2"/>
    <x v="10"/>
    <s v="Q3-2026"/>
  </r>
  <r>
    <d v="2026-07-30T00:00:00"/>
    <x v="7"/>
    <s v="BAJFINANCE.NS"/>
    <n v="1046"/>
    <n v="1068"/>
    <n v="1035.099975585938"/>
    <n v="1053.5"/>
    <n v="9866564"/>
    <n v="-1.04"/>
    <n v="14.5"/>
    <x v="10"/>
    <s v="Q3-2026"/>
  </r>
  <r>
    <d v="2026-07-30T00:00:00"/>
    <x v="8"/>
    <s v="MARUTI.NS"/>
    <n v="13800.401639754989"/>
    <n v="14108.309302425459"/>
    <n v="13687.535165335579"/>
    <n v="14046.92578125"/>
    <n v="626000"/>
    <n v="-0.82"/>
    <n v="61.38"/>
    <x v="10"/>
    <s v="Q3-2026"/>
  </r>
  <r>
    <d v="2026-07-30T00:00:00"/>
    <x v="9"/>
    <s v="TMPV.NS"/>
    <n v="328.20001220703119"/>
    <n v="335"/>
    <n v="328.04998779296881"/>
    <n v="334.20001220703119"/>
    <n v="6078600"/>
    <n v="-0.05"/>
    <n v="0.8"/>
    <x v="10"/>
    <s v="Q3-2026"/>
  </r>
  <r>
    <d v="2026-07-30T00:00:00"/>
    <x v="10"/>
    <s v="SUNPHARMA.NS"/>
    <n v="1993.099975585938"/>
    <n v="2017.300048828125"/>
    <n v="1988"/>
    <n v="2001.099975585938"/>
    <n v="2224264"/>
    <n v="-0.26"/>
    <n v="16.2"/>
    <x v="10"/>
    <s v="Q3-2026"/>
  </r>
  <r>
    <d v="2026-07-30T00:00:00"/>
    <x v="11"/>
    <s v="ASIANPAINT.NS"/>
    <n v="2758.10009765625"/>
    <n v="2767.89990234375"/>
    <n v="2666.199951171875"/>
    <n v="2746.199951171875"/>
    <n v="2387024"/>
    <n v="-3.33"/>
    <n v="21.7"/>
    <x v="10"/>
    <s v="Q3-2026"/>
  </r>
  <r>
    <d v="2026-07-30T00:00:00"/>
    <x v="12"/>
    <s v="HINDUNILVR.NS"/>
    <n v="2120"/>
    <n v="2132.60009765625"/>
    <n v="2088"/>
    <n v="2107.89990234375"/>
    <n v="2602039"/>
    <n v="-1.51"/>
    <n v="24.7"/>
    <x v="10"/>
    <s v="Q3-2026"/>
  </r>
  <r>
    <d v="2026-07-30T00:00:00"/>
    <x v="13"/>
    <s v="LT.NS"/>
    <n v="3931.39990234375"/>
    <n v="3951.699951171875"/>
    <n v="3883.5"/>
    <n v="3937.699951171875"/>
    <n v="2141252"/>
    <n v="-1.22"/>
    <n v="14"/>
    <x v="10"/>
    <s v="Q3-2026"/>
  </r>
  <r>
    <d v="2026-07-30T00:00:00"/>
    <x v="14"/>
    <s v="AXISBANK.NS"/>
    <n v="1229"/>
    <n v="1232.199951171875"/>
    <n v="1220.199951171875"/>
    <n v="1228.900024414062"/>
    <n v="6878684"/>
    <n v="-0.72"/>
    <n v="3.3"/>
    <x v="10"/>
    <s v="Q3-2026"/>
  </r>
  <r>
    <d v="2026-07-31T00:00:00"/>
    <x v="0"/>
    <s v="RELIANCE.NS"/>
    <n v="1295"/>
    <n v="1309.699951171875"/>
    <n v="1293.599975585938"/>
    <n v="1307.800048828125"/>
    <n v="8624996"/>
    <n v="-0.11"/>
    <n v="1.9"/>
    <x v="10"/>
    <s v="Q3-2026"/>
  </r>
  <r>
    <d v="2026-07-31T00:00:00"/>
    <x v="1"/>
    <s v="TCS.NS"/>
    <n v="2385"/>
    <n v="2391"/>
    <n v="2326.10009765625"/>
    <n v="2365.60009765625"/>
    <n v="4343683"/>
    <n v="-2.4700000000000002"/>
    <n v="25.4"/>
    <x v="10"/>
    <s v="Q3-2026"/>
  </r>
  <r>
    <d v="2026-07-31T00:00:00"/>
    <x v="2"/>
    <s v="INFY.NS"/>
    <n v="1118.900024414062"/>
    <n v="1139.300048828125"/>
    <n v="1107.199951171875"/>
    <n v="1130.099975585938"/>
    <n v="14367075"/>
    <n v="-1.05"/>
    <n v="9.1999999999999993"/>
    <x v="10"/>
    <s v="Q3-2026"/>
  </r>
  <r>
    <d v="2026-07-31T00:00:00"/>
    <x v="3"/>
    <s v="HDFCBANK.NS"/>
    <n v="753.95001220703125"/>
    <n v="757.54998779296875"/>
    <n v="747.20001220703125"/>
    <n v="748.1500244140625"/>
    <n v="25522483"/>
    <n v="-0.9"/>
    <n v="9.4"/>
    <x v="10"/>
    <s v="Q3-2026"/>
  </r>
  <r>
    <d v="2026-07-31T00:00:00"/>
    <x v="4"/>
    <s v="ICICIBANK.NS"/>
    <n v="1422.3092446667811"/>
    <n v="1429.845684161399"/>
    <n v="1419.4334645695481"/>
    <n v="1423.400024414062"/>
    <n v="8752440"/>
    <n v="-0.2"/>
    <n v="6.45"/>
    <x v="10"/>
    <s v="Q3-2026"/>
  </r>
  <r>
    <d v="2026-07-31T00:00:00"/>
    <x v="5"/>
    <s v="WIPRO.NS"/>
    <n v="184.8500061035156"/>
    <n v="185.24000549316409"/>
    <n v="180.83000183105469"/>
    <n v="183.6499938964844"/>
    <n v="18762810"/>
    <n v="-2.17"/>
    <n v="1.59"/>
    <x v="10"/>
    <s v="Q3-2026"/>
  </r>
  <r>
    <d v="2026-07-31T00:00:00"/>
    <x v="6"/>
    <s v="HCLTECH.NS"/>
    <n v="1317.699951171875"/>
    <n v="1356.5"/>
    <n v="1294.300048828125"/>
    <n v="1346.900024414062"/>
    <n v="3369019"/>
    <n v="-1.78"/>
    <n v="9.6"/>
    <x v="10"/>
    <s v="Q3-2026"/>
  </r>
  <r>
    <d v="2026-07-31T00:00:00"/>
    <x v="7"/>
    <s v="BAJFINANCE.NS"/>
    <n v="1095"/>
    <n v="1151.5"/>
    <n v="1083.599975585938"/>
    <n v="1141.199951171875"/>
    <n v="40814590"/>
    <n v="-1.04"/>
    <n v="10.3"/>
    <x v="10"/>
    <s v="Q3-2026"/>
  </r>
  <r>
    <d v="2026-07-31T00:00:00"/>
    <x v="8"/>
    <s v="MARUTI.NS"/>
    <n v="14108.30965909091"/>
    <n v="14205.33522727273"/>
    <n v="13983.5625"/>
    <n v="14092.46875"/>
    <n v="535417"/>
    <n v="-0.88"/>
    <n v="112.87"/>
    <x v="10"/>
    <s v="Q3-2026"/>
  </r>
  <r>
    <d v="2026-07-31T00:00:00"/>
    <x v="9"/>
    <s v="TMPV.NS"/>
    <n v="335.54998779296881"/>
    <n v="341.95001220703119"/>
    <n v="334.5"/>
    <n v="339.75"/>
    <n v="8527463"/>
    <n v="-0.31"/>
    <n v="2.2000000000000002"/>
    <x v="10"/>
    <s v="Q3-2026"/>
  </r>
  <r>
    <d v="2026-07-31T00:00:00"/>
    <x v="10"/>
    <s v="SUNPHARMA.NS"/>
    <n v="2016.400024414062"/>
    <n v="2046.900024414062"/>
    <n v="1965.300048828125"/>
    <n v="1990.5"/>
    <n v="4954449"/>
    <n v="-2.5299999999999998"/>
    <n v="56.4"/>
    <x v="10"/>
    <s v="Q3-2026"/>
  </r>
  <r>
    <d v="2026-07-31T00:00:00"/>
    <x v="11"/>
    <s v="ASIANPAINT.NS"/>
    <n v="2773.89990234375"/>
    <n v="2774.89990234375"/>
    <n v="2732.39990234375"/>
    <n v="2747.300048828125"/>
    <n v="891738"/>
    <n v="-1.5"/>
    <n v="27.6"/>
    <x v="10"/>
    <s v="Q3-2026"/>
  </r>
  <r>
    <d v="2026-07-31T00:00:00"/>
    <x v="12"/>
    <s v="HINDUNILVR.NS"/>
    <n v="2119.60009765625"/>
    <n v="2119.60009765625"/>
    <n v="2091.10009765625"/>
    <n v="2101.300048828125"/>
    <n v="1759019"/>
    <n v="-1.34"/>
    <n v="18.3"/>
    <x v="10"/>
    <s v="Q3-2026"/>
  </r>
  <r>
    <d v="2026-07-31T00:00:00"/>
    <x v="13"/>
    <s v="LT.NS"/>
    <n v="3962.89990234375"/>
    <n v="3973.10009765625"/>
    <n v="3923.199951171875"/>
    <n v="3938.89990234375"/>
    <n v="1753377"/>
    <n v="-1"/>
    <n v="34.200000000000003"/>
    <x v="10"/>
    <s v="Q3-2026"/>
  </r>
  <r>
    <d v="2026-07-31T00:00:00"/>
    <x v="14"/>
    <s v="AXISBANK.NS"/>
    <n v="1226.199951171875"/>
    <n v="1239.699951171875"/>
    <n v="1226"/>
    <n v="1229.5"/>
    <n v="7487936"/>
    <n v="-0.02"/>
    <n v="10.199999999999999"/>
    <x v="10"/>
    <s v="Q3-2026"/>
  </r>
  <r>
    <d v="2026-08-03T00:00:00"/>
    <x v="0"/>
    <s v="RELIANCE.NS"/>
    <n v="1315.199951171875"/>
    <n v="1319"/>
    <n v="1306"/>
    <n v="1319"/>
    <n v="7508023"/>
    <n v="-0.7"/>
    <n v="0"/>
    <x v="11"/>
    <s v="Q3-2026"/>
  </r>
  <r>
    <d v="2026-08-03T00:00:00"/>
    <x v="1"/>
    <s v="TCS.NS"/>
    <n v="2383.89990234375"/>
    <n v="2473.699951171875"/>
    <n v="2383"/>
    <n v="2473.699951171875"/>
    <n v="3036839"/>
    <n v="-0.04"/>
    <n v="0"/>
    <x v="11"/>
    <s v="Q3-2026"/>
  </r>
  <r>
    <d v="2026-08-03T00:00:00"/>
    <x v="2"/>
    <s v="INFY.NS"/>
    <n v="1145.099975585938"/>
    <n v="1180"/>
    <n v="1138.099975585938"/>
    <n v="1180"/>
    <n v="8582270"/>
    <n v="-0.61"/>
    <n v="0"/>
    <x v="11"/>
    <s v="Q3-2026"/>
  </r>
  <r>
    <d v="2026-08-03T00:00:00"/>
    <x v="3"/>
    <s v="HDFCBANK.NS"/>
    <n v="753.04998779296875"/>
    <n v="756.8499755859375"/>
    <n v="750.04998779296875"/>
    <n v="753"/>
    <n v="14827841"/>
    <n v="-0.4"/>
    <n v="3.85"/>
    <x v="11"/>
    <s v="Q3-2026"/>
  </r>
  <r>
    <d v="2026-08-03T00:00:00"/>
    <x v="4"/>
    <s v="ICICIBANK.NS"/>
    <n v="1442"/>
    <n v="1460"/>
    <n v="1433"/>
    <n v="1460"/>
    <n v="7706747"/>
    <n v="-0.62"/>
    <n v="0"/>
    <x v="11"/>
    <s v="Q3-2026"/>
  </r>
  <r>
    <d v="2026-08-03T00:00:00"/>
    <x v="5"/>
    <s v="WIPRO.NS"/>
    <n v="184.02000427246091"/>
    <n v="189.80999755859381"/>
    <n v="184.02000427246091"/>
    <n v="188.6600036621094"/>
    <n v="15840516"/>
    <n v="0"/>
    <n v="1.1499999999999999"/>
    <x v="11"/>
    <s v="Q3-2026"/>
  </r>
  <r>
    <d v="2026-08-03T00:00:00"/>
    <x v="6"/>
    <s v="HCLTECH.NS"/>
    <n v="1352"/>
    <n v="1377"/>
    <n v="1343.5"/>
    <n v="1377"/>
    <n v="2314332"/>
    <n v="-0.63"/>
    <n v="0"/>
    <x v="11"/>
    <s v="Q3-2026"/>
  </r>
  <r>
    <d v="2026-08-03T00:00:00"/>
    <x v="7"/>
    <s v="BAJFINANCE.NS"/>
    <n v="1176.300048828125"/>
    <n v="1176.400024414062"/>
    <n v="1140.199951171875"/>
    <n v="1153"/>
    <n v="13758012"/>
    <n v="-3.07"/>
    <n v="23.4"/>
    <x v="11"/>
    <s v="Q3-2026"/>
  </r>
  <r>
    <d v="2026-08-03T00:00:00"/>
    <x v="8"/>
    <s v="MARUTI.NS"/>
    <n v="14157.812230841429"/>
    <n v="14296.42018275177"/>
    <n v="13762.779567896971"/>
    <n v="14009.3037109375"/>
    <n v="961183"/>
    <n v="-2.79"/>
    <n v="287.12"/>
    <x v="11"/>
    <s v="Q3-2026"/>
  </r>
  <r>
    <d v="2026-08-03T00:00:00"/>
    <x v="9"/>
    <s v="TMPV.NS"/>
    <n v="344.5"/>
    <n v="350.45001220703119"/>
    <n v="343.5"/>
    <n v="349.29998779296881"/>
    <n v="12027810"/>
    <n v="-0.28999999999999998"/>
    <n v="1.1499999999999999"/>
    <x v="11"/>
    <s v="Q3-2026"/>
  </r>
  <r>
    <d v="2026-08-03T00:00:00"/>
    <x v="10"/>
    <s v="SUNPHARMA.NS"/>
    <n v="1983.199951171875"/>
    <n v="1988"/>
    <n v="1935.199951171875"/>
    <n v="1963.5"/>
    <n v="3972351"/>
    <n v="-2.42"/>
    <n v="24.5"/>
    <x v="11"/>
    <s v="Q3-2026"/>
  </r>
  <r>
    <d v="2026-08-03T00:00:00"/>
    <x v="11"/>
    <s v="ASIANPAINT.NS"/>
    <n v="2770.89990234375"/>
    <n v="2810"/>
    <n v="2762.10009765625"/>
    <n v="2810"/>
    <n v="1040453"/>
    <n v="-0.32"/>
    <n v="0"/>
    <x v="11"/>
    <s v="Q3-2026"/>
  </r>
  <r>
    <d v="2026-08-03T00:00:00"/>
    <x v="12"/>
    <s v="HINDUNILVR.NS"/>
    <n v="2107"/>
    <n v="2138"/>
    <n v="2105.300048828125"/>
    <n v="2138"/>
    <n v="740649"/>
    <n v="-0.08"/>
    <n v="0"/>
    <x v="11"/>
    <s v="Q3-2026"/>
  </r>
  <r>
    <d v="2026-08-03T00:00:00"/>
    <x v="13"/>
    <s v="LT.NS"/>
    <n v="3974"/>
    <n v="4025"/>
    <n v="3962.5"/>
    <n v="4025"/>
    <n v="1890377"/>
    <n v="-0.28999999999999998"/>
    <n v="0"/>
    <x v="11"/>
    <s v="Q3-2026"/>
  </r>
  <r>
    <d v="2026-08-03T00:00:00"/>
    <x v="14"/>
    <s v="AXISBANK.NS"/>
    <n v="1236.900024414062"/>
    <n v="1272"/>
    <n v="1230.5"/>
    <n v="1272"/>
    <n v="6713421"/>
    <n v="-0.52"/>
    <n v="0"/>
    <x v="11"/>
    <s v="Q3-2026"/>
  </r>
  <r>
    <d v="2026-08-04T00:00:00"/>
    <x v="0"/>
    <s v="RELIANCE.NS"/>
    <n v="1315"/>
    <n v="1315"/>
    <n v="1286.400024414062"/>
    <n v="1290.900024414062"/>
    <n v="10759546"/>
    <n v="-2.17"/>
    <n v="24.1"/>
    <x v="11"/>
    <s v="Q3-2026"/>
  </r>
  <r>
    <d v="2026-08-04T00:00:00"/>
    <x v="1"/>
    <s v="TCS.NS"/>
    <n v="2463.10009765625"/>
    <n v="2467.39990234375"/>
    <n v="2435.10009765625"/>
    <n v="2460"/>
    <n v="2792792"/>
    <n v="-1.1399999999999999"/>
    <n v="7.4"/>
    <x v="11"/>
    <s v="Q3-2026"/>
  </r>
  <r>
    <d v="2026-08-04T00:00:00"/>
    <x v="2"/>
    <s v="INFY.NS"/>
    <n v="1168"/>
    <n v="1175.699951171875"/>
    <n v="1153.300048828125"/>
    <n v="1167.5"/>
    <n v="9243589"/>
    <n v="-1.26"/>
    <n v="8.1999999999999993"/>
    <x v="11"/>
    <s v="Q3-2026"/>
  </r>
  <r>
    <d v="2026-08-04T00:00:00"/>
    <x v="3"/>
    <s v="HDFCBANK.NS"/>
    <n v="753.20001220703125"/>
    <n v="753.20001220703125"/>
    <n v="738"/>
    <n v="742"/>
    <n v="31559802"/>
    <n v="-2.02"/>
    <n v="11.2"/>
    <x v="11"/>
    <s v="Q3-2026"/>
  </r>
  <r>
    <d v="2026-08-04T00:00:00"/>
    <x v="4"/>
    <s v="ICICIBANK.NS"/>
    <n v="1452"/>
    <n v="1454.599975585938"/>
    <n v="1430.800048828125"/>
    <n v="1454.599975585938"/>
    <n v="11458963"/>
    <n v="-1.46"/>
    <n v="0"/>
    <x v="11"/>
    <s v="Q3-2026"/>
  </r>
  <r>
    <d v="2026-08-04T00:00:00"/>
    <x v="5"/>
    <s v="WIPRO.NS"/>
    <n v="189"/>
    <n v="189.3999938964844"/>
    <n v="186.30000305175781"/>
    <n v="186.30000305175781"/>
    <n v="11903457"/>
    <n v="-1.43"/>
    <n v="3.1"/>
    <x v="11"/>
    <s v="Q3-2026"/>
  </r>
  <r>
    <d v="2026-08-04T00:00:00"/>
    <x v="6"/>
    <s v="HCLTECH.NS"/>
    <n v="1375.699951171875"/>
    <n v="1375.900024414062"/>
    <n v="1347.400024414062"/>
    <n v="1369.900024414062"/>
    <n v="3013543"/>
    <n v="-2.06"/>
    <n v="6"/>
    <x v="11"/>
    <s v="Q3-2026"/>
  </r>
  <r>
    <d v="2026-08-04T00:00:00"/>
    <x v="7"/>
    <s v="BAJFINANCE.NS"/>
    <n v="1164"/>
    <n v="1164"/>
    <n v="1139.5"/>
    <n v="1149"/>
    <n v="9437990"/>
    <n v="-2.1"/>
    <n v="15"/>
    <x v="11"/>
    <s v="Q3-2026"/>
  </r>
  <r>
    <d v="2026-08-04T00:00:00"/>
    <x v="8"/>
    <s v="MARUTI.NS"/>
    <n v="13983.5625"/>
    <n v="14112.26988636364"/>
    <n v="13875.64630681818"/>
    <n v="14027.125"/>
    <n v="619717"/>
    <n v="-0.77"/>
    <n v="85.14"/>
    <x v="11"/>
    <s v="Q3-2026"/>
  </r>
  <r>
    <d v="2026-08-04T00:00:00"/>
    <x v="9"/>
    <s v="TMPV.NS"/>
    <n v="348.95001220703119"/>
    <n v="349.54998779296881"/>
    <n v="345"/>
    <n v="348.54998779296881"/>
    <n v="8003110"/>
    <n v="-1.1299999999999999"/>
    <n v="1"/>
    <x v="11"/>
    <s v="Q3-2026"/>
  </r>
  <r>
    <d v="2026-08-04T00:00:00"/>
    <x v="10"/>
    <s v="SUNPHARMA.NS"/>
    <n v="1951.099975585938"/>
    <n v="1965"/>
    <n v="1947"/>
    <n v="1964"/>
    <n v="1452888"/>
    <n v="-0.21"/>
    <n v="1"/>
    <x v="11"/>
    <s v="Q3-2026"/>
  </r>
  <r>
    <d v="2026-08-04T00:00:00"/>
    <x v="11"/>
    <s v="ASIANPAINT.NS"/>
    <n v="2774.89990234375"/>
    <n v="2807.300048828125"/>
    <n v="2732.39990234375"/>
    <n v="2775"/>
    <n v="820097"/>
    <n v="-1.53"/>
    <n v="32.299999999999997"/>
    <x v="11"/>
    <s v="Q3-2026"/>
  </r>
  <r>
    <d v="2026-08-04T00:00:00"/>
    <x v="12"/>
    <s v="HINDUNILVR.NS"/>
    <n v="2119.10009765625"/>
    <n v="2119.10009765625"/>
    <n v="2070.199951171875"/>
    <n v="2096.5"/>
    <n v="1657094"/>
    <n v="-2.31"/>
    <n v="22.6"/>
    <x v="11"/>
    <s v="Q3-2026"/>
  </r>
  <r>
    <d v="2026-08-04T00:00:00"/>
    <x v="13"/>
    <s v="LT.NS"/>
    <n v="4007.199951171875"/>
    <n v="4042.39990234375"/>
    <n v="3988.199951171875"/>
    <n v="3990"/>
    <n v="1827982"/>
    <n v="-0.47"/>
    <n v="52.4"/>
    <x v="11"/>
    <s v="Q3-2026"/>
  </r>
  <r>
    <d v="2026-08-04T00:00:00"/>
    <x v="14"/>
    <s v="AXISBANK.NS"/>
    <n v="1264"/>
    <n v="1264"/>
    <n v="1244"/>
    <n v="1261.800048828125"/>
    <n v="5694891"/>
    <n v="-1.58"/>
    <n v="2.2000000000000002"/>
    <x v="11"/>
    <s v="Q3-2026"/>
  </r>
  <r>
    <d v="2026-08-05T00:00:00"/>
    <x v="0"/>
    <s v="RELIANCE.NS"/>
    <n v="1293"/>
    <n v="1299"/>
    <n v="1270.099975585938"/>
    <n v="1280"/>
    <n v="24820782"/>
    <n v="-1.77"/>
    <n v="19"/>
    <x v="11"/>
    <s v="Q3-2026"/>
  </r>
  <r>
    <d v="2026-08-05T00:00:00"/>
    <x v="1"/>
    <s v="TCS.NS"/>
    <n v="2460"/>
    <n v="2460.89990234375"/>
    <n v="2408"/>
    <n v="2413"/>
    <n v="3014409"/>
    <n v="-2.11"/>
    <n v="47.9"/>
    <x v="11"/>
    <s v="Q3-2026"/>
  </r>
  <r>
    <d v="2026-08-05T00:00:00"/>
    <x v="2"/>
    <s v="INFY.NS"/>
    <n v="1174.699951171875"/>
    <n v="1177.5"/>
    <n v="1162.300048828125"/>
    <n v="1174"/>
    <n v="9964155"/>
    <n v="-1.06"/>
    <n v="3.5"/>
    <x v="11"/>
    <s v="Q3-2026"/>
  </r>
  <r>
    <d v="2026-08-05T00:00:00"/>
    <x v="3"/>
    <s v="HDFCBANK.NS"/>
    <n v="733.79998779296875"/>
    <n v="741.95001220703125"/>
    <n v="732.5999755859375"/>
    <n v="735"/>
    <n v="60050538"/>
    <n v="-0.16"/>
    <n v="6.95"/>
    <x v="11"/>
    <s v="Q3-2026"/>
  </r>
  <r>
    <d v="2026-08-05T00:00:00"/>
    <x v="4"/>
    <s v="ICICIBANK.NS"/>
    <n v="1454.599975585938"/>
    <n v="1454.599975585938"/>
    <n v="1431.199951171875"/>
    <n v="1450.099975585938"/>
    <n v="11723296"/>
    <n v="-1.61"/>
    <n v="4.5"/>
    <x v="11"/>
    <s v="Q3-2026"/>
  </r>
  <r>
    <d v="2026-08-05T00:00:00"/>
    <x v="5"/>
    <s v="WIPRO.NS"/>
    <n v="187"/>
    <n v="188.53999328613281"/>
    <n v="186.07000732421881"/>
    <n v="186.99000549316409"/>
    <n v="8829250"/>
    <n v="-0.5"/>
    <n v="1.55"/>
    <x v="11"/>
    <s v="Q3-2026"/>
  </r>
  <r>
    <d v="2026-08-05T00:00:00"/>
    <x v="6"/>
    <s v="HCLTECH.NS"/>
    <n v="1370"/>
    <n v="1375"/>
    <n v="1337.099975585938"/>
    <n v="1350"/>
    <n v="3215211"/>
    <n v="-2.4"/>
    <n v="25"/>
    <x v="11"/>
    <s v="Q3-2026"/>
  </r>
  <r>
    <d v="2026-08-05T00:00:00"/>
    <x v="7"/>
    <s v="BAJFINANCE.NS"/>
    <n v="1152"/>
    <n v="1166"/>
    <n v="1145.099975585938"/>
    <n v="1158.800048828125"/>
    <n v="5154683"/>
    <n v="-0.6"/>
    <n v="7.2"/>
    <x v="11"/>
    <s v="Q3-2026"/>
  </r>
  <r>
    <d v="2026-08-05T00:00:00"/>
    <x v="8"/>
    <s v="MARUTI.NS"/>
    <n v="14098.40909090909"/>
    <n v="14107.31960227273"/>
    <n v="13948.91051136364"/>
    <n v="14048.90625"/>
    <n v="312540"/>
    <n v="-1.06"/>
    <n v="58.41"/>
    <x v="11"/>
    <s v="Q3-2026"/>
  </r>
  <r>
    <d v="2026-08-05T00:00:00"/>
    <x v="9"/>
    <s v="TMPV.NS"/>
    <n v="349"/>
    <n v="353.20001220703119"/>
    <n v="346.39999389648438"/>
    <n v="349.79998779296881"/>
    <n v="7110154"/>
    <n v="-0.74"/>
    <n v="3.4"/>
    <x v="11"/>
    <s v="Q3-2026"/>
  </r>
  <r>
    <d v="2026-08-05T00:00:00"/>
    <x v="10"/>
    <s v="SUNPHARMA.NS"/>
    <n v="1967.800048828125"/>
    <n v="1968.199951171875"/>
    <n v="1934"/>
    <n v="1940"/>
    <n v="2152829"/>
    <n v="-1.72"/>
    <n v="28.2"/>
    <x v="11"/>
    <s v="Q3-2026"/>
  </r>
  <r>
    <d v="2026-08-05T00:00:00"/>
    <x v="11"/>
    <s v="ASIANPAINT.NS"/>
    <n v="2787"/>
    <n v="2787"/>
    <n v="2748.699951171875"/>
    <n v="2760"/>
    <n v="688876"/>
    <n v="-1.37"/>
    <n v="27"/>
    <x v="11"/>
    <s v="Q3-2026"/>
  </r>
  <r>
    <d v="2026-08-05T00:00:00"/>
    <x v="12"/>
    <s v="HINDUNILVR.NS"/>
    <n v="2085.300048828125"/>
    <n v="2097.800048828125"/>
    <n v="2074.199951171875"/>
    <n v="2085.300048828125"/>
    <n v="1150148"/>
    <n v="-0.53"/>
    <n v="12.5"/>
    <x v="11"/>
    <s v="Q3-2026"/>
  </r>
  <r>
    <d v="2026-08-05T00:00:00"/>
    <x v="13"/>
    <s v="LT.NS"/>
    <n v="4025"/>
    <n v="4074"/>
    <n v="4024.800048828125"/>
    <n v="4057"/>
    <n v="1910224"/>
    <n v="0"/>
    <n v="17"/>
    <x v="11"/>
    <s v="Q3-2026"/>
  </r>
  <r>
    <d v="2026-08-05T00:00:00"/>
    <x v="14"/>
    <s v="AXISBANK.NS"/>
    <n v="1260"/>
    <n v="1263"/>
    <n v="1246.199951171875"/>
    <n v="1253.900024414062"/>
    <n v="4295407"/>
    <n v="-1.1000000000000001"/>
    <n v="9.1"/>
    <x v="11"/>
    <s v="Q3-2026"/>
  </r>
  <r>
    <d v="2026-08-06T00:00:00"/>
    <x v="0"/>
    <s v="RELIANCE.NS"/>
    <n v="1285"/>
    <n v="1325.199951171875"/>
    <n v="1281.199951171875"/>
    <n v="1325"/>
    <n v="20342297"/>
    <n v="-0.3"/>
    <n v="0.2"/>
    <x v="11"/>
    <s v="Q3-2026"/>
  </r>
  <r>
    <d v="2026-08-06T00:00:00"/>
    <x v="1"/>
    <s v="TCS.NS"/>
    <n v="2417"/>
    <n v="2434.5"/>
    <n v="2368.5"/>
    <n v="2373"/>
    <n v="2729141"/>
    <n v="-2.0099999999999998"/>
    <n v="61.5"/>
    <x v="11"/>
    <s v="Q3-2026"/>
  </r>
  <r>
    <d v="2026-08-06T00:00:00"/>
    <x v="2"/>
    <s v="INFY.NS"/>
    <n v="1174.099975585938"/>
    <n v="1185.800048828125"/>
    <n v="1163"/>
    <n v="1165"/>
    <n v="8521064"/>
    <n v="-0.95"/>
    <n v="20.8"/>
    <x v="11"/>
    <s v="Q3-2026"/>
  </r>
  <r>
    <d v="2026-08-06T00:00:00"/>
    <x v="3"/>
    <s v="HDFCBANK.NS"/>
    <n v="739"/>
    <n v="740.5"/>
    <n v="733.54998779296875"/>
    <n v="734.29998779296875"/>
    <n v="44772122"/>
    <n v="-0.74"/>
    <n v="6.2"/>
    <x v="11"/>
    <s v="Q3-2026"/>
  </r>
  <r>
    <d v="2026-08-06T00:00:00"/>
    <x v="4"/>
    <s v="ICICIBANK.NS"/>
    <n v="1460"/>
    <n v="1460"/>
    <n v="1448.300048828125"/>
    <n v="1457.5"/>
    <n v="14954726"/>
    <n v="-0.8"/>
    <n v="2.5"/>
    <x v="11"/>
    <s v="Q3-2026"/>
  </r>
  <r>
    <d v="2026-08-06T00:00:00"/>
    <x v="5"/>
    <s v="WIPRO.NS"/>
    <n v="186"/>
    <n v="188.24000549316409"/>
    <n v="185.4100036621094"/>
    <n v="186.1199951171875"/>
    <n v="6629768"/>
    <n v="-0.32"/>
    <n v="2.12"/>
    <x v="11"/>
    <s v="Q3-2026"/>
  </r>
  <r>
    <d v="2026-08-06T00:00:00"/>
    <x v="6"/>
    <s v="HCLTECH.NS"/>
    <n v="1349.900024414062"/>
    <n v="1363.199951171875"/>
    <n v="1332.5"/>
    <n v="1335"/>
    <n v="3821560"/>
    <n v="-1.29"/>
    <n v="28.2"/>
    <x v="11"/>
    <s v="Q3-2026"/>
  </r>
  <r>
    <d v="2026-08-06T00:00:00"/>
    <x v="7"/>
    <s v="BAJFINANCE.NS"/>
    <n v="1155.5"/>
    <n v="1160.199951171875"/>
    <n v="1144.599975585938"/>
    <n v="1144.800048828125"/>
    <n v="6472397"/>
    <n v="-0.94"/>
    <n v="15.4"/>
    <x v="11"/>
    <s v="Q3-2026"/>
  </r>
  <r>
    <d v="2026-08-06T00:00:00"/>
    <x v="8"/>
    <s v="MARUTI.NS"/>
    <n v="14039.99573863636"/>
    <n v="14039.99573863636"/>
    <n v="13845.94460227273"/>
    <n v="13940"/>
    <n v="333510"/>
    <n v="-1.38"/>
    <n v="100"/>
    <x v="11"/>
    <s v="Q3-2026"/>
  </r>
  <r>
    <d v="2026-08-06T00:00:00"/>
    <x v="9"/>
    <s v="TMPV.NS"/>
    <n v="349"/>
    <n v="349"/>
    <n v="343"/>
    <n v="345.35000610351563"/>
    <n v="5218339"/>
    <n v="-1.72"/>
    <n v="3.65"/>
    <x v="11"/>
    <s v="Q3-2026"/>
  </r>
  <r>
    <d v="2026-08-06T00:00:00"/>
    <x v="10"/>
    <s v="SUNPHARMA.NS"/>
    <n v="1930"/>
    <n v="1965.900024414062"/>
    <n v="1930"/>
    <n v="1951"/>
    <n v="1864891"/>
    <n v="0"/>
    <n v="14.9"/>
    <x v="11"/>
    <s v="Q3-2026"/>
  </r>
  <r>
    <d v="2026-08-06T00:00:00"/>
    <x v="11"/>
    <s v="ASIANPAINT.NS"/>
    <n v="2788"/>
    <n v="2788"/>
    <n v="2741.60009765625"/>
    <n v="2755"/>
    <n v="797083"/>
    <n v="-1.66"/>
    <n v="33"/>
    <x v="11"/>
    <s v="Q3-2026"/>
  </r>
  <r>
    <d v="2026-08-06T00:00:00"/>
    <x v="12"/>
    <s v="HINDUNILVR.NS"/>
    <n v="2081"/>
    <n v="2094"/>
    <n v="2075.199951171875"/>
    <n v="2079.5"/>
    <n v="1160270"/>
    <n v="-0.28000000000000003"/>
    <n v="14.5"/>
    <x v="11"/>
    <s v="Q3-2026"/>
  </r>
  <r>
    <d v="2026-08-06T00:00:00"/>
    <x v="13"/>
    <s v="LT.NS"/>
    <n v="4056"/>
    <n v="4070"/>
    <n v="4045"/>
    <n v="4061.800048828125"/>
    <n v="1401341"/>
    <n v="-0.27"/>
    <n v="8.1999999999999993"/>
    <x v="11"/>
    <s v="Q3-2026"/>
  </r>
  <r>
    <d v="2026-08-06T00:00:00"/>
    <x v="14"/>
    <s v="AXISBANK.NS"/>
    <n v="1256.099975585938"/>
    <n v="1259.900024414062"/>
    <n v="1248.300048828125"/>
    <n v="1256"/>
    <n v="4845792"/>
    <n v="-0.62"/>
    <n v="3.9"/>
    <x v="11"/>
    <s v="Q3-2026"/>
  </r>
  <r>
    <d v="2026-08-07T00:00:00"/>
    <x v="0"/>
    <s v="RELIANCE.NS"/>
    <n v="1320"/>
    <n v="1337"/>
    <n v="1316.599975585938"/>
    <n v="1334.800048828125"/>
    <n v="9885638"/>
    <n v="-0.26"/>
    <n v="2.2000000000000002"/>
    <x v="11"/>
    <s v="Q3-2026"/>
  </r>
  <r>
    <d v="2026-08-07T00:00:00"/>
    <x v="1"/>
    <s v="TCS.NS"/>
    <n v="2375"/>
    <n v="2457.699951171875"/>
    <n v="2375"/>
    <n v="2452.699951171875"/>
    <n v="4547979"/>
    <n v="0"/>
    <n v="5"/>
    <x v="11"/>
    <s v="Q3-2026"/>
  </r>
  <r>
    <d v="2026-08-07T00:00:00"/>
    <x v="2"/>
    <s v="INFY.NS"/>
    <n v="1160"/>
    <n v="1183"/>
    <n v="1155.599975585938"/>
    <n v="1175.099975585938"/>
    <n v="7581410"/>
    <n v="-0.38"/>
    <n v="7.9"/>
    <x v="11"/>
    <s v="Q3-2026"/>
  </r>
  <r>
    <d v="2026-08-07T00:00:00"/>
    <x v="3"/>
    <s v="HDFCBANK.NS"/>
    <n v="733"/>
    <n v="736"/>
    <n v="728.20001220703125"/>
    <n v="731"/>
    <n v="19382042"/>
    <n v="-0.65"/>
    <n v="5"/>
    <x v="11"/>
    <s v="Q3-2026"/>
  </r>
  <r>
    <d v="2026-08-07T00:00:00"/>
    <x v="4"/>
    <s v="ICICIBANK.NS"/>
    <n v="1451"/>
    <n v="1455"/>
    <n v="1418.199951171875"/>
    <n v="1421"/>
    <n v="14395789"/>
    <n v="-2.2599999999999998"/>
    <n v="34"/>
    <x v="11"/>
    <s v="Q3-2026"/>
  </r>
  <r>
    <d v="2026-08-07T00:00:00"/>
    <x v="5"/>
    <s v="WIPRO.NS"/>
    <n v="185.8699951171875"/>
    <n v="188.3699951171875"/>
    <n v="185.6499938964844"/>
    <n v="187.5299987792969"/>
    <n v="7823102"/>
    <n v="-0.12"/>
    <n v="0.84"/>
    <x v="11"/>
    <s v="Q3-2026"/>
  </r>
  <r>
    <d v="2026-08-07T00:00:00"/>
    <x v="6"/>
    <s v="HCLTECH.NS"/>
    <n v="1329"/>
    <n v="1369"/>
    <n v="1328"/>
    <n v="1356.599975585938"/>
    <n v="1725616"/>
    <n v="-0.08"/>
    <n v="12.4"/>
    <x v="11"/>
    <s v="Q3-2026"/>
  </r>
  <r>
    <d v="2026-08-07T00:00:00"/>
    <x v="7"/>
    <s v="BAJFINANCE.NS"/>
    <n v="1113"/>
    <n v="1113"/>
    <n v="1074.5"/>
    <n v="1078"/>
    <n v="15614001"/>
    <n v="-3.46"/>
    <n v="35"/>
    <x v="11"/>
    <s v="Q3-2026"/>
  </r>
  <r>
    <d v="2026-08-07T00:00:00"/>
    <x v="8"/>
    <s v="MARUTI.NS"/>
    <n v="13811"/>
    <n v="14038"/>
    <n v="13811"/>
    <n v="14037"/>
    <n v="324104"/>
    <n v="0"/>
    <n v="1"/>
    <x v="11"/>
    <s v="Q3-2026"/>
  </r>
  <r>
    <d v="2026-08-07T00:00:00"/>
    <x v="9"/>
    <s v="TMPV.NS"/>
    <n v="345"/>
    <n v="349.79998779296881"/>
    <n v="343.64999389648438"/>
    <n v="347"/>
    <n v="4274035"/>
    <n v="-0.39"/>
    <n v="2.8"/>
    <x v="11"/>
    <s v="Q3-2026"/>
  </r>
  <r>
    <d v="2026-08-07T00:00:00"/>
    <x v="10"/>
    <s v="SUNPHARMA.NS"/>
    <n v="1955"/>
    <n v="1957"/>
    <n v="1925.099975585938"/>
    <n v="1945"/>
    <n v="2425268"/>
    <n v="-1.53"/>
    <n v="12"/>
    <x v="11"/>
    <s v="Q3-2026"/>
  </r>
  <r>
    <d v="2026-08-07T00:00:00"/>
    <x v="11"/>
    <s v="ASIANPAINT.NS"/>
    <n v="2755"/>
    <n v="2755"/>
    <n v="2695"/>
    <n v="2735"/>
    <n v="1067986"/>
    <n v="-2.1800000000000002"/>
    <n v="20"/>
    <x v="11"/>
    <s v="Q3-2026"/>
  </r>
  <r>
    <d v="2026-08-07T00:00:00"/>
    <x v="12"/>
    <s v="HINDUNILVR.NS"/>
    <n v="2083.10009765625"/>
    <n v="2099.39990234375"/>
    <n v="2077.199951171875"/>
    <n v="2096"/>
    <n v="1054665"/>
    <n v="-0.28000000000000003"/>
    <n v="3.4"/>
    <x v="11"/>
    <s v="Q3-2026"/>
  </r>
  <r>
    <d v="2026-08-07T00:00:00"/>
    <x v="13"/>
    <s v="LT.NS"/>
    <n v="4040.10009765625"/>
    <n v="4062"/>
    <n v="4030"/>
    <n v="4056"/>
    <n v="901290"/>
    <n v="-0.25"/>
    <n v="6"/>
    <x v="11"/>
    <s v="Q3-2026"/>
  </r>
  <r>
    <d v="2026-08-07T00:00:00"/>
    <x v="14"/>
    <s v="AXISBANK.NS"/>
    <n v="1252.099975585938"/>
    <n v="1256"/>
    <n v="1238"/>
    <n v="1238"/>
    <n v="3628823"/>
    <n v="-1.1299999999999999"/>
    <n v="18"/>
    <x v="11"/>
    <s v="Q3-2026"/>
  </r>
  <r>
    <d v="2026-08-10T00:00:00"/>
    <x v="0"/>
    <s v="RELIANCE.NS"/>
    <n v="1330.099975585938"/>
    <n v="1332.900024414062"/>
    <n v="1321.300048828125"/>
    <n v="1327.300048828125"/>
    <n v="8207102"/>
    <n v="-0.66"/>
    <n v="5.6"/>
    <x v="11"/>
    <s v="Q3-2026"/>
  </r>
  <r>
    <d v="2026-08-10T00:00:00"/>
    <x v="1"/>
    <s v="TCS.NS"/>
    <n v="2452.699951171875"/>
    <n v="2472.89990234375"/>
    <n v="2423.5"/>
    <n v="2425.699951171875"/>
    <n v="2322023"/>
    <n v="-1.19"/>
    <n v="47.2"/>
    <x v="11"/>
    <s v="Q3-2026"/>
  </r>
  <r>
    <d v="2026-08-10T00:00:00"/>
    <x v="2"/>
    <s v="INFY.NS"/>
    <n v="1178.099975585938"/>
    <n v="1195"/>
    <n v="1175.199951171875"/>
    <n v="1183"/>
    <n v="9377001"/>
    <n v="-0.25"/>
    <n v="12"/>
    <x v="11"/>
    <s v="Q3-2026"/>
  </r>
  <r>
    <d v="2026-08-10T00:00:00"/>
    <x v="3"/>
    <s v="HDFCBANK.NS"/>
    <n v="731.5"/>
    <n v="737.54998779296875"/>
    <n v="728.5"/>
    <n v="731"/>
    <n v="23660590"/>
    <n v="-0.41"/>
    <n v="6.55"/>
    <x v="11"/>
    <s v="Q3-2026"/>
  </r>
  <r>
    <d v="2026-08-10T00:00:00"/>
    <x v="4"/>
    <s v="ICICIBANK.NS"/>
    <n v="1428.099975585938"/>
    <n v="1441.900024414062"/>
    <n v="1415.5"/>
    <n v="1431.800048828125"/>
    <n v="12749354"/>
    <n v="-0.88"/>
    <n v="10.1"/>
    <x v="11"/>
    <s v="Q3-2026"/>
  </r>
  <r>
    <d v="2026-08-10T00:00:00"/>
    <x v="5"/>
    <s v="WIPRO.NS"/>
    <n v="187.5299987792969"/>
    <n v="187.88999938964841"/>
    <n v="185"/>
    <n v="185.5"/>
    <n v="5337618"/>
    <n v="-1.35"/>
    <n v="2.39"/>
    <x v="11"/>
    <s v="Q3-2026"/>
  </r>
  <r>
    <d v="2026-08-10T00:00:00"/>
    <x v="6"/>
    <s v="HCLTECH.NS"/>
    <n v="1356.599975585938"/>
    <n v="1367.5"/>
    <n v="1351.599975585938"/>
    <n v="1357.199951171875"/>
    <n v="1321698"/>
    <n v="-0.37"/>
    <n v="10.3"/>
    <x v="11"/>
    <s v="Q3-2026"/>
  </r>
  <r>
    <d v="2026-08-10T00:00:00"/>
    <x v="7"/>
    <s v="BAJFINANCE.NS"/>
    <n v="1078"/>
    <n v="1106.099975585938"/>
    <n v="1070.800048828125"/>
    <n v="1102.199951171875"/>
    <n v="7303098"/>
    <n v="-0.67"/>
    <n v="3.9"/>
    <x v="11"/>
    <s v="Q3-2026"/>
  </r>
  <r>
    <d v="2026-08-10T00:00:00"/>
    <x v="8"/>
    <s v="MARUTI.NS"/>
    <n v="14039"/>
    <n v="14119"/>
    <n v="13954"/>
    <n v="14097"/>
    <n v="299446"/>
    <n v="-0.61"/>
    <n v="22"/>
    <x v="11"/>
    <s v="Q3-2026"/>
  </r>
  <r>
    <d v="2026-08-10T00:00:00"/>
    <x v="9"/>
    <s v="TMPV.NS"/>
    <n v="347"/>
    <n v="351.39999389648438"/>
    <n v="344.60000610351563"/>
    <n v="347.10000610351563"/>
    <n v="5233700"/>
    <n v="-0.69"/>
    <n v="4.3"/>
    <x v="11"/>
    <s v="Q3-2026"/>
  </r>
  <r>
    <d v="2026-08-10T00:00:00"/>
    <x v="10"/>
    <s v="SUNPHARMA.NS"/>
    <n v="1949.900024414062"/>
    <n v="1965"/>
    <n v="1939.800048828125"/>
    <n v="1944.400024414062"/>
    <n v="1726946"/>
    <n v="-0.52"/>
    <n v="20.6"/>
    <x v="11"/>
    <s v="Q3-2026"/>
  </r>
  <r>
    <d v="2026-08-10T00:00:00"/>
    <x v="11"/>
    <s v="ASIANPAINT.NS"/>
    <n v="2724.699951171875"/>
    <n v="2761.5"/>
    <n v="2713.5"/>
    <n v="2750"/>
    <n v="977656"/>
    <n v="-0.41"/>
    <n v="11.5"/>
    <x v="11"/>
    <s v="Q3-2026"/>
  </r>
  <r>
    <d v="2026-08-10T00:00:00"/>
    <x v="12"/>
    <s v="HINDUNILVR.NS"/>
    <n v="2096"/>
    <n v="2097"/>
    <n v="2076"/>
    <n v="2087.199951171875"/>
    <n v="1118008"/>
    <n v="-0.95"/>
    <n v="9.8000000000000007"/>
    <x v="11"/>
    <s v="Q3-2026"/>
  </r>
  <r>
    <d v="2026-08-10T00:00:00"/>
    <x v="13"/>
    <s v="LT.NS"/>
    <n v="4055.699951171875"/>
    <n v="4080"/>
    <n v="4025.800048828125"/>
    <n v="4080"/>
    <n v="1082855"/>
    <n v="-0.74"/>
    <n v="0"/>
    <x v="11"/>
    <s v="Q3-2026"/>
  </r>
  <r>
    <d v="2026-08-10T00:00:00"/>
    <x v="14"/>
    <s v="AXISBANK.NS"/>
    <n v="1235"/>
    <n v="1250"/>
    <n v="1235"/>
    <n v="1247.300048828125"/>
    <n v="3661847"/>
    <n v="0"/>
    <n v="2.7"/>
    <x v="11"/>
    <s v="Q3-2026"/>
  </r>
  <r>
    <d v="2026-08-11T00:00:00"/>
    <x v="0"/>
    <s v="RELIANCE.NS"/>
    <n v="1326.599975585938"/>
    <n v="1328.699951171875"/>
    <n v="1314.099975585938"/>
    <n v="1323.900024414062"/>
    <n v="9953124"/>
    <n v="-0.94"/>
    <n v="4.8"/>
    <x v="11"/>
    <s v="Q3-2026"/>
  </r>
  <r>
    <d v="2026-08-11T00:00:00"/>
    <x v="1"/>
    <s v="TCS.NS"/>
    <n v="2438"/>
    <n v="2456.60009765625"/>
    <n v="2428"/>
    <n v="2445.699951171875"/>
    <n v="1514105"/>
    <n v="-0.41"/>
    <n v="10.9"/>
    <x v="11"/>
    <s v="Q3-2026"/>
  </r>
  <r>
    <d v="2026-08-11T00:00:00"/>
    <x v="2"/>
    <s v="INFY.NS"/>
    <n v="1188"/>
    <n v="1193.5"/>
    <n v="1182"/>
    <n v="1190.699951171875"/>
    <n v="10160091"/>
    <n v="-0.51"/>
    <n v="2.8"/>
    <x v="11"/>
    <s v="Q3-2026"/>
  </r>
  <r>
    <d v="2026-08-11T00:00:00"/>
    <x v="3"/>
    <s v="HDFCBANK.NS"/>
    <n v="730.5"/>
    <n v="730.8499755859375"/>
    <n v="726.54998779296875"/>
    <n v="729"/>
    <n v="29154365"/>
    <n v="-0.54"/>
    <n v="1.85"/>
    <x v="11"/>
    <s v="Q3-2026"/>
  </r>
  <r>
    <d v="2026-08-11T00:00:00"/>
    <x v="4"/>
    <s v="ICICIBANK.NS"/>
    <n v="1432.099975585938"/>
    <n v="1434"/>
    <n v="1412.199951171875"/>
    <n v="1429.599975585938"/>
    <n v="10471914"/>
    <n v="-1.39"/>
    <n v="4.4000000000000004"/>
    <x v="11"/>
    <s v="Q3-2026"/>
  </r>
  <r>
    <d v="2026-08-11T00:00:00"/>
    <x v="5"/>
    <s v="WIPRO.NS"/>
    <n v="185.5"/>
    <n v="187.47999572753909"/>
    <n v="183.30999755859381"/>
    <n v="184.6000061035156"/>
    <n v="9182421"/>
    <n v="-1.18"/>
    <n v="2.88"/>
    <x v="11"/>
    <s v="Q3-2026"/>
  </r>
  <r>
    <d v="2026-08-11T00:00:00"/>
    <x v="6"/>
    <s v="HCLTECH.NS"/>
    <n v="1360.099975585938"/>
    <n v="1379.800048828125"/>
    <n v="1358"/>
    <n v="1365.400024414062"/>
    <n v="1828636"/>
    <n v="-0.15"/>
    <n v="14.4"/>
    <x v="11"/>
    <s v="Q3-2026"/>
  </r>
  <r>
    <d v="2026-08-11T00:00:00"/>
    <x v="7"/>
    <s v="BAJFINANCE.NS"/>
    <n v="1098"/>
    <n v="1101.5"/>
    <n v="1086.300048828125"/>
    <n v="1093.300048828125"/>
    <n v="6523358"/>
    <n v="-1.07"/>
    <n v="8.1999999999999993"/>
    <x v="11"/>
    <s v="Q3-2026"/>
  </r>
  <r>
    <d v="2026-08-11T00:00:00"/>
    <x v="8"/>
    <s v="MARUTI.NS"/>
    <n v="14120"/>
    <n v="14175"/>
    <n v="13980"/>
    <n v="13990"/>
    <n v="334931"/>
    <n v="-0.99"/>
    <n v="185"/>
    <x v="11"/>
    <s v="Q3-2026"/>
  </r>
  <r>
    <d v="2026-08-11T00:00:00"/>
    <x v="9"/>
    <s v="TMPV.NS"/>
    <n v="345.5"/>
    <n v="348.70001220703119"/>
    <n v="344.25"/>
    <n v="347.60000610351563"/>
    <n v="4864857"/>
    <n v="-0.36"/>
    <n v="1.1000000000000001"/>
    <x v="11"/>
    <s v="Q3-2026"/>
  </r>
  <r>
    <d v="2026-08-11T00:00:00"/>
    <x v="10"/>
    <s v="SUNPHARMA.NS"/>
    <n v="1939"/>
    <n v="1951.099975585938"/>
    <n v="1928.599975585938"/>
    <n v="1942"/>
    <n v="2125972"/>
    <n v="-0.54"/>
    <n v="9.1"/>
    <x v="11"/>
    <s v="Q3-2026"/>
  </r>
  <r>
    <d v="2026-08-11T00:00:00"/>
    <x v="11"/>
    <s v="ASIANPAINT.NS"/>
    <n v="2742.10009765625"/>
    <n v="2747.60009765625"/>
    <n v="2720"/>
    <n v="2735.5"/>
    <n v="951134"/>
    <n v="-0.81"/>
    <n v="12.1"/>
    <x v="11"/>
    <s v="Q3-2026"/>
  </r>
  <r>
    <d v="2026-08-11T00:00:00"/>
    <x v="12"/>
    <s v="HINDUNILVR.NS"/>
    <n v="2086"/>
    <n v="2086.5"/>
    <n v="2063.800048828125"/>
    <n v="2064.89990234375"/>
    <n v="956661"/>
    <n v="-1.06"/>
    <n v="21.6"/>
    <x v="11"/>
    <s v="Q3-2026"/>
  </r>
  <r>
    <d v="2026-08-11T00:00:00"/>
    <x v="13"/>
    <s v="LT.NS"/>
    <n v="4075.10009765625"/>
    <n v="4075.5"/>
    <n v="4028.5"/>
    <n v="4037.39990234375"/>
    <n v="1401285"/>
    <n v="-1.1399999999999999"/>
    <n v="38.1"/>
    <x v="11"/>
    <s v="Q3-2026"/>
  </r>
  <r>
    <d v="2026-08-11T00:00:00"/>
    <x v="14"/>
    <s v="AXISBANK.NS"/>
    <n v="1242"/>
    <n v="1243"/>
    <n v="1225.400024414062"/>
    <n v="1229.800048828125"/>
    <n v="5843702"/>
    <n v="-1.34"/>
    <n v="13.2"/>
    <x v="11"/>
    <s v="Q3-2026"/>
  </r>
  <r>
    <d v="2026-08-12T00:00:00"/>
    <x v="0"/>
    <s v="RELIANCE.NS"/>
    <n v="1323.900024414062"/>
    <n v="1329"/>
    <n v="1309.199951171875"/>
    <n v="1329"/>
    <n v="7901012"/>
    <n v="-1.1100000000000001"/>
    <n v="0"/>
    <x v="11"/>
    <s v="Q3-2026"/>
  </r>
  <r>
    <d v="2026-08-12T00:00:00"/>
    <x v="1"/>
    <s v="TCS.NS"/>
    <n v="2445.699951171875"/>
    <n v="2445.800048828125"/>
    <n v="2300.10009765625"/>
    <n v="2349.699951171875"/>
    <n v="7022647"/>
    <n v="-5.95"/>
    <n v="96.1"/>
    <x v="11"/>
    <s v="Q3-2026"/>
  </r>
  <r>
    <d v="2026-08-12T00:00:00"/>
    <x v="2"/>
    <s v="INFY.NS"/>
    <n v="1185.599975585938"/>
    <n v="1190.400024414062"/>
    <n v="1163.300048828125"/>
    <n v="1176.099975585938"/>
    <n v="7529777"/>
    <n v="-1.88"/>
    <n v="14.3"/>
    <x v="11"/>
    <s v="Q3-2026"/>
  </r>
  <r>
    <d v="2026-08-12T00:00:00"/>
    <x v="3"/>
    <s v="HDFCBANK.NS"/>
    <n v="729"/>
    <n v="730.6500244140625"/>
    <n v="722"/>
    <n v="729"/>
    <n v="26993177"/>
    <n v="-0.96"/>
    <n v="1.65"/>
    <x v="11"/>
    <s v="Q3-2026"/>
  </r>
  <r>
    <d v="2026-08-12T00:00:00"/>
    <x v="4"/>
    <s v="ICICIBANK.NS"/>
    <n v="1429.400024414062"/>
    <n v="1435"/>
    <n v="1418.599975585938"/>
    <n v="1431.699951171875"/>
    <n v="8201733"/>
    <n v="-0.76"/>
    <n v="3.3"/>
    <x v="11"/>
    <s v="Q3-2026"/>
  </r>
  <r>
    <d v="2026-08-12T00:00:00"/>
    <x v="5"/>
    <s v="WIPRO.NS"/>
    <n v="184.50999450683591"/>
    <n v="185"/>
    <n v="181.9100036621094"/>
    <n v="183.94000244140619"/>
    <n v="8624548"/>
    <n v="-1.41"/>
    <n v="1.06"/>
    <x v="11"/>
    <s v="Q3-2026"/>
  </r>
  <r>
    <d v="2026-08-12T00:00:00"/>
    <x v="6"/>
    <s v="HCLTECH.NS"/>
    <n v="1370"/>
    <n v="1370"/>
    <n v="1340.400024414062"/>
    <n v="1365.400024414062"/>
    <n v="1418468"/>
    <n v="-2.16"/>
    <n v="4.5999999999999996"/>
    <x v="11"/>
    <s v="Q3-2026"/>
  </r>
  <r>
    <d v="2026-08-12T00:00:00"/>
    <x v="7"/>
    <s v="BAJFINANCE.NS"/>
    <n v="1093"/>
    <n v="1094.699951171875"/>
    <n v="1080"/>
    <n v="1094.199951171875"/>
    <n v="7054842"/>
    <n v="-1.19"/>
    <n v="0.5"/>
    <x v="11"/>
    <s v="Q3-2026"/>
  </r>
  <r>
    <d v="2026-08-12T00:00:00"/>
    <x v="8"/>
    <s v="MARUTI.NS"/>
    <n v="13990"/>
    <n v="14067"/>
    <n v="13875"/>
    <n v="13875"/>
    <n v="354408"/>
    <n v="-0.82"/>
    <n v="192"/>
    <x v="11"/>
    <s v="Q3-2026"/>
  </r>
  <r>
    <d v="2026-08-12T00:00:00"/>
    <x v="9"/>
    <s v="TMPV.NS"/>
    <n v="348.39999389648438"/>
    <n v="351.25"/>
    <n v="334.20001220703119"/>
    <n v="343"/>
    <n v="22384343"/>
    <n v="-4.08"/>
    <n v="8.25"/>
    <x v="11"/>
    <s v="Q3-2026"/>
  </r>
  <r>
    <d v="2026-08-12T00:00:00"/>
    <x v="10"/>
    <s v="SUNPHARMA.NS"/>
    <n v="1942"/>
    <n v="1945.699951171875"/>
    <n v="1926.800048828125"/>
    <n v="1944"/>
    <n v="1536383"/>
    <n v="-0.78"/>
    <n v="1.7"/>
    <x v="11"/>
    <s v="Q3-2026"/>
  </r>
  <r>
    <d v="2026-08-12T00:00:00"/>
    <x v="11"/>
    <s v="ASIANPAINT.NS"/>
    <n v="2733.199951171875"/>
    <n v="2748.39990234375"/>
    <n v="2698.199951171875"/>
    <n v="2740"/>
    <n v="648174"/>
    <n v="-1.28"/>
    <n v="8.4"/>
    <x v="11"/>
    <s v="Q3-2026"/>
  </r>
  <r>
    <d v="2026-08-12T00:00:00"/>
    <x v="12"/>
    <s v="HINDUNILVR.NS"/>
    <n v="2065"/>
    <n v="2072.10009765625"/>
    <n v="2050.10009765625"/>
    <n v="2063"/>
    <n v="995523"/>
    <n v="-0.72"/>
    <n v="9.1"/>
    <x v="11"/>
    <s v="Q3-2026"/>
  </r>
  <r>
    <d v="2026-08-12T00:00:00"/>
    <x v="13"/>
    <s v="LT.NS"/>
    <n v="4038"/>
    <n v="4044.10009765625"/>
    <n v="3990"/>
    <n v="4020"/>
    <n v="2226623"/>
    <n v="-1.19"/>
    <n v="24.1"/>
    <x v="11"/>
    <s v="Q3-2026"/>
  </r>
  <r>
    <d v="2026-08-12T00:00:00"/>
    <x v="14"/>
    <s v="AXISBANK.NS"/>
    <n v="1230"/>
    <n v="1234.900024414062"/>
    <n v="1216.900024414062"/>
    <n v="1230"/>
    <n v="7218881"/>
    <n v="-1.07"/>
    <n v="4.9000000000000004"/>
    <x v="11"/>
    <s v="Q3-2026"/>
  </r>
  <r>
    <d v="2026-08-13T00:00:00"/>
    <x v="0"/>
    <s v="RELIANCE.NS"/>
    <n v="1327.800048828125"/>
    <n v="1327.800048828125"/>
    <n v="1307.199951171875"/>
    <n v="1317"/>
    <n v="9397301"/>
    <n v="-1.55"/>
    <n v="10.8"/>
    <x v="11"/>
    <s v="Q3-2026"/>
  </r>
  <r>
    <d v="2026-08-13T00:00:00"/>
    <x v="1"/>
    <s v="TCS.NS"/>
    <n v="2349.699951171875"/>
    <n v="2375"/>
    <n v="2332.300048828125"/>
    <n v="2375"/>
    <n v="2123494"/>
    <n v="-0.74"/>
    <n v="0"/>
    <x v="11"/>
    <s v="Q3-2026"/>
  </r>
  <r>
    <d v="2026-08-13T00:00:00"/>
    <x v="2"/>
    <s v="INFY.NS"/>
    <n v="1170"/>
    <n v="1175"/>
    <n v="1157"/>
    <n v="1175"/>
    <n v="6234215"/>
    <n v="-1.1100000000000001"/>
    <n v="0"/>
    <x v="11"/>
    <s v="Q3-2026"/>
  </r>
  <r>
    <d v="2026-08-13T00:00:00"/>
    <x v="3"/>
    <s v="HDFCBANK.NS"/>
    <n v="726.9000244140625"/>
    <n v="729"/>
    <n v="724.5"/>
    <n v="725"/>
    <n v="22129893"/>
    <n v="-0.33"/>
    <n v="4"/>
    <x v="11"/>
    <s v="Q3-2026"/>
  </r>
  <r>
    <d v="2026-08-13T00:00:00"/>
    <x v="4"/>
    <s v="ICICIBANK.NS"/>
    <n v="1429"/>
    <n v="1429"/>
    <n v="1406.400024414062"/>
    <n v="1406.800048828125"/>
    <n v="11408206"/>
    <n v="-1.58"/>
    <n v="22.2"/>
    <x v="11"/>
    <s v="Q3-2026"/>
  </r>
  <r>
    <d v="2026-08-13T00:00:00"/>
    <x v="5"/>
    <s v="WIPRO.NS"/>
    <n v="183.49000549316409"/>
    <n v="183.75"/>
    <n v="181.7200012207031"/>
    <n v="183.1000061035156"/>
    <n v="5434084"/>
    <n v="-0.96"/>
    <n v="0.65"/>
    <x v="11"/>
    <s v="Q3-2026"/>
  </r>
  <r>
    <d v="2026-08-13T00:00:00"/>
    <x v="6"/>
    <s v="HCLTECH.NS"/>
    <n v="1362.900024414062"/>
    <n v="1372.900024414062"/>
    <n v="1354"/>
    <n v="1370"/>
    <n v="778760"/>
    <n v="-0.65"/>
    <n v="2.9"/>
    <x v="11"/>
    <s v="Q3-2026"/>
  </r>
  <r>
    <d v="2026-08-13T00:00:00"/>
    <x v="7"/>
    <s v="BAJFINANCE.NS"/>
    <n v="1095"/>
    <n v="1095.300048828125"/>
    <n v="1083"/>
    <n v="1090.800048828125"/>
    <n v="2405186"/>
    <n v="-1.1000000000000001"/>
    <n v="4.5"/>
    <x v="11"/>
    <s v="Q3-2026"/>
  </r>
  <r>
    <d v="2026-08-13T00:00:00"/>
    <x v="8"/>
    <s v="MARUTI.NS"/>
    <n v="13884"/>
    <n v="13938"/>
    <n v="13825"/>
    <n v="13905"/>
    <n v="220061"/>
    <n v="-0.42"/>
    <n v="33"/>
    <x v="11"/>
    <s v="Q3-2026"/>
  </r>
  <r>
    <d v="2026-08-13T00:00:00"/>
    <x v="9"/>
    <s v="TMPV.NS"/>
    <n v="343.5"/>
    <n v="351.54998779296881"/>
    <n v="342.45001220703119"/>
    <n v="349.60000610351563"/>
    <n v="9528820"/>
    <n v="-0.31"/>
    <n v="1.95"/>
    <x v="11"/>
    <s v="Q3-2026"/>
  </r>
  <r>
    <d v="2026-08-13T00:00:00"/>
    <x v="10"/>
    <s v="SUNPHARMA.NS"/>
    <n v="1943"/>
    <n v="1946.300048828125"/>
    <n v="1931.099975585938"/>
    <n v="1932"/>
    <n v="1216049"/>
    <n v="-0.61"/>
    <n v="14.3"/>
    <x v="11"/>
    <s v="Q3-2026"/>
  </r>
  <r>
    <d v="2026-08-13T00:00:00"/>
    <x v="11"/>
    <s v="ASIANPAINT.NS"/>
    <n v="2725"/>
    <n v="2755.5"/>
    <n v="2720"/>
    <n v="2755.5"/>
    <n v="579435"/>
    <n v="-0.18"/>
    <n v="0"/>
    <x v="11"/>
    <s v="Q3-2026"/>
  </r>
  <r>
    <d v="2026-08-13T00:00:00"/>
    <x v="12"/>
    <s v="HINDUNILVR.NS"/>
    <n v="2063"/>
    <n v="2092"/>
    <n v="2052.89990234375"/>
    <n v="2092"/>
    <n v="1186057"/>
    <n v="-0.49"/>
    <n v="0"/>
    <x v="11"/>
    <s v="Q3-2026"/>
  </r>
  <r>
    <d v="2026-08-13T00:00:00"/>
    <x v="13"/>
    <s v="LT.NS"/>
    <n v="4010"/>
    <n v="4070.699951171875"/>
    <n v="3990"/>
    <n v="4070.699951171875"/>
    <n v="2299928"/>
    <n v="-0.5"/>
    <n v="0"/>
    <x v="11"/>
    <s v="Q3-2026"/>
  </r>
  <r>
    <d v="2026-08-13T00:00:00"/>
    <x v="14"/>
    <s v="AXISBANK.NS"/>
    <n v="1224.5"/>
    <n v="1224.800048828125"/>
    <n v="1215.599975585938"/>
    <n v="1221.800048828125"/>
    <n v="5284300"/>
    <n v="-0.73"/>
    <n v="3"/>
    <x v="11"/>
    <s v="Q3-2026"/>
  </r>
  <r>
    <d v="2026-08-14T00:00:00"/>
    <x v="0"/>
    <s v="RELIANCE.NS"/>
    <n v="1317"/>
    <n v="1317.5"/>
    <n v="1301.5"/>
    <n v="1310"/>
    <n v="10497358"/>
    <n v="-1.18"/>
    <n v="7.5"/>
    <x v="11"/>
    <s v="Q3-2026"/>
  </r>
  <r>
    <d v="2026-08-14T00:00:00"/>
    <x v="1"/>
    <s v="TCS.NS"/>
    <n v="2375.10009765625"/>
    <n v="2390"/>
    <n v="2333.39990234375"/>
    <n v="2361"/>
    <n v="2232160"/>
    <n v="-1.76"/>
    <n v="29"/>
    <x v="11"/>
    <s v="Q3-2026"/>
  </r>
  <r>
    <d v="2026-08-14T00:00:00"/>
    <x v="2"/>
    <s v="INFY.NS"/>
    <n v="1170.400024414062"/>
    <n v="1174.099975585938"/>
    <n v="1158.900024414062"/>
    <n v="1169.199951171875"/>
    <n v="5844763"/>
    <n v="-0.98"/>
    <n v="4.9000000000000004"/>
    <x v="11"/>
    <s v="Q3-2026"/>
  </r>
  <r>
    <d v="2026-08-14T00:00:00"/>
    <x v="3"/>
    <s v="HDFCBANK.NS"/>
    <n v="725"/>
    <n v="729.5999755859375"/>
    <n v="723.5"/>
    <n v="727"/>
    <n v="20364131"/>
    <n v="-0.21"/>
    <n v="2.6"/>
    <x v="11"/>
    <s v="Q3-2026"/>
  </r>
  <r>
    <d v="2026-08-14T00:00:00"/>
    <x v="4"/>
    <s v="ICICIBANK.NS"/>
    <n v="1403"/>
    <n v="1417.800048828125"/>
    <n v="1401"/>
    <n v="1417"/>
    <n v="6097934"/>
    <n v="-0.14000000000000001"/>
    <n v="0.8"/>
    <x v="11"/>
    <s v="Q3-2026"/>
  </r>
  <r>
    <d v="2026-08-14T00:00:00"/>
    <x v="5"/>
    <s v="WIPRO.NS"/>
    <n v="183.55000305175781"/>
    <n v="185.8399963378906"/>
    <n v="183.1000061035156"/>
    <n v="184"/>
    <n v="7366162"/>
    <n v="-0.25"/>
    <n v="1.84"/>
    <x v="11"/>
    <s v="Q3-2026"/>
  </r>
  <r>
    <d v="2026-08-14T00:00:00"/>
    <x v="6"/>
    <s v="HCLTECH.NS"/>
    <n v="1372.800048828125"/>
    <n v="1374.900024414062"/>
    <n v="1346.5"/>
    <n v="1360"/>
    <n v="1033374"/>
    <n v="-1.92"/>
    <n v="14.9"/>
    <x v="11"/>
    <s v="Q3-2026"/>
  </r>
  <r>
    <d v="2026-08-14T00:00:00"/>
    <x v="7"/>
    <s v="BAJFINANCE.NS"/>
    <n v="1090.800048828125"/>
    <n v="1098.5"/>
    <n v="1085.199951171875"/>
    <n v="1087"/>
    <n v="4225781"/>
    <n v="-0.51"/>
    <n v="11.5"/>
    <x v="11"/>
    <s v="Q3-2026"/>
  </r>
  <r>
    <d v="2026-08-14T00:00:00"/>
    <x v="8"/>
    <s v="MARUTI.NS"/>
    <n v="13905"/>
    <n v="13943"/>
    <n v="13760"/>
    <n v="13834"/>
    <n v="216810"/>
    <n v="-1.04"/>
    <n v="109"/>
    <x v="11"/>
    <s v="Q3-2026"/>
  </r>
  <r>
    <d v="2026-08-14T00:00:00"/>
    <x v="9"/>
    <s v="TMPV.NS"/>
    <n v="329"/>
    <n v="337.75"/>
    <n v="329"/>
    <n v="334.5"/>
    <n v="31933028"/>
    <n v="0"/>
    <n v="3.25"/>
    <x v="11"/>
    <s v="Q3-2026"/>
  </r>
  <r>
    <d v="2026-08-14T00:00:00"/>
    <x v="10"/>
    <s v="SUNPHARMA.NS"/>
    <n v="1932"/>
    <n v="1937"/>
    <n v="1914.699951171875"/>
    <n v="1930"/>
    <n v="881282"/>
    <n v="-0.9"/>
    <n v="7"/>
    <x v="11"/>
    <s v="Q3-2026"/>
  </r>
  <r>
    <d v="2026-08-14T00:00:00"/>
    <x v="11"/>
    <s v="ASIANPAINT.NS"/>
    <n v="2751"/>
    <n v="2751"/>
    <n v="2690.300048828125"/>
    <n v="2696.300048828125"/>
    <n v="667311"/>
    <n v="-2.21"/>
    <n v="54.7"/>
    <x v="11"/>
    <s v="Q3-2026"/>
  </r>
  <r>
    <d v="2026-08-14T00:00:00"/>
    <x v="12"/>
    <s v="HINDUNILVR.NS"/>
    <n v="2089"/>
    <n v="2090.89990234375"/>
    <n v="2066.39990234375"/>
    <n v="2077"/>
    <n v="1148419"/>
    <n v="-1.08"/>
    <n v="13.9"/>
    <x v="11"/>
    <s v="Q3-2026"/>
  </r>
  <r>
    <d v="2026-08-14T00:00:00"/>
    <x v="13"/>
    <s v="LT.NS"/>
    <n v="4068.699951171875"/>
    <n v="4072.5"/>
    <n v="4033.10009765625"/>
    <n v="4057"/>
    <n v="934044"/>
    <n v="-0.87"/>
    <n v="15.5"/>
    <x v="11"/>
    <s v="Q3-2026"/>
  </r>
  <r>
    <d v="2026-08-14T00:00:00"/>
    <x v="14"/>
    <s v="AXISBANK.NS"/>
    <n v="1216"/>
    <n v="1218.699951171875"/>
    <n v="1208.599975585938"/>
    <n v="1217.400024414062"/>
    <n v="5557745"/>
    <n v="-0.61"/>
    <n v="1.3"/>
    <x v="11"/>
    <s v="Q3-2026"/>
  </r>
  <r>
    <d v="2026-08-17T00:00:00"/>
    <x v="0"/>
    <s v="RELIANCE.NS"/>
    <n v="1314"/>
    <n v="1320.800048828125"/>
    <n v="1298.099975585938"/>
    <n v="1316"/>
    <n v="13383867"/>
    <n v="-1.21"/>
    <n v="4.8"/>
    <x v="11"/>
    <s v="Q3-2026"/>
  </r>
  <r>
    <d v="2026-08-17T00:00:00"/>
    <x v="1"/>
    <s v="TCS.NS"/>
    <n v="2351"/>
    <n v="2361.10009765625"/>
    <n v="2310.60009765625"/>
    <n v="2313.199951171875"/>
    <n v="2237636"/>
    <n v="-1.72"/>
    <n v="47.9"/>
    <x v="11"/>
    <s v="Q3-2026"/>
  </r>
  <r>
    <d v="2026-08-17T00:00:00"/>
    <x v="2"/>
    <s v="INFY.NS"/>
    <n v="1163.900024414062"/>
    <n v="1166.5"/>
    <n v="1129.699951171875"/>
    <n v="1139.900024414062"/>
    <n v="5817153"/>
    <n v="-2.94"/>
    <n v="26.6"/>
    <x v="11"/>
    <s v="Q3-2026"/>
  </r>
  <r>
    <d v="2026-08-17T00:00:00"/>
    <x v="3"/>
    <s v="HDFCBANK.NS"/>
    <n v="727.04998779296875"/>
    <n v="732.0999755859375"/>
    <n v="724.5"/>
    <n v="729"/>
    <n v="14823722"/>
    <n v="-0.35"/>
    <n v="3.1"/>
    <x v="11"/>
    <s v="Q3-2026"/>
  </r>
  <r>
    <d v="2026-08-17T00:00:00"/>
    <x v="4"/>
    <s v="ICICIBANK.NS"/>
    <n v="1418"/>
    <n v="1423.599975585938"/>
    <n v="1407"/>
    <n v="1415.300048828125"/>
    <n v="5605603"/>
    <n v="-0.78"/>
    <n v="8.3000000000000007"/>
    <x v="11"/>
    <s v="Q3-2026"/>
  </r>
  <r>
    <d v="2026-08-17T00:00:00"/>
    <x v="5"/>
    <s v="WIPRO.NS"/>
    <n v="183.5"/>
    <n v="183.71000671386719"/>
    <n v="181"/>
    <n v="181.8999938964844"/>
    <n v="4436515"/>
    <n v="-1.36"/>
    <n v="1.81"/>
    <x v="11"/>
    <s v="Q3-2026"/>
  </r>
  <r>
    <d v="2026-08-17T00:00:00"/>
    <x v="6"/>
    <s v="HCLTECH.NS"/>
    <n v="1355.099975585938"/>
    <n v="1362.800048828125"/>
    <n v="1325"/>
    <n v="1325"/>
    <n v="970745"/>
    <n v="-2.2200000000000002"/>
    <n v="37.799999999999997"/>
    <x v="11"/>
    <s v="Q3-2026"/>
  </r>
  <r>
    <d v="2026-08-17T00:00:00"/>
    <x v="7"/>
    <s v="BAJFINANCE.NS"/>
    <n v="1080"/>
    <n v="1100.400024414062"/>
    <n v="1078.800048828125"/>
    <n v="1089.300048828125"/>
    <n v="2295675"/>
    <n v="-0.11"/>
    <n v="11.1"/>
    <x v="11"/>
    <s v="Q3-2026"/>
  </r>
  <r>
    <d v="2026-08-17T00:00:00"/>
    <x v="8"/>
    <s v="MARUTI.NS"/>
    <n v="13834"/>
    <n v="13920"/>
    <n v="13760"/>
    <n v="13760"/>
    <n v="177071"/>
    <n v="-0.53"/>
    <n v="160"/>
    <x v="11"/>
    <s v="Q3-2026"/>
  </r>
  <r>
    <d v="2026-08-17T00:00:00"/>
    <x v="9"/>
    <s v="TMPV.NS"/>
    <n v="334"/>
    <n v="334.20001220703119"/>
    <n v="329.04998779296881"/>
    <n v="330.20001220703119"/>
    <n v="7337847"/>
    <n v="-1.48"/>
    <n v="4"/>
    <x v="11"/>
    <s v="Q3-2026"/>
  </r>
  <r>
    <d v="2026-08-17T00:00:00"/>
    <x v="10"/>
    <s v="SUNPHARMA.NS"/>
    <n v="1945"/>
    <n v="1949.800048828125"/>
    <n v="1880.400024414062"/>
    <n v="1882"/>
    <n v="1893086"/>
    <n v="-3.32"/>
    <n v="67.8"/>
    <x v="11"/>
    <s v="Q3-2026"/>
  </r>
  <r>
    <d v="2026-08-17T00:00:00"/>
    <x v="11"/>
    <s v="ASIANPAINT.NS"/>
    <n v="2694.5"/>
    <n v="2714.60009765625"/>
    <n v="2687.5"/>
    <n v="2687.5"/>
    <n v="312900"/>
    <n v="-0.26"/>
    <n v="27.1"/>
    <x v="11"/>
    <s v="Q3-2026"/>
  </r>
  <r>
    <d v="2026-08-17T00:00:00"/>
    <x v="12"/>
    <s v="HINDUNILVR.NS"/>
    <n v="2070.89990234375"/>
    <n v="2076"/>
    <n v="2055"/>
    <n v="2055"/>
    <n v="1024288"/>
    <n v="-0.77"/>
    <n v="21"/>
    <x v="11"/>
    <s v="Q3-2026"/>
  </r>
  <r>
    <d v="2026-08-17T00:00:00"/>
    <x v="13"/>
    <s v="LT.NS"/>
    <n v="4041"/>
    <n v="4086.699951171875"/>
    <n v="4026"/>
    <n v="4086.699951171875"/>
    <n v="1066164"/>
    <n v="-0.37"/>
    <n v="0"/>
    <x v="11"/>
    <s v="Q3-2026"/>
  </r>
  <r>
    <d v="2026-08-17T00:00:00"/>
    <x v="14"/>
    <s v="AXISBANK.NS"/>
    <n v="1220"/>
    <n v="1235"/>
    <n v="1213.599975585938"/>
    <n v="1227.300048828125"/>
    <n v="6068014"/>
    <n v="-0.52"/>
    <n v="7.7"/>
    <x v="11"/>
    <s v="Q3-2026"/>
  </r>
  <r>
    <d v="2026-08-18T00:00:00"/>
    <x v="0"/>
    <s v="RELIANCE.NS"/>
    <n v="1314"/>
    <n v="1328.599975585938"/>
    <n v="1311.199951171875"/>
    <n v="1322"/>
    <n v="10180567"/>
    <n v="-0.21"/>
    <n v="6.6"/>
    <x v="11"/>
    <s v="Q3-2026"/>
  </r>
  <r>
    <d v="2026-08-18T00:00:00"/>
    <x v="1"/>
    <s v="TCS.NS"/>
    <n v="2300"/>
    <n v="2307"/>
    <n v="2280"/>
    <n v="2280"/>
    <n v="1797822"/>
    <n v="-0.87"/>
    <n v="27"/>
    <x v="11"/>
    <s v="Q3-2026"/>
  </r>
  <r>
    <d v="2026-08-18T00:00:00"/>
    <x v="2"/>
    <s v="INFY.NS"/>
    <n v="1124.5"/>
    <n v="1131.900024414062"/>
    <n v="1112.5"/>
    <n v="1115"/>
    <n v="8851110"/>
    <n v="-1.07"/>
    <n v="16.899999999999999"/>
    <x v="11"/>
    <s v="Q3-2026"/>
  </r>
  <r>
    <d v="2026-08-18T00:00:00"/>
    <x v="3"/>
    <s v="HDFCBANK.NS"/>
    <n v="726.29998779296875"/>
    <n v="729"/>
    <n v="723"/>
    <n v="723"/>
    <n v="17916507"/>
    <n v="-0.45"/>
    <n v="6"/>
    <x v="11"/>
    <s v="Q3-2026"/>
  </r>
  <r>
    <d v="2026-08-18T00:00:00"/>
    <x v="4"/>
    <s v="ICICIBANK.NS"/>
    <n v="1410"/>
    <n v="1416.599975585938"/>
    <n v="1406.300048828125"/>
    <n v="1412"/>
    <n v="8345198"/>
    <n v="-0.26"/>
    <n v="4.5999999999999996"/>
    <x v="11"/>
    <s v="Q3-2026"/>
  </r>
  <r>
    <d v="2026-08-18T00:00:00"/>
    <x v="5"/>
    <s v="WIPRO.NS"/>
    <n v="181.8999938964844"/>
    <n v="181.99000549316409"/>
    <n v="178.05999755859381"/>
    <n v="178.05999755859381"/>
    <n v="7074731"/>
    <n v="-2.11"/>
    <n v="3.93"/>
    <x v="11"/>
    <s v="Q3-2026"/>
  </r>
  <r>
    <d v="2026-08-18T00:00:00"/>
    <x v="6"/>
    <s v="HCLTECH.NS"/>
    <n v="1318"/>
    <n v="1320"/>
    <n v="1292.5"/>
    <n v="1298"/>
    <n v="3056990"/>
    <n v="-1.93"/>
    <n v="22"/>
    <x v="11"/>
    <s v="Q3-2026"/>
  </r>
  <r>
    <d v="2026-08-18T00:00:00"/>
    <x v="7"/>
    <s v="BAJFINANCE.NS"/>
    <n v="1088.599975585938"/>
    <n v="1100"/>
    <n v="1087.599975585938"/>
    <n v="1094.300048828125"/>
    <n v="3374018"/>
    <n v="-0.09"/>
    <n v="5.7"/>
    <x v="11"/>
    <s v="Q3-2026"/>
  </r>
  <r>
    <d v="2026-08-18T00:00:00"/>
    <x v="8"/>
    <s v="MARUTI.NS"/>
    <n v="13762"/>
    <n v="13890"/>
    <n v="13691"/>
    <n v="13691"/>
    <n v="267433"/>
    <n v="-0.52"/>
    <n v="199"/>
    <x v="11"/>
    <s v="Q3-2026"/>
  </r>
  <r>
    <d v="2026-08-18T00:00:00"/>
    <x v="9"/>
    <s v="TMPV.NS"/>
    <n v="330.5"/>
    <n v="331.70001220703119"/>
    <n v="322.79998779296881"/>
    <n v="322.79998779296881"/>
    <n v="9865820"/>
    <n v="-2.33"/>
    <n v="8.9"/>
    <x v="11"/>
    <s v="Q3-2026"/>
  </r>
  <r>
    <d v="2026-08-18T00:00:00"/>
    <x v="10"/>
    <s v="SUNPHARMA.NS"/>
    <n v="1890"/>
    <n v="1899"/>
    <n v="1868.300048828125"/>
    <n v="1875.099975585938"/>
    <n v="1819169"/>
    <n v="-1.1499999999999999"/>
    <n v="23.9"/>
    <x v="11"/>
    <s v="Q3-2026"/>
  </r>
  <r>
    <d v="2026-08-18T00:00:00"/>
    <x v="11"/>
    <s v="ASIANPAINT.NS"/>
    <n v="2663.10009765625"/>
    <n v="2670.10009765625"/>
    <n v="2610.10009765625"/>
    <n v="2628.39990234375"/>
    <n v="1017022"/>
    <n v="-1.99"/>
    <n v="41.7"/>
    <x v="11"/>
    <s v="Q3-2026"/>
  </r>
  <r>
    <d v="2026-08-18T00:00:00"/>
    <x v="12"/>
    <s v="HINDUNILVR.NS"/>
    <n v="2055"/>
    <n v="2060"/>
    <n v="2034.900024414062"/>
    <n v="2035"/>
    <n v="1234596"/>
    <n v="-0.98"/>
    <n v="25"/>
    <x v="11"/>
    <s v="Q3-2026"/>
  </r>
  <r>
    <d v="2026-08-18T00:00:00"/>
    <x v="13"/>
    <s v="LT.NS"/>
    <n v="4068"/>
    <n v="4085"/>
    <n v="4050"/>
    <n v="4064.300048828125"/>
    <n v="1355575"/>
    <n v="-0.44"/>
    <n v="20.7"/>
    <x v="11"/>
    <s v="Q3-2026"/>
  </r>
  <r>
    <d v="2026-08-18T00:00:00"/>
    <x v="14"/>
    <s v="AXISBANK.NS"/>
    <n v="1223.900024414062"/>
    <n v="1250.5"/>
    <n v="1223.400024414062"/>
    <n v="1243"/>
    <n v="5064697"/>
    <n v="-0.04"/>
    <n v="7.5"/>
    <x v="11"/>
    <s v="Q3-2026"/>
  </r>
  <r>
    <d v="2026-08-19T00:00:00"/>
    <x v="0"/>
    <s v="RELIANCE.NS"/>
    <n v="1320.300048828125"/>
    <n v="1321.599975585938"/>
    <n v="1303.5"/>
    <n v="1311"/>
    <n v="7489365"/>
    <n v="-1.27"/>
    <n v="10.6"/>
    <x v="11"/>
    <s v="Q3-2026"/>
  </r>
  <r>
    <d v="2026-08-19T00:00:00"/>
    <x v="1"/>
    <s v="TCS.NS"/>
    <n v="2293.60009765625"/>
    <n v="2308.199951171875"/>
    <n v="2258.300048828125"/>
    <n v="2289"/>
    <n v="3368922"/>
    <n v="-1.54"/>
    <n v="19.2"/>
    <x v="11"/>
    <s v="Q3-2026"/>
  </r>
  <r>
    <d v="2026-08-19T00:00:00"/>
    <x v="2"/>
    <s v="INFY.NS"/>
    <n v="1125.599975585938"/>
    <n v="1134.699951171875"/>
    <n v="1113.800048828125"/>
    <n v="1119.800048828125"/>
    <n v="8408573"/>
    <n v="-1.05"/>
    <n v="14.9"/>
    <x v="11"/>
    <s v="Q3-2026"/>
  </r>
  <r>
    <d v="2026-08-19T00:00:00"/>
    <x v="3"/>
    <s v="HDFCBANK.NS"/>
    <n v="724"/>
    <n v="725.4000244140625"/>
    <n v="715.0999755859375"/>
    <n v="720"/>
    <n v="21342651"/>
    <n v="-1.23"/>
    <n v="5.4"/>
    <x v="11"/>
    <s v="Q3-2026"/>
  </r>
  <r>
    <d v="2026-08-19T00:00:00"/>
    <x v="4"/>
    <s v="ICICIBANK.NS"/>
    <n v="1412"/>
    <n v="1416"/>
    <n v="1391.5"/>
    <n v="1402"/>
    <n v="10304210"/>
    <n v="-1.45"/>
    <n v="14"/>
    <x v="11"/>
    <s v="Q3-2026"/>
  </r>
  <r>
    <d v="2026-08-19T00:00:00"/>
    <x v="5"/>
    <s v="WIPRO.NS"/>
    <n v="179.05999755859381"/>
    <n v="179.94999694824219"/>
    <n v="178.2200012207031"/>
    <n v="179.55000305175781"/>
    <n v="5964187"/>
    <n v="-0.47"/>
    <n v="0.4"/>
    <x v="11"/>
    <s v="Q3-2026"/>
  </r>
  <r>
    <d v="2026-08-19T00:00:00"/>
    <x v="6"/>
    <s v="HCLTECH.NS"/>
    <n v="1309"/>
    <n v="1324.800048828125"/>
    <n v="1301.400024414062"/>
    <n v="1324.800048828125"/>
    <n v="1693632"/>
    <n v="-0.57999999999999996"/>
    <n v="0"/>
    <x v="11"/>
    <s v="Q3-2026"/>
  </r>
  <r>
    <d v="2026-08-19T00:00:00"/>
    <x v="7"/>
    <s v="BAJFINANCE.NS"/>
    <n v="1093.900024414062"/>
    <n v="1093.900024414062"/>
    <n v="1076.400024414062"/>
    <n v="1080.199951171875"/>
    <n v="2877930"/>
    <n v="-1.6"/>
    <n v="13.7"/>
    <x v="11"/>
    <s v="Q3-2026"/>
  </r>
  <r>
    <d v="2026-08-19T00:00:00"/>
    <x v="8"/>
    <s v="MARUTI.NS"/>
    <n v="13744"/>
    <n v="13745"/>
    <n v="13628"/>
    <n v="13690"/>
    <n v="175646"/>
    <n v="-0.84"/>
    <n v="55"/>
    <x v="11"/>
    <s v="Q3-2026"/>
  </r>
  <r>
    <d v="2026-08-19T00:00:00"/>
    <x v="9"/>
    <s v="TMPV.NS"/>
    <n v="323.85000610351563"/>
    <n v="324"/>
    <n v="320.20001220703119"/>
    <n v="321.29998779296881"/>
    <n v="5659002"/>
    <n v="-1.1299999999999999"/>
    <n v="2.7"/>
    <x v="11"/>
    <s v="Q3-2026"/>
  </r>
  <r>
    <d v="2026-08-19T00:00:00"/>
    <x v="10"/>
    <s v="SUNPHARMA.NS"/>
    <n v="1871"/>
    <n v="1900"/>
    <n v="1871"/>
    <n v="1900"/>
    <n v="1566692"/>
    <n v="0"/>
    <n v="0"/>
    <x v="11"/>
    <s v="Q3-2026"/>
  </r>
  <r>
    <d v="2026-08-19T00:00:00"/>
    <x v="11"/>
    <s v="ASIANPAINT.NS"/>
    <n v="2625"/>
    <n v="2634.89990234375"/>
    <n v="2601"/>
    <n v="2630.800048828125"/>
    <n v="742443"/>
    <n v="-0.91"/>
    <n v="4.0999999999999996"/>
    <x v="11"/>
    <s v="Q3-2026"/>
  </r>
  <r>
    <d v="2026-08-19T00:00:00"/>
    <x v="12"/>
    <s v="HINDUNILVR.NS"/>
    <n v="2035"/>
    <n v="2041.699951171875"/>
    <n v="2008.300048828125"/>
    <n v="2020.699951171875"/>
    <n v="1449442"/>
    <n v="-1.31"/>
    <n v="21"/>
    <x v="11"/>
    <s v="Q3-2026"/>
  </r>
  <r>
    <d v="2026-08-19T00:00:00"/>
    <x v="13"/>
    <s v="LT.NS"/>
    <n v="4064"/>
    <n v="4069"/>
    <n v="4024.800048828125"/>
    <n v="4041.300048828125"/>
    <n v="1190832"/>
    <n v="-0.96"/>
    <n v="27.7"/>
    <x v="11"/>
    <s v="Q3-2026"/>
  </r>
  <r>
    <d v="2026-08-19T00:00:00"/>
    <x v="14"/>
    <s v="AXISBANK.NS"/>
    <n v="1243.099975585938"/>
    <n v="1245"/>
    <n v="1224"/>
    <n v="1235"/>
    <n v="3061937"/>
    <n v="-1.54"/>
    <n v="10"/>
    <x v="11"/>
    <s v="Q3-2026"/>
  </r>
  <r>
    <d v="2026-08-20T00:00:00"/>
    <x v="0"/>
    <s v="RELIANCE.NS"/>
    <n v="1315.5"/>
    <n v="1316.5"/>
    <n v="1307"/>
    <n v="1313.199951171875"/>
    <n v="5546227"/>
    <n v="-0.65"/>
    <n v="3.3"/>
    <x v="11"/>
    <s v="Q3-2026"/>
  </r>
  <r>
    <d v="2026-08-20T00:00:00"/>
    <x v="1"/>
    <s v="TCS.NS"/>
    <n v="2319.39990234375"/>
    <n v="2329"/>
    <n v="2288.10009765625"/>
    <n v="2298"/>
    <n v="2047848"/>
    <n v="-1.35"/>
    <n v="31"/>
    <x v="11"/>
    <s v="Q3-2026"/>
  </r>
  <r>
    <d v="2026-08-20T00:00:00"/>
    <x v="2"/>
    <s v="INFY.NS"/>
    <n v="1143"/>
    <n v="1144.699951171875"/>
    <n v="1125.699951171875"/>
    <n v="1130"/>
    <n v="8559841"/>
    <n v="-1.51"/>
    <n v="14.7"/>
    <x v="11"/>
    <s v="Q3-2026"/>
  </r>
  <r>
    <d v="2026-08-20T00:00:00"/>
    <x v="3"/>
    <s v="HDFCBANK.NS"/>
    <n v="725.5"/>
    <n v="728.29998779296875"/>
    <n v="724.29998779296875"/>
    <n v="725.04998779296875"/>
    <n v="17603805"/>
    <n v="-0.17"/>
    <n v="3.25"/>
    <x v="11"/>
    <s v="Q3-2026"/>
  </r>
  <r>
    <d v="2026-08-20T00:00:00"/>
    <x v="4"/>
    <s v="ICICIBANK.NS"/>
    <n v="1407.800048828125"/>
    <n v="1413"/>
    <n v="1403.300048828125"/>
    <n v="1411.900024414062"/>
    <n v="8425049"/>
    <n v="-0.32"/>
    <n v="1.1000000000000001"/>
    <x v="11"/>
    <s v="Q3-2026"/>
  </r>
  <r>
    <d v="2026-08-20T00:00:00"/>
    <x v="5"/>
    <s v="WIPRO.NS"/>
    <n v="181.55999755859381"/>
    <n v="182.46000671386719"/>
    <n v="180.50999450683591"/>
    <n v="181"/>
    <n v="5364164"/>
    <n v="-0.57999999999999996"/>
    <n v="1.46"/>
    <x v="11"/>
    <s v="Q3-2026"/>
  </r>
  <r>
    <d v="2026-08-20T00:00:00"/>
    <x v="6"/>
    <s v="HCLTECH.NS"/>
    <n v="1339.699951171875"/>
    <n v="1345.300048828125"/>
    <n v="1318.400024414062"/>
    <n v="1318.400024414062"/>
    <n v="1510868"/>
    <n v="-1.59"/>
    <n v="26.9"/>
    <x v="11"/>
    <s v="Q3-2026"/>
  </r>
  <r>
    <d v="2026-08-20T00:00:00"/>
    <x v="7"/>
    <s v="BAJFINANCE.NS"/>
    <n v="1089.699951171875"/>
    <n v="1102.300048828125"/>
    <n v="1086.300048828125"/>
    <n v="1095"/>
    <n v="6741475"/>
    <n v="-0.31"/>
    <n v="7.3"/>
    <x v="11"/>
    <s v="Q3-2026"/>
  </r>
  <r>
    <d v="2026-08-20T00:00:00"/>
    <x v="8"/>
    <s v="MARUTI.NS"/>
    <n v="13758"/>
    <n v="13826"/>
    <n v="13681"/>
    <n v="13809"/>
    <n v="186272"/>
    <n v="-0.56000000000000005"/>
    <n v="17"/>
    <x v="11"/>
    <s v="Q3-2026"/>
  </r>
  <r>
    <d v="2026-08-20T00:00:00"/>
    <x v="9"/>
    <s v="TMPV.NS"/>
    <n v="323.39999389648438"/>
    <n v="324.54998779296881"/>
    <n v="318.45001220703119"/>
    <n v="320.25"/>
    <n v="10475953"/>
    <n v="-1.53"/>
    <n v="4.3"/>
    <x v="11"/>
    <s v="Q3-2026"/>
  </r>
  <r>
    <d v="2026-08-20T00:00:00"/>
    <x v="10"/>
    <s v="SUNPHARMA.NS"/>
    <n v="1905"/>
    <n v="1911.599975585938"/>
    <n v="1890.300048828125"/>
    <n v="1904"/>
    <n v="893691"/>
    <n v="-0.77"/>
    <n v="7.6"/>
    <x v="11"/>
    <s v="Q3-2026"/>
  </r>
  <r>
    <d v="2026-08-20T00:00:00"/>
    <x v="11"/>
    <s v="ASIANPAINT.NS"/>
    <n v="2635.10009765625"/>
    <n v="2641.800048828125"/>
    <n v="2607"/>
    <n v="2625.199951171875"/>
    <n v="476939"/>
    <n v="-1.07"/>
    <n v="16.600000000000001"/>
    <x v="11"/>
    <s v="Q3-2026"/>
  </r>
  <r>
    <d v="2026-08-20T00:00:00"/>
    <x v="12"/>
    <s v="HINDUNILVR.NS"/>
    <n v="2022.900024414062"/>
    <n v="2043.599975585938"/>
    <n v="2018.199951171875"/>
    <n v="2028"/>
    <n v="1401471"/>
    <n v="-0.23"/>
    <n v="15.6"/>
    <x v="11"/>
    <s v="Q3-2026"/>
  </r>
  <r>
    <d v="2026-08-20T00:00:00"/>
    <x v="13"/>
    <s v="LT.NS"/>
    <n v="4050.5"/>
    <n v="4084.89990234375"/>
    <n v="4048.300048828125"/>
    <n v="4081"/>
    <n v="1056060"/>
    <n v="-0.05"/>
    <n v="3.9"/>
    <x v="11"/>
    <s v="Q3-2026"/>
  </r>
  <r>
    <d v="2026-08-20T00:00:00"/>
    <x v="14"/>
    <s v="AXISBANK.NS"/>
    <n v="1237.5"/>
    <n v="1253.900024414062"/>
    <n v="1236.199951171875"/>
    <n v="1251"/>
    <n v="4163816"/>
    <n v="-0.11"/>
    <n v="2.9"/>
    <x v="11"/>
    <s v="Q3-2026"/>
  </r>
  <r>
    <d v="2026-08-21T00:00:00"/>
    <x v="0"/>
    <s v="RELIANCE.NS"/>
    <n v="1314"/>
    <n v="1316"/>
    <n v="1308"/>
    <n v="1316"/>
    <n v="5434871"/>
    <n v="-0.46"/>
    <n v="0"/>
    <x v="11"/>
    <s v="Q3-2026"/>
  </r>
  <r>
    <d v="2026-08-21T00:00:00"/>
    <x v="1"/>
    <s v="TCS.NS"/>
    <n v="2290.10009765625"/>
    <n v="2307.199951171875"/>
    <n v="2263.300048828125"/>
    <n v="2302"/>
    <n v="2066749"/>
    <n v="-1.17"/>
    <n v="5.2"/>
    <x v="11"/>
    <s v="Q3-2026"/>
  </r>
  <r>
    <d v="2026-08-21T00:00:00"/>
    <x v="2"/>
    <s v="INFY.NS"/>
    <n v="1133"/>
    <n v="1133.5"/>
    <n v="1118"/>
    <n v="1121"/>
    <n v="6094967"/>
    <n v="-1.32"/>
    <n v="12.5"/>
    <x v="11"/>
    <s v="Q3-2026"/>
  </r>
  <r>
    <d v="2026-08-21T00:00:00"/>
    <x v="3"/>
    <s v="HDFCBANK.NS"/>
    <n v="728.29998779296875"/>
    <n v="732.79998779296875"/>
    <n v="726.5999755859375"/>
    <n v="726.95001220703125"/>
    <n v="26029811"/>
    <n v="-0.23"/>
    <n v="5.85"/>
    <x v="11"/>
    <s v="Q3-2026"/>
  </r>
  <r>
    <d v="2026-08-21T00:00:00"/>
    <x v="4"/>
    <s v="ICICIBANK.NS"/>
    <n v="1417"/>
    <n v="1420"/>
    <n v="1411.199951171875"/>
    <n v="1420"/>
    <n v="4565280"/>
    <n v="-0.41"/>
    <n v="0"/>
    <x v="11"/>
    <s v="Q3-2026"/>
  </r>
  <r>
    <d v="2026-08-21T00:00:00"/>
    <x v="5"/>
    <s v="WIPRO.NS"/>
    <n v="180.6000061035156"/>
    <n v="181.75999450683591"/>
    <n v="180"/>
    <n v="180.78999328613281"/>
    <n v="4637869"/>
    <n v="-0.33"/>
    <n v="0.97"/>
    <x v="11"/>
    <s v="Q3-2026"/>
  </r>
  <r>
    <d v="2026-08-21T00:00:00"/>
    <x v="6"/>
    <s v="HCLTECH.NS"/>
    <n v="1319.900024414062"/>
    <n v="1321.699951171875"/>
    <n v="1302.5"/>
    <n v="1302.5"/>
    <n v="1484443"/>
    <n v="-1.32"/>
    <n v="19.2"/>
    <x v="11"/>
    <s v="Q3-2026"/>
  </r>
  <r>
    <d v="2026-08-21T00:00:00"/>
    <x v="7"/>
    <s v="BAJFINANCE.NS"/>
    <n v="1105.400024414062"/>
    <n v="1105.5"/>
    <n v="1090.599975585938"/>
    <n v="1095"/>
    <n v="3042594"/>
    <n v="-1.34"/>
    <n v="10.5"/>
    <x v="11"/>
    <s v="Q3-2026"/>
  </r>
  <r>
    <d v="2026-08-21T00:00:00"/>
    <x v="8"/>
    <s v="MARUTI.NS"/>
    <n v="13809"/>
    <n v="13809"/>
    <n v="13565"/>
    <n v="13565"/>
    <n v="224951"/>
    <n v="-1.77"/>
    <n v="244"/>
    <x v="11"/>
    <s v="Q3-2026"/>
  </r>
  <r>
    <d v="2026-08-21T00:00:00"/>
    <x v="9"/>
    <s v="TMPV.NS"/>
    <n v="321.5"/>
    <n v="322.39999389648438"/>
    <n v="316.89999389648438"/>
    <n v="317.89999389648438"/>
    <n v="10824328"/>
    <n v="-1.43"/>
    <n v="4.5"/>
    <x v="11"/>
    <s v="Q3-2026"/>
  </r>
  <r>
    <d v="2026-08-21T00:00:00"/>
    <x v="10"/>
    <s v="SUNPHARMA.NS"/>
    <n v="1916"/>
    <n v="1917.400024414062"/>
    <n v="1882.800048828125"/>
    <n v="1902.400024414062"/>
    <n v="1491953"/>
    <n v="-1.73"/>
    <n v="15"/>
    <x v="11"/>
    <s v="Q3-2026"/>
  </r>
  <r>
    <d v="2026-08-21T00:00:00"/>
    <x v="11"/>
    <s v="ASIANPAINT.NS"/>
    <n v="2620.199951171875"/>
    <n v="2644"/>
    <n v="2615.5"/>
    <n v="2640"/>
    <n v="330334"/>
    <n v="-0.18"/>
    <n v="4"/>
    <x v="11"/>
    <s v="Q3-2026"/>
  </r>
  <r>
    <d v="2026-08-21T00:00:00"/>
    <x v="12"/>
    <s v="HINDUNILVR.NS"/>
    <n v="2028"/>
    <n v="2034.699951171875"/>
    <n v="2012"/>
    <n v="2015"/>
    <n v="857550"/>
    <n v="-0.79"/>
    <n v="19.7"/>
    <x v="11"/>
    <s v="Q3-2026"/>
  </r>
  <r>
    <d v="2026-08-21T00:00:00"/>
    <x v="13"/>
    <s v="LT.NS"/>
    <n v="4081"/>
    <n v="4100"/>
    <n v="4061.39990234375"/>
    <n v="4093"/>
    <n v="1258912"/>
    <n v="-0.48"/>
    <n v="7"/>
    <x v="11"/>
    <s v="Q3-2026"/>
  </r>
  <r>
    <d v="2026-08-21T00:00:00"/>
    <x v="14"/>
    <s v="AXISBANK.NS"/>
    <n v="1250.599975585938"/>
    <n v="1256.400024414062"/>
    <n v="1240.400024414062"/>
    <n v="1245.800048828125"/>
    <n v="3690270"/>
    <n v="-0.82"/>
    <n v="10.6"/>
    <x v="11"/>
    <s v="Q3-2026"/>
  </r>
  <r>
    <d v="2026-08-24T00:00:00"/>
    <x v="0"/>
    <s v="RELIANCE.NS"/>
    <n v="1316.599975585938"/>
    <n v="1320"/>
    <n v="1302.400024414062"/>
    <n v="1309.800048828125"/>
    <n v="7277167"/>
    <n v="-1.08"/>
    <n v="10.199999999999999"/>
    <x v="11"/>
    <s v="Q3-2026"/>
  </r>
  <r>
    <d v="2026-08-24T00:00:00"/>
    <x v="1"/>
    <s v="TCS.NS"/>
    <n v="2302.39990234375"/>
    <n v="2321.60009765625"/>
    <n v="2279.5"/>
    <n v="2284.10009765625"/>
    <n v="1542723"/>
    <n v="-0.99"/>
    <n v="37.5"/>
    <x v="11"/>
    <s v="Q3-2026"/>
  </r>
  <r>
    <d v="2026-08-24T00:00:00"/>
    <x v="2"/>
    <s v="INFY.NS"/>
    <n v="1126.5"/>
    <n v="1144.5"/>
    <n v="1122"/>
    <n v="1130"/>
    <n v="8565354"/>
    <n v="-0.4"/>
    <n v="14.5"/>
    <x v="11"/>
    <s v="Q3-2026"/>
  </r>
  <r>
    <d v="2026-08-24T00:00:00"/>
    <x v="3"/>
    <s v="HDFCBANK.NS"/>
    <n v="732.5"/>
    <n v="734.4000244140625"/>
    <n v="724.0999755859375"/>
    <n v="729"/>
    <n v="11408345"/>
    <n v="-1.1499999999999999"/>
    <n v="5.4"/>
    <x v="11"/>
    <s v="Q3-2026"/>
  </r>
  <r>
    <d v="2026-08-24T00:00:00"/>
    <x v="4"/>
    <s v="ICICIBANK.NS"/>
    <n v="1420.5"/>
    <n v="1425.5"/>
    <n v="1408.699951171875"/>
    <n v="1415"/>
    <n v="5307113"/>
    <n v="-0.83"/>
    <n v="10.5"/>
    <x v="11"/>
    <s v="Q3-2026"/>
  </r>
  <r>
    <d v="2026-08-24T00:00:00"/>
    <x v="5"/>
    <s v="WIPRO.NS"/>
    <n v="181"/>
    <n v="183.91999816894531"/>
    <n v="180.55999755859381"/>
    <n v="181.30999755859381"/>
    <n v="9441129"/>
    <n v="-0.24"/>
    <n v="2.61"/>
    <x v="11"/>
    <s v="Q3-2026"/>
  </r>
  <r>
    <d v="2026-08-24T00:00:00"/>
    <x v="6"/>
    <s v="HCLTECH.NS"/>
    <n v="1302.5"/>
    <n v="1325.800048828125"/>
    <n v="1301"/>
    <n v="1322"/>
    <n v="1091648"/>
    <n v="-0.12"/>
    <n v="3.8"/>
    <x v="11"/>
    <s v="Q3-2026"/>
  </r>
  <r>
    <d v="2026-08-24T00:00:00"/>
    <x v="7"/>
    <s v="BAJFINANCE.NS"/>
    <n v="1086"/>
    <n v="1094.900024414062"/>
    <n v="1076.900024414062"/>
    <n v="1077"/>
    <n v="4342556"/>
    <n v="-0.84"/>
    <n v="17.899999999999999"/>
    <x v="11"/>
    <s v="Q3-2026"/>
  </r>
  <r>
    <d v="2026-08-24T00:00:00"/>
    <x v="8"/>
    <s v="MARUTI.NS"/>
    <n v="13623"/>
    <n v="13694"/>
    <n v="13505"/>
    <n v="13620"/>
    <n v="230499"/>
    <n v="-0.87"/>
    <n v="74"/>
    <x v="11"/>
    <s v="Q3-2026"/>
  </r>
  <r>
    <d v="2026-08-24T00:00:00"/>
    <x v="9"/>
    <s v="TMPV.NS"/>
    <n v="318.79998779296881"/>
    <n v="319.64999389648438"/>
    <n v="312.60000610351563"/>
    <n v="314.39999389648438"/>
    <n v="8545165"/>
    <n v="-1.94"/>
    <n v="5.25"/>
    <x v="11"/>
    <s v="Q3-2026"/>
  </r>
  <r>
    <d v="2026-08-24T00:00:00"/>
    <x v="10"/>
    <s v="SUNPHARMA.NS"/>
    <n v="1902.400024414062"/>
    <n v="1923"/>
    <n v="1892.599975585938"/>
    <n v="1910"/>
    <n v="2317987"/>
    <n v="-0.52"/>
    <n v="13"/>
    <x v="11"/>
    <s v="Q3-2026"/>
  </r>
  <r>
    <d v="2026-08-24T00:00:00"/>
    <x v="11"/>
    <s v="ASIANPAINT.NS"/>
    <n v="2640.39990234375"/>
    <n v="2642.699951171875"/>
    <n v="2622"/>
    <n v="2640.800048828125"/>
    <n v="355289"/>
    <n v="-0.7"/>
    <n v="1.9"/>
    <x v="11"/>
    <s v="Q3-2026"/>
  </r>
  <r>
    <d v="2026-08-24T00:00:00"/>
    <x v="12"/>
    <s v="HINDUNILVR.NS"/>
    <n v="2019.900024414062"/>
    <n v="2030"/>
    <n v="2006.199951171875"/>
    <n v="2030"/>
    <n v="891171"/>
    <n v="-0.68"/>
    <n v="0"/>
    <x v="11"/>
    <s v="Q3-2026"/>
  </r>
  <r>
    <d v="2026-08-24T00:00:00"/>
    <x v="13"/>
    <s v="LT.NS"/>
    <n v="4100"/>
    <n v="4107.10009765625"/>
    <n v="4077.699951171875"/>
    <n v="4090"/>
    <n v="1369496"/>
    <n v="-0.54"/>
    <n v="17.100000000000001"/>
    <x v="11"/>
    <s v="Q3-2026"/>
  </r>
  <r>
    <d v="2026-08-24T00:00:00"/>
    <x v="14"/>
    <s v="AXISBANK.NS"/>
    <n v="1245.800048828125"/>
    <n v="1248.699951171875"/>
    <n v="1231.800048828125"/>
    <n v="1236"/>
    <n v="3778588"/>
    <n v="-1.1200000000000001"/>
    <n v="12.7"/>
    <x v="11"/>
    <s v="Q3-2026"/>
  </r>
  <r>
    <d v="2026-08-25T00:00:00"/>
    <x v="0"/>
    <s v="RELIANCE.NS"/>
    <n v="1304.300048828125"/>
    <n v="1317.099975585938"/>
    <n v="1300"/>
    <n v="1317"/>
    <n v="7115355"/>
    <n v="-0.33"/>
    <n v="0.1"/>
    <x v="11"/>
    <s v="Q3-2026"/>
  </r>
  <r>
    <d v="2026-08-25T00:00:00"/>
    <x v="1"/>
    <s v="TCS.NS"/>
    <n v="2305"/>
    <n v="2313.5"/>
    <n v="2262"/>
    <n v="2296.199951171875"/>
    <n v="3041609"/>
    <n v="-1.87"/>
    <n v="17.3"/>
    <x v="11"/>
    <s v="Q3-2026"/>
  </r>
  <r>
    <d v="2026-08-25T00:00:00"/>
    <x v="2"/>
    <s v="INFY.NS"/>
    <n v="1132"/>
    <n v="1144"/>
    <n v="1119.900024414062"/>
    <n v="1144"/>
    <n v="8121237"/>
    <n v="-1.07"/>
    <n v="0"/>
    <x v="11"/>
    <s v="Q3-2026"/>
  </r>
  <r>
    <d v="2026-08-25T00:00:00"/>
    <x v="3"/>
    <s v="HDFCBANK.NS"/>
    <n v="726.5999755859375"/>
    <n v="728.70001220703125"/>
    <n v="722"/>
    <n v="727.5"/>
    <n v="17511874"/>
    <n v="-0.63"/>
    <n v="1.2"/>
    <x v="11"/>
    <s v="Q3-2026"/>
  </r>
  <r>
    <d v="2026-08-25T00:00:00"/>
    <x v="4"/>
    <s v="ICICIBANK.NS"/>
    <n v="1408"/>
    <n v="1424.900024414062"/>
    <n v="1408"/>
    <n v="1422.699951171875"/>
    <n v="7983249"/>
    <n v="0"/>
    <n v="2.2000000000000002"/>
    <x v="11"/>
    <s v="Q3-2026"/>
  </r>
  <r>
    <d v="2026-08-25T00:00:00"/>
    <x v="5"/>
    <s v="WIPRO.NS"/>
    <n v="181.28999328613281"/>
    <n v="181.28999328613281"/>
    <n v="178.38999938964841"/>
    <n v="180.0899963378906"/>
    <n v="8352475"/>
    <n v="-1.6"/>
    <n v="1.2"/>
    <x v="11"/>
    <s v="Q3-2026"/>
  </r>
  <r>
    <d v="2026-08-25T00:00:00"/>
    <x v="6"/>
    <s v="HCLTECH.NS"/>
    <n v="1322"/>
    <n v="1322.900024414062"/>
    <n v="1294.400024414062"/>
    <n v="1315.800048828125"/>
    <n v="1314934"/>
    <n v="-2.09"/>
    <n v="7.1"/>
    <x v="11"/>
    <s v="Q3-2026"/>
  </r>
  <r>
    <d v="2026-08-25T00:00:00"/>
    <x v="7"/>
    <s v="BAJFINANCE.NS"/>
    <n v="1077"/>
    <n v="1087.400024414062"/>
    <n v="1066.300048828125"/>
    <n v="1087.400024414062"/>
    <n v="2770499"/>
    <n v="-0.99"/>
    <n v="0"/>
    <x v="11"/>
    <s v="Q3-2026"/>
  </r>
  <r>
    <d v="2026-08-25T00:00:00"/>
    <x v="8"/>
    <s v="MARUTI.NS"/>
    <n v="13609"/>
    <n v="13678"/>
    <n v="13450"/>
    <n v="13678"/>
    <n v="296429"/>
    <n v="-1.17"/>
    <n v="0"/>
    <x v="11"/>
    <s v="Q3-2026"/>
  </r>
  <r>
    <d v="2026-08-25T00:00:00"/>
    <x v="9"/>
    <s v="TMPV.NS"/>
    <n v="314.89999389648438"/>
    <n v="314.89999389648438"/>
    <n v="310.54998779296881"/>
    <n v="314.25"/>
    <n v="10984458"/>
    <n v="-1.38"/>
    <n v="0.65"/>
    <x v="11"/>
    <s v="Q3-2026"/>
  </r>
  <r>
    <d v="2026-08-25T00:00:00"/>
    <x v="10"/>
    <s v="SUNPHARMA.NS"/>
    <n v="1906.5"/>
    <n v="1922"/>
    <n v="1896.199951171875"/>
    <n v="1922"/>
    <n v="1221044"/>
    <n v="-0.54"/>
    <n v="0"/>
    <x v="11"/>
    <s v="Q3-2026"/>
  </r>
  <r>
    <d v="2026-08-25T00:00:00"/>
    <x v="11"/>
    <s v="ASIANPAINT.NS"/>
    <n v="2631"/>
    <n v="2640"/>
    <n v="2605.199951171875"/>
    <n v="2639.800048828125"/>
    <n v="479480"/>
    <n v="-0.98"/>
    <n v="0.2"/>
    <x v="11"/>
    <s v="Q3-2026"/>
  </r>
  <r>
    <d v="2026-08-25T00:00:00"/>
    <x v="12"/>
    <s v="HINDUNILVR.NS"/>
    <n v="2024"/>
    <n v="2029.199951171875"/>
    <n v="2012"/>
    <n v="2024.199951171875"/>
    <n v="1019583"/>
    <n v="-0.59"/>
    <n v="5"/>
    <x v="11"/>
    <s v="Q3-2026"/>
  </r>
  <r>
    <d v="2026-08-25T00:00:00"/>
    <x v="13"/>
    <s v="LT.NS"/>
    <n v="4085"/>
    <n v="4125.2998046875"/>
    <n v="4066.60009765625"/>
    <n v="4119"/>
    <n v="1316074"/>
    <n v="-0.45"/>
    <n v="6.3"/>
    <x v="11"/>
    <s v="Q3-2026"/>
  </r>
  <r>
    <d v="2026-08-25T00:00:00"/>
    <x v="14"/>
    <s v="AXISBANK.NS"/>
    <n v="1236.099975585938"/>
    <n v="1240.5"/>
    <n v="1229.800048828125"/>
    <n v="1235"/>
    <n v="3606504"/>
    <n v="-0.51"/>
    <n v="5.5"/>
    <x v="11"/>
    <s v="Q3-2026"/>
  </r>
  <r>
    <d v="2026-08-26T00:00:00"/>
    <x v="0"/>
    <s v="RELIANCE.NS"/>
    <n v="1310"/>
    <n v="1315.599975585938"/>
    <n v="1298"/>
    <n v="1298"/>
    <n v="5744474"/>
    <n v="-0.92"/>
    <n v="17.600000000000001"/>
    <x v="11"/>
    <s v="Q3-2026"/>
  </r>
  <r>
    <d v="2026-08-26T00:00:00"/>
    <x v="1"/>
    <s v="TCS.NS"/>
    <n v="2305.10009765625"/>
    <n v="2306.300048828125"/>
    <n v="2266.39990234375"/>
    <n v="2270"/>
    <n v="1660737"/>
    <n v="-1.68"/>
    <n v="36.299999999999997"/>
    <x v="11"/>
    <s v="Q3-2026"/>
  </r>
  <r>
    <d v="2026-08-26T00:00:00"/>
    <x v="2"/>
    <s v="INFY.NS"/>
    <n v="1142"/>
    <n v="1142"/>
    <n v="1118.300048828125"/>
    <n v="1120"/>
    <n v="6323984"/>
    <n v="-2.08"/>
    <n v="22"/>
    <x v="11"/>
    <s v="Q3-2026"/>
  </r>
  <r>
    <d v="2026-08-26T00:00:00"/>
    <x v="3"/>
    <s v="HDFCBANK.NS"/>
    <n v="728"/>
    <n v="731"/>
    <n v="724.1500244140625"/>
    <n v="727.20001220703125"/>
    <n v="21156463"/>
    <n v="-0.53"/>
    <n v="3.8"/>
    <x v="11"/>
    <s v="Q3-2026"/>
  </r>
  <r>
    <d v="2026-08-26T00:00:00"/>
    <x v="4"/>
    <s v="ICICIBANK.NS"/>
    <n v="1423.099975585938"/>
    <n v="1446"/>
    <n v="1423.099975585938"/>
    <n v="1430"/>
    <n v="4177066"/>
    <n v="0"/>
    <n v="16"/>
    <x v="11"/>
    <s v="Q3-2026"/>
  </r>
  <r>
    <d v="2026-08-26T00:00:00"/>
    <x v="5"/>
    <s v="WIPRO.NS"/>
    <n v="180.0899963378906"/>
    <n v="180.94999694824219"/>
    <n v="176.6600036621094"/>
    <n v="177.3500061035156"/>
    <n v="9355776"/>
    <n v="-1.9"/>
    <n v="3.6"/>
    <x v="11"/>
    <s v="Q3-2026"/>
  </r>
  <r>
    <d v="2026-08-26T00:00:00"/>
    <x v="6"/>
    <s v="HCLTECH.NS"/>
    <n v="1319.5"/>
    <n v="1323"/>
    <n v="1296.599975585938"/>
    <n v="1298.5"/>
    <n v="834925"/>
    <n v="-1.74"/>
    <n v="24.5"/>
    <x v="11"/>
    <s v="Q3-2026"/>
  </r>
  <r>
    <d v="2026-08-26T00:00:00"/>
    <x v="7"/>
    <s v="BAJFINANCE.NS"/>
    <n v="1083.300048828125"/>
    <n v="1095"/>
    <n v="1082.400024414062"/>
    <n v="1085"/>
    <n v="3234877"/>
    <n v="-0.08"/>
    <n v="10"/>
    <x v="11"/>
    <s v="Q3-2026"/>
  </r>
  <r>
    <d v="2026-08-26T00:00:00"/>
    <x v="8"/>
    <s v="MARUTI.NS"/>
    <n v="13750"/>
    <n v="13750"/>
    <n v="13514"/>
    <n v="13520"/>
    <n v="197113"/>
    <n v="-1.72"/>
    <n v="230"/>
    <x v="11"/>
    <s v="Q3-2026"/>
  </r>
  <r>
    <d v="2026-08-26T00:00:00"/>
    <x v="9"/>
    <s v="TMPV.NS"/>
    <n v="316"/>
    <n v="316.39999389648438"/>
    <n v="313.10000610351563"/>
    <n v="313.10000610351563"/>
    <n v="5791487"/>
    <n v="-0.92"/>
    <n v="3.3"/>
    <x v="11"/>
    <s v="Q3-2026"/>
  </r>
  <r>
    <d v="2026-08-26T00:00:00"/>
    <x v="10"/>
    <s v="SUNPHARMA.NS"/>
    <n v="1926.900024414062"/>
    <n v="1926.900024414062"/>
    <n v="1899.5"/>
    <n v="1899.5"/>
    <n v="648845"/>
    <n v="-1.42"/>
    <n v="27.4"/>
    <x v="11"/>
    <s v="Q3-2026"/>
  </r>
  <r>
    <d v="2026-08-26T00:00:00"/>
    <x v="11"/>
    <s v="ASIANPAINT.NS"/>
    <n v="2660.89990234375"/>
    <n v="2678.699951171875"/>
    <n v="2626.5"/>
    <n v="2626.5"/>
    <n v="339110"/>
    <n v="-1.29"/>
    <n v="52.2"/>
    <x v="11"/>
    <s v="Q3-2026"/>
  </r>
  <r>
    <d v="2026-08-26T00:00:00"/>
    <x v="12"/>
    <s v="HINDUNILVR.NS"/>
    <n v="2030.300048828125"/>
    <n v="2051.89990234375"/>
    <n v="2021"/>
    <n v="2021"/>
    <n v="765343"/>
    <n v="-0.46"/>
    <n v="30.9"/>
    <x v="11"/>
    <s v="Q3-2026"/>
  </r>
  <r>
    <d v="2026-08-26T00:00:00"/>
    <x v="13"/>
    <s v="LT.NS"/>
    <n v="4114"/>
    <n v="4124.89990234375"/>
    <n v="4038.10009765625"/>
    <n v="4038.10009765625"/>
    <n v="1384669"/>
    <n v="-1.84"/>
    <n v="86.8"/>
    <x v="11"/>
    <s v="Q3-2026"/>
  </r>
  <r>
    <d v="2026-08-26T00:00:00"/>
    <x v="14"/>
    <s v="AXISBANK.NS"/>
    <n v="1240.099975585938"/>
    <n v="1257.699951171875"/>
    <n v="1238.199951171875"/>
    <n v="1255"/>
    <n v="3298266"/>
    <n v="-0.15"/>
    <n v="2.7"/>
    <x v="11"/>
    <s v="Q3-2026"/>
  </r>
  <r>
    <d v="2026-08-27T00:00:00"/>
    <x v="0"/>
    <s v="RELIANCE.NS"/>
    <n v="1305"/>
    <n v="1308.400024414062"/>
    <n v="1282.199951171875"/>
    <n v="1282.199951171875"/>
    <n v="11271497"/>
    <n v="-1.75"/>
    <n v="26.2"/>
    <x v="11"/>
    <s v="Q3-2026"/>
  </r>
  <r>
    <d v="2026-08-27T00:00:00"/>
    <x v="1"/>
    <s v="TCS.NS"/>
    <n v="2270"/>
    <n v="2283.60009765625"/>
    <n v="2243.89990234375"/>
    <n v="2248.39990234375"/>
    <n v="1709113"/>
    <n v="-1.1499999999999999"/>
    <n v="35.200000000000003"/>
    <x v="11"/>
    <s v="Q3-2026"/>
  </r>
  <r>
    <d v="2026-08-27T00:00:00"/>
    <x v="2"/>
    <s v="INFY.NS"/>
    <n v="1120"/>
    <n v="1130.699951171875"/>
    <n v="1107.199951171875"/>
    <n v="1110.800048828125"/>
    <n v="6933998"/>
    <n v="-1.1399999999999999"/>
    <n v="19.899999999999999"/>
    <x v="11"/>
    <s v="Q3-2026"/>
  </r>
  <r>
    <d v="2026-08-27T00:00:00"/>
    <x v="3"/>
    <s v="HDFCBANK.NS"/>
    <n v="728.1500244140625"/>
    <n v="728.1500244140625"/>
    <n v="710"/>
    <n v="711"/>
    <n v="46515020"/>
    <n v="-2.4900000000000002"/>
    <n v="17.149999999999999"/>
    <x v="11"/>
    <s v="Q3-2026"/>
  </r>
  <r>
    <d v="2026-08-27T00:00:00"/>
    <x v="4"/>
    <s v="ICICIBANK.NS"/>
    <n v="1445"/>
    <n v="1453.800048828125"/>
    <n v="1433.099975585938"/>
    <n v="1443"/>
    <n v="11539716"/>
    <n v="-0.82"/>
    <n v="10.8"/>
    <x v="11"/>
    <s v="Q3-2026"/>
  </r>
  <r>
    <d v="2026-08-27T00:00:00"/>
    <x v="5"/>
    <s v="WIPRO.NS"/>
    <n v="177.3500061035156"/>
    <n v="178.69999694824219"/>
    <n v="176.3999938964844"/>
    <n v="176.3999938964844"/>
    <n v="4695019"/>
    <n v="-0.54"/>
    <n v="2.2999999999999998"/>
    <x v="11"/>
    <s v="Q3-2026"/>
  </r>
  <r>
    <d v="2026-08-27T00:00:00"/>
    <x v="6"/>
    <s v="HCLTECH.NS"/>
    <n v="1295"/>
    <n v="1304.699951171875"/>
    <n v="1280"/>
    <n v="1282"/>
    <n v="1936771"/>
    <n v="-1.1599999999999999"/>
    <n v="22.7"/>
    <x v="11"/>
    <s v="Q3-2026"/>
  </r>
  <r>
    <d v="2026-08-27T00:00:00"/>
    <x v="7"/>
    <s v="BAJFINANCE.NS"/>
    <n v="1090"/>
    <n v="1107"/>
    <n v="1083"/>
    <n v="1083"/>
    <n v="5220239"/>
    <n v="-0.64"/>
    <n v="24"/>
    <x v="11"/>
    <s v="Q3-2026"/>
  </r>
  <r>
    <d v="2026-08-27T00:00:00"/>
    <x v="8"/>
    <s v="MARUTI.NS"/>
    <n v="13520"/>
    <n v="13580"/>
    <n v="13404"/>
    <n v="13440"/>
    <n v="315555"/>
    <n v="-0.86"/>
    <n v="140"/>
    <x v="11"/>
    <s v="Q3-2026"/>
  </r>
  <r>
    <d v="2026-08-27T00:00:00"/>
    <x v="9"/>
    <s v="TMPV.NS"/>
    <n v="315"/>
    <n v="319.60000610351563"/>
    <n v="314.14999389648438"/>
    <n v="316"/>
    <n v="8028070"/>
    <n v="-0.27"/>
    <n v="3.6"/>
    <x v="11"/>
    <s v="Q3-2026"/>
  </r>
  <r>
    <d v="2026-08-27T00:00:00"/>
    <x v="10"/>
    <s v="SUNPHARMA.NS"/>
    <n v="1907.099975585938"/>
    <n v="1925"/>
    <n v="1898"/>
    <n v="1913.300048828125"/>
    <n v="1107552"/>
    <n v="-0.48"/>
    <n v="11.7"/>
    <x v="11"/>
    <s v="Q3-2026"/>
  </r>
  <r>
    <d v="2026-08-27T00:00:00"/>
    <x v="11"/>
    <s v="ASIANPAINT.NS"/>
    <n v="2637.89990234375"/>
    <n v="2655.89990234375"/>
    <n v="2627.89990234375"/>
    <n v="2631"/>
    <n v="525106"/>
    <n v="-0.38"/>
    <n v="24.9"/>
    <x v="11"/>
    <s v="Q3-2026"/>
  </r>
  <r>
    <d v="2026-08-27T00:00:00"/>
    <x v="12"/>
    <s v="HINDUNILVR.NS"/>
    <n v="2020"/>
    <n v="2028"/>
    <n v="2004.300048828125"/>
    <n v="2009"/>
    <n v="989046"/>
    <n v="-0.78"/>
    <n v="19"/>
    <x v="11"/>
    <s v="Q3-2026"/>
  </r>
  <r>
    <d v="2026-08-27T00:00:00"/>
    <x v="13"/>
    <s v="LT.NS"/>
    <n v="4058"/>
    <n v="4067.300048828125"/>
    <n v="4023"/>
    <n v="4027"/>
    <n v="1161440"/>
    <n v="-0.86"/>
    <n v="40.299999999999997"/>
    <x v="11"/>
    <s v="Q3-2026"/>
  </r>
  <r>
    <d v="2026-08-27T00:00:00"/>
    <x v="14"/>
    <s v="AXISBANK.NS"/>
    <n v="1260"/>
    <n v="1268.699951171875"/>
    <n v="1251.400024414062"/>
    <n v="1256"/>
    <n v="7005789"/>
    <n v="-0.68"/>
    <n v="12.7"/>
    <x v="11"/>
    <s v="Q3-2026"/>
  </r>
  <r>
    <d v="2026-08-28T00:00:00"/>
    <x v="0"/>
    <s v="RELIANCE.NS"/>
    <n v="1284.900024414062"/>
    <n v="1291.800048828125"/>
    <n v="1280"/>
    <n v="1287"/>
    <n v="6830228"/>
    <n v="-0.38"/>
    <n v="4.8"/>
    <x v="11"/>
    <s v="Q3-2026"/>
  </r>
  <r>
    <d v="2026-08-28T00:00:00"/>
    <x v="1"/>
    <s v="TCS.NS"/>
    <n v="2272"/>
    <n v="2348.5"/>
    <n v="2263.300048828125"/>
    <n v="2342"/>
    <n v="4054069"/>
    <n v="-0.38"/>
    <n v="6.5"/>
    <x v="11"/>
    <s v="Q3-2026"/>
  </r>
  <r>
    <d v="2026-08-28T00:00:00"/>
    <x v="2"/>
    <s v="INFY.NS"/>
    <n v="1123.599975585938"/>
    <n v="1145"/>
    <n v="1123.300048828125"/>
    <n v="1144"/>
    <n v="9621969"/>
    <n v="-0.03"/>
    <n v="1"/>
    <x v="11"/>
    <s v="Q3-2026"/>
  </r>
  <r>
    <d v="2026-08-28T00:00:00"/>
    <x v="3"/>
    <s v="HDFCBANK.NS"/>
    <n v="710.8499755859375"/>
    <n v="720.29998779296875"/>
    <n v="707"/>
    <n v="720.29998779296875"/>
    <n v="16494301"/>
    <n v="-0.54"/>
    <n v="0"/>
    <x v="11"/>
    <s v="Q3-2026"/>
  </r>
  <r>
    <d v="2026-08-28T00:00:00"/>
    <x v="4"/>
    <s v="ICICIBANK.NS"/>
    <n v="1435"/>
    <n v="1439.800048828125"/>
    <n v="1418.900024414062"/>
    <n v="1422.800048828125"/>
    <n v="8625738"/>
    <n v="-1.1200000000000001"/>
    <n v="17"/>
    <x v="11"/>
    <s v="Q3-2026"/>
  </r>
  <r>
    <d v="2026-08-28T00:00:00"/>
    <x v="5"/>
    <s v="WIPRO.NS"/>
    <n v="178.25"/>
    <n v="181.8500061035156"/>
    <n v="178.25"/>
    <n v="180.94999694824219"/>
    <n v="14686269"/>
    <n v="0"/>
    <n v="0.9"/>
    <x v="11"/>
    <s v="Q3-2026"/>
  </r>
  <r>
    <d v="2026-08-28T00:00:00"/>
    <x v="6"/>
    <s v="HCLTECH.NS"/>
    <n v="1290"/>
    <n v="1334.199951171875"/>
    <n v="1290"/>
    <n v="1316.099975585938"/>
    <n v="3459476"/>
    <n v="0"/>
    <n v="18.100000000000001"/>
    <x v="11"/>
    <s v="Q3-2026"/>
  </r>
  <r>
    <d v="2026-08-28T00:00:00"/>
    <x v="7"/>
    <s v="BAJFINANCE.NS"/>
    <n v="1065.699951171875"/>
    <n v="1081.5"/>
    <n v="1065.699951171875"/>
    <n v="1079.900024414062"/>
    <n v="4554311"/>
    <n v="0"/>
    <n v="1.6"/>
    <x v="11"/>
    <s v="Q3-2026"/>
  </r>
  <r>
    <d v="2026-08-28T00:00:00"/>
    <x v="8"/>
    <s v="MARUTI.NS"/>
    <n v="13500"/>
    <n v="13525"/>
    <n v="13318"/>
    <n v="13376"/>
    <n v="277509"/>
    <n v="-1.35"/>
    <n v="149"/>
    <x v="11"/>
    <s v="Q3-2026"/>
  </r>
  <r>
    <d v="2026-08-28T00:00:00"/>
    <x v="9"/>
    <s v="TMPV.NS"/>
    <n v="317.5"/>
    <n v="319.39999389648438"/>
    <n v="313.29998779296881"/>
    <n v="319.39999389648438"/>
    <n v="5852894"/>
    <n v="-1.32"/>
    <n v="0"/>
    <x v="11"/>
    <s v="Q3-2026"/>
  </r>
  <r>
    <d v="2026-08-28T00:00:00"/>
    <x v="10"/>
    <s v="SUNPHARMA.NS"/>
    <n v="1925"/>
    <n v="1931"/>
    <n v="1903.800048828125"/>
    <n v="1920"/>
    <n v="1140742"/>
    <n v="-1.1000000000000001"/>
    <n v="11"/>
    <x v="11"/>
    <s v="Q3-2026"/>
  </r>
  <r>
    <d v="2026-08-28T00:00:00"/>
    <x v="11"/>
    <s v="ASIANPAINT.NS"/>
    <n v="2645"/>
    <n v="2645"/>
    <n v="2583.800048828125"/>
    <n v="2608.699951171875"/>
    <n v="482544"/>
    <n v="-2.31"/>
    <n v="36.299999999999997"/>
    <x v="11"/>
    <s v="Q3-2026"/>
  </r>
  <r>
    <d v="2026-08-28T00:00:00"/>
    <x v="12"/>
    <s v="HINDUNILVR.NS"/>
    <n v="2018"/>
    <n v="2018"/>
    <n v="1997.5"/>
    <n v="2010.400024414062"/>
    <n v="933212"/>
    <n v="-1.02"/>
    <n v="7.6"/>
    <x v="11"/>
    <s v="Q3-2026"/>
  </r>
  <r>
    <d v="2026-08-28T00:00:00"/>
    <x v="13"/>
    <s v="LT.NS"/>
    <n v="4045"/>
    <n v="4060"/>
    <n v="4021.300048828125"/>
    <n v="4045.800048828125"/>
    <n v="893956"/>
    <n v="-0.59"/>
    <n v="14.2"/>
    <x v="11"/>
    <s v="Q3-2026"/>
  </r>
  <r>
    <d v="2026-08-28T00:00:00"/>
    <x v="14"/>
    <s v="AXISBANK.NS"/>
    <n v="1256"/>
    <n v="1265.400024414062"/>
    <n v="1248.199951171875"/>
    <n v="1265"/>
    <n v="3243469"/>
    <n v="-0.62"/>
    <n v="0.4"/>
    <x v="11"/>
    <s v="Q3-2026"/>
  </r>
  <r>
    <d v="2026-08-31T00:00:00"/>
    <x v="0"/>
    <s v="RELIANCE.NS"/>
    <n v="1278.699951171875"/>
    <n v="1297.599975585938"/>
    <n v="1271"/>
    <n v="1277"/>
    <n v="34871137"/>
    <n v="-0.6"/>
    <n v="20.6"/>
    <x v="11"/>
    <s v="Q3-2026"/>
  </r>
  <r>
    <d v="2026-08-31T00:00:00"/>
    <x v="1"/>
    <s v="TCS.NS"/>
    <n v="2342"/>
    <n v="2399.300048828125"/>
    <n v="2306.199951171875"/>
    <n v="2399.300048828125"/>
    <n v="2905846"/>
    <n v="-1.53"/>
    <n v="0"/>
    <x v="11"/>
    <s v="Q3-2026"/>
  </r>
  <r>
    <d v="2026-08-31T00:00:00"/>
    <x v="2"/>
    <s v="INFY.NS"/>
    <n v="1138.599975585938"/>
    <n v="1143.900024414062"/>
    <n v="1111.099975585938"/>
    <n v="1133.800048828125"/>
    <n v="8808120"/>
    <n v="-2.42"/>
    <n v="10.1"/>
    <x v="11"/>
    <s v="Q3-2026"/>
  </r>
  <r>
    <d v="2026-08-31T00:00:00"/>
    <x v="3"/>
    <s v="HDFCBANK.NS"/>
    <n v="723.04998779296875"/>
    <n v="739.75"/>
    <n v="704.1500244140625"/>
    <n v="709"/>
    <n v="78157067"/>
    <n v="-2.61"/>
    <n v="30.75"/>
    <x v="11"/>
    <s v="Q3-2026"/>
  </r>
  <r>
    <d v="2026-08-31T00:00:00"/>
    <x v="4"/>
    <s v="ICICIBANK.NS"/>
    <n v="1422.800048828125"/>
    <n v="1454"/>
    <n v="1419"/>
    <n v="1454"/>
    <n v="15331697"/>
    <n v="-0.27"/>
    <n v="0"/>
    <x v="11"/>
    <s v="Q3-2026"/>
  </r>
  <r>
    <d v="2026-08-31T00:00:00"/>
    <x v="5"/>
    <s v="WIPRO.NS"/>
    <n v="180.16999816894531"/>
    <n v="184.5"/>
    <n v="176.16999816894531"/>
    <n v="184.5"/>
    <n v="16666567"/>
    <n v="-2.2200000000000002"/>
    <n v="0"/>
    <x v="11"/>
    <s v="Q3-2026"/>
  </r>
  <r>
    <d v="2026-08-31T00:00:00"/>
    <x v="6"/>
    <s v="HCLTECH.NS"/>
    <n v="1316.599975585938"/>
    <n v="1322.599975585938"/>
    <n v="1297.699951171875"/>
    <n v="1312.199951171875"/>
    <n v="3125051"/>
    <n v="-1.44"/>
    <n v="10.4"/>
    <x v="11"/>
    <s v="Q3-2026"/>
  </r>
  <r>
    <d v="2026-08-31T00:00:00"/>
    <x v="7"/>
    <s v="BAJFINANCE.NS"/>
    <n v="1069.400024414062"/>
    <n v="1073"/>
    <n v="1052"/>
    <n v="1057"/>
    <n v="7002192"/>
    <n v="-1.63"/>
    <n v="16"/>
    <x v="11"/>
    <s v="Q3-2026"/>
  </r>
  <r>
    <d v="2026-08-31T00:00:00"/>
    <x v="8"/>
    <s v="MARUTI.NS"/>
    <n v="13375"/>
    <n v="13547"/>
    <n v="13268"/>
    <n v="13547"/>
    <n v="443131"/>
    <n v="-0.8"/>
    <n v="0"/>
    <x v="11"/>
    <s v="Q3-2026"/>
  </r>
  <r>
    <d v="2026-08-31T00:00:00"/>
    <x v="9"/>
    <s v="TMPV.NS"/>
    <n v="318.39999389648438"/>
    <n v="318.89999389648438"/>
    <n v="308.85000610351563"/>
    <n v="308.85000610351563"/>
    <n v="9986158"/>
    <n v="-3"/>
    <n v="10.050000000000001"/>
    <x v="11"/>
    <s v="Q3-2026"/>
  </r>
  <r>
    <d v="2026-08-31T00:00:00"/>
    <x v="10"/>
    <s v="SUNPHARMA.NS"/>
    <n v="1917"/>
    <n v="1984.800048828125"/>
    <n v="1905"/>
    <n v="1984.800048828125"/>
    <n v="2413221"/>
    <n v="-0.63"/>
    <n v="0"/>
    <x v="11"/>
    <s v="Q3-2026"/>
  </r>
  <r>
    <d v="2026-08-31T00:00:00"/>
    <x v="11"/>
    <s v="ASIANPAINT.NS"/>
    <n v="2590"/>
    <n v="2653.60009765625"/>
    <n v="2561.10009765625"/>
    <n v="2653.60009765625"/>
    <n v="1381178"/>
    <n v="-1.1200000000000001"/>
    <n v="0"/>
    <x v="11"/>
    <s v="Q3-2026"/>
  </r>
  <r>
    <d v="2026-08-31T00:00:00"/>
    <x v="12"/>
    <s v="HINDUNILVR.NS"/>
    <n v="2001.099975585938"/>
    <n v="2008.599975585938"/>
    <n v="1967.400024414062"/>
    <n v="1967.400024414062"/>
    <n v="1800025"/>
    <n v="-1.68"/>
    <n v="41.2"/>
    <x v="11"/>
    <s v="Q3-2026"/>
  </r>
  <r>
    <d v="2026-08-31T00:00:00"/>
    <x v="13"/>
    <s v="LT.NS"/>
    <n v="4035.10009765625"/>
    <n v="4044.89990234375"/>
    <n v="3976"/>
    <n v="4044.89990234375"/>
    <n v="1553171"/>
    <n v="-1.46"/>
    <n v="0"/>
    <x v="11"/>
    <s v="Q3-2026"/>
  </r>
  <r>
    <d v="2026-08-31T00:00:00"/>
    <x v="14"/>
    <s v="AXISBANK.NS"/>
    <n v="1257"/>
    <n v="1300"/>
    <n v="1251.199951171875"/>
    <n v="1300"/>
    <n v="6093670"/>
    <n v="-0.46"/>
    <n v="0"/>
    <x v="11"/>
    <s v="Q3-2026"/>
  </r>
  <r>
    <d v="2026-09-01T00:00:00"/>
    <x v="0"/>
    <s v="RELIANCE.NS"/>
    <n v="1285"/>
    <n v="1311.800048828125"/>
    <n v="1280"/>
    <n v="1309"/>
    <n v="12617528"/>
    <n v="-0.39"/>
    <n v="2.8"/>
    <x v="12"/>
    <s v="Q3-2026"/>
  </r>
  <r>
    <d v="2026-09-01T00:00:00"/>
    <x v="1"/>
    <s v="TCS.NS"/>
    <n v="2355"/>
    <n v="2372"/>
    <n v="2325"/>
    <n v="2369"/>
    <n v="2678034"/>
    <n v="-1.27"/>
    <n v="3"/>
    <x v="12"/>
    <s v="Q3-2026"/>
  </r>
  <r>
    <d v="2026-09-01T00:00:00"/>
    <x v="2"/>
    <s v="INFY.NS"/>
    <n v="1128"/>
    <n v="1156"/>
    <n v="1125.599975585938"/>
    <n v="1156"/>
    <n v="13516123"/>
    <n v="-0.21"/>
    <n v="0"/>
    <x v="12"/>
    <s v="Q3-2026"/>
  </r>
  <r>
    <d v="2026-09-01T00:00:00"/>
    <x v="3"/>
    <s v="HDFCBANK.NS"/>
    <n v="705.04998779296875"/>
    <n v="715.45001220703125"/>
    <n v="698.5"/>
    <n v="711.9000244140625"/>
    <n v="44417092"/>
    <n v="-0.93"/>
    <n v="3.55"/>
    <x v="12"/>
    <s v="Q3-2026"/>
  </r>
  <r>
    <d v="2026-09-01T00:00:00"/>
    <x v="4"/>
    <s v="ICICIBANK.NS"/>
    <n v="1442.900024414062"/>
    <n v="1446.699951171875"/>
    <n v="1422.800048828125"/>
    <n v="1438"/>
    <n v="10627608"/>
    <n v="-1.39"/>
    <n v="8.6999999999999993"/>
    <x v="12"/>
    <s v="Q3-2026"/>
  </r>
  <r>
    <d v="2026-09-01T00:00:00"/>
    <x v="5"/>
    <s v="WIPRO.NS"/>
    <n v="181"/>
    <n v="182.1000061035156"/>
    <n v="178.5"/>
    <n v="181.69999694824219"/>
    <n v="6813425"/>
    <n v="-1.38"/>
    <n v="0.4"/>
    <x v="12"/>
    <s v="Q3-2026"/>
  </r>
  <r>
    <d v="2026-09-01T00:00:00"/>
    <x v="6"/>
    <s v="HCLTECH.NS"/>
    <n v="1316.099975585938"/>
    <n v="1368"/>
    <n v="1313.099975585938"/>
    <n v="1351.400024414062"/>
    <n v="4031856"/>
    <n v="-0.23"/>
    <n v="16.600000000000001"/>
    <x v="12"/>
    <s v="Q3-2026"/>
  </r>
  <r>
    <d v="2026-09-01T00:00:00"/>
    <x v="7"/>
    <s v="BAJFINANCE.NS"/>
    <n v="1065"/>
    <n v="1067"/>
    <n v="1047"/>
    <n v="1053.900024414062"/>
    <n v="4813301"/>
    <n v="-1.69"/>
    <n v="13.1"/>
    <x v="12"/>
    <s v="Q3-2026"/>
  </r>
  <r>
    <d v="2026-09-01T00:00:00"/>
    <x v="8"/>
    <s v="MARUTI.NS"/>
    <n v="13540"/>
    <n v="13540"/>
    <n v="12851"/>
    <n v="12950"/>
    <n v="915975"/>
    <n v="-5.09"/>
    <n v="590"/>
    <x v="12"/>
    <s v="Q3-2026"/>
  </r>
  <r>
    <d v="2026-09-01T00:00:00"/>
    <x v="9"/>
    <s v="TMPV.NS"/>
    <n v="317.20001220703119"/>
    <n v="317.29998779296881"/>
    <n v="308.95001220703119"/>
    <n v="310"/>
    <n v="8951324"/>
    <n v="-2.6"/>
    <n v="7.3"/>
    <x v="12"/>
    <s v="Q3-2026"/>
  </r>
  <r>
    <d v="2026-09-01T00:00:00"/>
    <x v="10"/>
    <s v="SUNPHARMA.NS"/>
    <n v="1963.099975585938"/>
    <n v="1963.099975585938"/>
    <n v="1921.099975585938"/>
    <n v="1929"/>
    <n v="3595272"/>
    <n v="-2.14"/>
    <n v="34.1"/>
    <x v="12"/>
    <s v="Q3-2026"/>
  </r>
  <r>
    <d v="2026-09-01T00:00:00"/>
    <x v="11"/>
    <s v="ASIANPAINT.NS"/>
    <n v="2645.300048828125"/>
    <n v="2645.300048828125"/>
    <n v="2545.199951171875"/>
    <n v="2575.5"/>
    <n v="1046523"/>
    <n v="-3.78"/>
    <n v="69.8"/>
    <x v="12"/>
    <s v="Q3-2026"/>
  </r>
  <r>
    <d v="2026-09-01T00:00:00"/>
    <x v="12"/>
    <s v="HINDUNILVR.NS"/>
    <n v="1987"/>
    <n v="2003"/>
    <n v="1980"/>
    <n v="1994.800048828125"/>
    <n v="922778"/>
    <n v="-0.35"/>
    <n v="8.1999999999999993"/>
    <x v="12"/>
    <s v="Q3-2026"/>
  </r>
  <r>
    <d v="2026-09-01T00:00:00"/>
    <x v="13"/>
    <s v="LT.NS"/>
    <n v="4038"/>
    <n v="4038"/>
    <n v="3980.10009765625"/>
    <n v="3980.10009765625"/>
    <n v="944703"/>
    <n v="-1.43"/>
    <n v="57.9"/>
    <x v="12"/>
    <s v="Q3-2026"/>
  </r>
  <r>
    <d v="2026-09-01T00:00:00"/>
    <x v="14"/>
    <s v="AXISBANK.NS"/>
    <n v="1274.900024414062"/>
    <n v="1275.099975585938"/>
    <n v="1255"/>
    <n v="1258"/>
    <n v="5588158"/>
    <n v="-1.56"/>
    <n v="17.100000000000001"/>
    <x v="12"/>
    <s v="Q3-2026"/>
  </r>
  <r>
    <d v="2026-09-02T00:00:00"/>
    <x v="0"/>
    <s v="RELIANCE.NS"/>
    <n v="1298"/>
    <n v="1321.900024414062"/>
    <n v="1293.099975585938"/>
    <n v="1313.099975585938"/>
    <n v="13497841"/>
    <n v="-0.38"/>
    <n v="8.8000000000000007"/>
    <x v="12"/>
    <s v="Q3-2026"/>
  </r>
  <r>
    <d v="2026-09-02T00:00:00"/>
    <x v="1"/>
    <s v="TCS.NS"/>
    <n v="2347.89990234375"/>
    <n v="2363"/>
    <n v="2303.5"/>
    <n v="2348"/>
    <n v="2533005"/>
    <n v="-1.89"/>
    <n v="15"/>
    <x v="12"/>
    <s v="Q3-2026"/>
  </r>
  <r>
    <d v="2026-09-02T00:00:00"/>
    <x v="2"/>
    <s v="INFY.NS"/>
    <n v="1137.699951171875"/>
    <n v="1147.800048828125"/>
    <n v="1118.599975585938"/>
    <n v="1140"/>
    <n v="8564358"/>
    <n v="-1.68"/>
    <n v="7.8"/>
    <x v="12"/>
    <s v="Q3-2026"/>
  </r>
  <r>
    <d v="2026-09-02T00:00:00"/>
    <x v="3"/>
    <s v="HDFCBANK.NS"/>
    <n v="702.29998779296875"/>
    <n v="705.6500244140625"/>
    <n v="700"/>
    <n v="700.79998779296875"/>
    <n v="36950338"/>
    <n v="-0.33"/>
    <n v="4.8499999999999996"/>
    <x v="12"/>
    <s v="Q3-2026"/>
  </r>
  <r>
    <d v="2026-09-02T00:00:00"/>
    <x v="4"/>
    <s v="ICICIBANK.NS"/>
    <n v="1425.099975585938"/>
    <n v="1436"/>
    <n v="1420.699951171875"/>
    <n v="1426.5"/>
    <n v="8515824"/>
    <n v="-0.31"/>
    <n v="9.5"/>
    <x v="12"/>
    <s v="Q3-2026"/>
  </r>
  <r>
    <d v="2026-09-02T00:00:00"/>
    <x v="5"/>
    <s v="WIPRO.NS"/>
    <n v="180"/>
    <n v="180.38999938964841"/>
    <n v="176.80000305175781"/>
    <n v="177.0899963378906"/>
    <n v="12056634"/>
    <n v="-1.78"/>
    <n v="3.3"/>
    <x v="12"/>
    <s v="Q3-2026"/>
  </r>
  <r>
    <d v="2026-09-02T00:00:00"/>
    <x v="6"/>
    <s v="HCLTECH.NS"/>
    <n v="1340.099975585938"/>
    <n v="1349.300048828125"/>
    <n v="1317.400024414062"/>
    <n v="1331.5"/>
    <n v="2739386"/>
    <n v="-1.69"/>
    <n v="17.8"/>
    <x v="12"/>
    <s v="Q3-2026"/>
  </r>
  <r>
    <d v="2026-09-02T00:00:00"/>
    <x v="7"/>
    <s v="BAJFINANCE.NS"/>
    <n v="1044.199951171875"/>
    <n v="1061"/>
    <n v="1034.800048828125"/>
    <n v="1055.900024414062"/>
    <n v="6234288"/>
    <n v="-0.9"/>
    <n v="5.0999999999999996"/>
    <x v="12"/>
    <s v="Q3-2026"/>
  </r>
  <r>
    <d v="2026-09-02T00:00:00"/>
    <x v="8"/>
    <s v="MARUTI.NS"/>
    <n v="12763"/>
    <n v="12888"/>
    <n v="12640"/>
    <n v="12849"/>
    <n v="614156"/>
    <n v="-0.96"/>
    <n v="39"/>
    <x v="12"/>
    <s v="Q3-2026"/>
  </r>
  <r>
    <d v="2026-09-02T00:00:00"/>
    <x v="9"/>
    <s v="TMPV.NS"/>
    <n v="307.70001220703119"/>
    <n v="312.95001220703119"/>
    <n v="305.64999389648438"/>
    <n v="312.75"/>
    <n v="6667459"/>
    <n v="-0.67"/>
    <n v="0.2"/>
    <x v="12"/>
    <s v="Q3-2026"/>
  </r>
  <r>
    <d v="2026-09-02T00:00:00"/>
    <x v="10"/>
    <s v="SUNPHARMA.NS"/>
    <n v="1910"/>
    <n v="1948.5"/>
    <n v="1910"/>
    <n v="1931.699951171875"/>
    <n v="1245419"/>
    <n v="0"/>
    <n v="16.8"/>
    <x v="12"/>
    <s v="Q3-2026"/>
  </r>
  <r>
    <d v="2026-09-02T00:00:00"/>
    <x v="11"/>
    <s v="ASIANPAINT.NS"/>
    <n v="2548"/>
    <n v="2548"/>
    <n v="2510.699951171875"/>
    <n v="2527.5"/>
    <n v="497889"/>
    <n v="-1.46"/>
    <n v="20.5"/>
    <x v="12"/>
    <s v="Q3-2026"/>
  </r>
  <r>
    <d v="2026-09-02T00:00:00"/>
    <x v="12"/>
    <s v="HINDUNILVR.NS"/>
    <n v="1983"/>
    <n v="1983.800048828125"/>
    <n v="1962.300048828125"/>
    <n v="1975"/>
    <n v="1497019"/>
    <n v="-1.04"/>
    <n v="8.8000000000000007"/>
    <x v="12"/>
    <s v="Q3-2026"/>
  </r>
  <r>
    <d v="2026-09-02T00:00:00"/>
    <x v="13"/>
    <s v="LT.NS"/>
    <n v="3966"/>
    <n v="4002.300048828125"/>
    <n v="3956.699951171875"/>
    <n v="3981"/>
    <n v="1307081"/>
    <n v="-0.23"/>
    <n v="21.3"/>
    <x v="12"/>
    <s v="Q3-2026"/>
  </r>
  <r>
    <d v="2026-09-02T00:00:00"/>
    <x v="14"/>
    <s v="AXISBANK.NS"/>
    <n v="1254.599975585938"/>
    <n v="1266.900024414062"/>
    <n v="1250"/>
    <n v="1253.900024414062"/>
    <n v="6437250"/>
    <n v="-0.37"/>
    <n v="13"/>
    <x v="12"/>
    <s v="Q3-2026"/>
  </r>
  <r>
    <d v="2026-09-03T00:00:00"/>
    <x v="0"/>
    <s v="RELIANCE.NS"/>
    <n v="1313.099975585938"/>
    <n v="1316.800048828125"/>
    <n v="1302.5"/>
    <n v="1302.5"/>
    <n v="9721454"/>
    <n v="-0.81"/>
    <n v="14.3"/>
    <x v="12"/>
    <s v="Q3-2026"/>
  </r>
  <r>
    <d v="2026-09-03T00:00:00"/>
    <x v="1"/>
    <s v="TCS.NS"/>
    <n v="2353.60009765625"/>
    <n v="2353.60009765625"/>
    <n v="2316.10009765625"/>
    <n v="2320.10009765625"/>
    <n v="1892786"/>
    <n v="-1.59"/>
    <n v="33.5"/>
    <x v="12"/>
    <s v="Q3-2026"/>
  </r>
  <r>
    <d v="2026-09-03T00:00:00"/>
    <x v="2"/>
    <s v="INFY.NS"/>
    <n v="1144"/>
    <n v="1144"/>
    <n v="1122.5"/>
    <n v="1130.300048828125"/>
    <n v="5786250"/>
    <n v="-1.88"/>
    <n v="13.7"/>
    <x v="12"/>
    <s v="Q3-2026"/>
  </r>
  <r>
    <d v="2026-09-03T00:00:00"/>
    <x v="3"/>
    <s v="HDFCBANK.NS"/>
    <n v="705"/>
    <n v="712.5999755859375"/>
    <n v="705"/>
    <n v="706.6500244140625"/>
    <n v="27770641"/>
    <n v="0"/>
    <n v="5.95"/>
    <x v="12"/>
    <s v="Q3-2026"/>
  </r>
  <r>
    <d v="2026-09-03T00:00:00"/>
    <x v="4"/>
    <s v="ICICIBANK.NS"/>
    <n v="1438.300048828125"/>
    <n v="1452"/>
    <n v="1430"/>
    <n v="1430"/>
    <n v="10503351"/>
    <n v="-0.57999999999999996"/>
    <n v="22"/>
    <x v="12"/>
    <s v="Q3-2026"/>
  </r>
  <r>
    <d v="2026-09-03T00:00:00"/>
    <x v="5"/>
    <s v="WIPRO.NS"/>
    <n v="177.5"/>
    <n v="178.03999328613281"/>
    <n v="175.7200012207031"/>
    <n v="175.7200012207031"/>
    <n v="6496396"/>
    <n v="-1"/>
    <n v="2.3199999999999998"/>
    <x v="12"/>
    <s v="Q3-2026"/>
  </r>
  <r>
    <d v="2026-09-03T00:00:00"/>
    <x v="6"/>
    <s v="HCLTECH.NS"/>
    <n v="1345"/>
    <n v="1345"/>
    <n v="1308"/>
    <n v="1319"/>
    <n v="1515496"/>
    <n v="-2.75"/>
    <n v="26"/>
    <x v="12"/>
    <s v="Q3-2026"/>
  </r>
  <r>
    <d v="2026-09-03T00:00:00"/>
    <x v="7"/>
    <s v="BAJFINANCE.NS"/>
    <n v="1057.099975585938"/>
    <n v="1059.699951171875"/>
    <n v="1043.199951171875"/>
    <n v="1049"/>
    <n v="6626755"/>
    <n v="-1.31"/>
    <n v="10.7"/>
    <x v="12"/>
    <s v="Q3-2026"/>
  </r>
  <r>
    <d v="2026-09-03T00:00:00"/>
    <x v="8"/>
    <s v="MARUTI.NS"/>
    <n v="12853"/>
    <n v="12927"/>
    <n v="12780"/>
    <n v="12857"/>
    <n v="362982"/>
    <n v="-0.56999999999999995"/>
    <n v="70"/>
    <x v="12"/>
    <s v="Q3-2026"/>
  </r>
  <r>
    <d v="2026-09-03T00:00:00"/>
    <x v="9"/>
    <s v="TMPV.NS"/>
    <n v="314"/>
    <n v="314.25"/>
    <n v="309.60000610351563"/>
    <n v="312"/>
    <n v="5195643"/>
    <n v="-1.4"/>
    <n v="2.25"/>
    <x v="12"/>
    <s v="Q3-2026"/>
  </r>
  <r>
    <d v="2026-09-03T00:00:00"/>
    <x v="10"/>
    <s v="SUNPHARMA.NS"/>
    <n v="1932"/>
    <n v="1936.800048828125"/>
    <n v="1913"/>
    <n v="1916"/>
    <n v="1205188"/>
    <n v="-0.98"/>
    <n v="20.8"/>
    <x v="12"/>
    <s v="Q3-2026"/>
  </r>
  <r>
    <d v="2026-09-03T00:00:00"/>
    <x v="11"/>
    <s v="ASIANPAINT.NS"/>
    <n v="2530"/>
    <n v="2544"/>
    <n v="2515.10009765625"/>
    <n v="2541.60009765625"/>
    <n v="589499"/>
    <n v="-0.59"/>
    <n v="2.4"/>
    <x v="12"/>
    <s v="Q3-2026"/>
  </r>
  <r>
    <d v="2026-09-03T00:00:00"/>
    <x v="12"/>
    <s v="HINDUNILVR.NS"/>
    <n v="1978.900024414062"/>
    <n v="1978.900024414062"/>
    <n v="1959.900024414062"/>
    <n v="1962"/>
    <n v="1638341"/>
    <n v="-0.96"/>
    <n v="16.899999999999999"/>
    <x v="12"/>
    <s v="Q3-2026"/>
  </r>
  <r>
    <d v="2026-09-03T00:00:00"/>
    <x v="13"/>
    <s v="LT.NS"/>
    <n v="3999.800048828125"/>
    <n v="4027.699951171875"/>
    <n v="3975"/>
    <n v="3975"/>
    <n v="940768"/>
    <n v="-0.62"/>
    <n v="52.7"/>
    <x v="12"/>
    <s v="Q3-2026"/>
  </r>
  <r>
    <d v="2026-09-03T00:00:00"/>
    <x v="14"/>
    <s v="AXISBANK.NS"/>
    <n v="1265"/>
    <n v="1278.900024414062"/>
    <n v="1260.199951171875"/>
    <n v="1267"/>
    <n v="3309215"/>
    <n v="-0.38"/>
    <n v="11.9"/>
    <x v="12"/>
    <s v="Q3-2026"/>
  </r>
  <r>
    <d v="2026-09-04T00:00:00"/>
    <x v="0"/>
    <s v="RELIANCE.NS"/>
    <n v="1304.099975585938"/>
    <n v="1333"/>
    <n v="1304.099975585938"/>
    <n v="1322"/>
    <n v="13031534"/>
    <n v="0"/>
    <n v="11"/>
    <x v="12"/>
    <s v="Q3-2026"/>
  </r>
  <r>
    <d v="2026-09-04T00:00:00"/>
    <x v="1"/>
    <s v="TCS.NS"/>
    <n v="2330"/>
    <n v="2363.89990234375"/>
    <n v="2302.39990234375"/>
    <n v="2304"/>
    <n v="2564322"/>
    <n v="-1.18"/>
    <n v="59.9"/>
    <x v="12"/>
    <s v="Q3-2026"/>
  </r>
  <r>
    <d v="2026-09-04T00:00:00"/>
    <x v="2"/>
    <s v="INFY.NS"/>
    <n v="1133"/>
    <n v="1146.699951171875"/>
    <n v="1125.400024414062"/>
    <n v="1130"/>
    <n v="5881388"/>
    <n v="-0.67"/>
    <n v="16.7"/>
    <x v="12"/>
    <s v="Q3-2026"/>
  </r>
  <r>
    <d v="2026-09-04T00:00:00"/>
    <x v="3"/>
    <s v="HDFCBANK.NS"/>
    <n v="708.3499755859375"/>
    <n v="716.5"/>
    <n v="708.3499755859375"/>
    <n v="712.0999755859375"/>
    <n v="14488024"/>
    <n v="0"/>
    <n v="4.4000000000000004"/>
    <x v="12"/>
    <s v="Q3-2026"/>
  </r>
  <r>
    <d v="2026-09-04T00:00:00"/>
    <x v="4"/>
    <s v="ICICIBANK.NS"/>
    <n v="1432.099975585938"/>
    <n v="1438.300048828125"/>
    <n v="1421.400024414062"/>
    <n v="1423.199951171875"/>
    <n v="6693889"/>
    <n v="-0.75"/>
    <n v="15.1"/>
    <x v="12"/>
    <s v="Q3-2026"/>
  </r>
  <r>
    <d v="2026-09-04T00:00:00"/>
    <x v="5"/>
    <s v="WIPRO.NS"/>
    <n v="176.74000549316409"/>
    <n v="178.75"/>
    <n v="176.3999938964844"/>
    <n v="176.3999938964844"/>
    <n v="6882678"/>
    <n v="-0.19"/>
    <n v="2.35"/>
    <x v="12"/>
    <s v="Q3-2026"/>
  </r>
  <r>
    <d v="2026-09-04T00:00:00"/>
    <x v="6"/>
    <s v="HCLTECH.NS"/>
    <n v="1324.900024414062"/>
    <n v="1331.400024414062"/>
    <n v="1291.199951171875"/>
    <n v="1293.400024414062"/>
    <n v="2210569"/>
    <n v="-2.54"/>
    <n v="38"/>
    <x v="12"/>
    <s v="Q3-2026"/>
  </r>
  <r>
    <d v="2026-09-04T00:00:00"/>
    <x v="7"/>
    <s v="BAJFINANCE.NS"/>
    <n v="1050.599975585938"/>
    <n v="1063.599975585938"/>
    <n v="1049.699951171875"/>
    <n v="1060.5"/>
    <n v="5952048"/>
    <n v="-0.09"/>
    <n v="3.1"/>
    <x v="12"/>
    <s v="Q3-2026"/>
  </r>
  <r>
    <d v="2026-09-04T00:00:00"/>
    <x v="8"/>
    <s v="MARUTI.NS"/>
    <n v="12880"/>
    <n v="12880"/>
    <n v="12656"/>
    <n v="12694"/>
    <n v="322752"/>
    <n v="-1.74"/>
    <n v="186"/>
    <x v="12"/>
    <s v="Q3-2026"/>
  </r>
  <r>
    <d v="2026-09-04T00:00:00"/>
    <x v="9"/>
    <s v="TMPV.NS"/>
    <n v="312"/>
    <n v="315.5"/>
    <n v="310.64999389648438"/>
    <n v="311.5"/>
    <n v="4010174"/>
    <n v="-0.43"/>
    <n v="4"/>
    <x v="12"/>
    <s v="Q3-2026"/>
  </r>
  <r>
    <d v="2026-09-04T00:00:00"/>
    <x v="10"/>
    <s v="SUNPHARMA.NS"/>
    <n v="1912"/>
    <n v="1917.300048828125"/>
    <n v="1895"/>
    <n v="1899"/>
    <n v="761333"/>
    <n v="-0.89"/>
    <n v="18.3"/>
    <x v="12"/>
    <s v="Q3-2026"/>
  </r>
  <r>
    <d v="2026-09-04T00:00:00"/>
    <x v="11"/>
    <s v="ASIANPAINT.NS"/>
    <n v="2540"/>
    <n v="2553.89990234375"/>
    <n v="2519.800048828125"/>
    <n v="2527.300048828125"/>
    <n v="399368"/>
    <n v="-0.8"/>
    <n v="26.6"/>
    <x v="12"/>
    <s v="Q3-2026"/>
  </r>
  <r>
    <d v="2026-09-04T00:00:00"/>
    <x v="12"/>
    <s v="HINDUNILVR.NS"/>
    <n v="1967"/>
    <n v="1984.199951171875"/>
    <n v="1950.400024414062"/>
    <n v="1973.400024414062"/>
    <n v="2247162"/>
    <n v="-0.84"/>
    <n v="10.8"/>
    <x v="12"/>
    <s v="Q3-2026"/>
  </r>
  <r>
    <d v="2026-09-04T00:00:00"/>
    <x v="13"/>
    <s v="LT.NS"/>
    <n v="3981"/>
    <n v="3994.89990234375"/>
    <n v="3964.10009765625"/>
    <n v="3964.10009765625"/>
    <n v="1319056"/>
    <n v="-0.42"/>
    <n v="30.8"/>
    <x v="12"/>
    <s v="Q3-2026"/>
  </r>
  <r>
    <d v="2026-09-04T00:00:00"/>
    <x v="14"/>
    <s v="AXISBANK.NS"/>
    <n v="1270.300048828125"/>
    <n v="1280.699951171875"/>
    <n v="1262"/>
    <n v="1273"/>
    <n v="3810611"/>
    <n v="-0.65"/>
    <n v="7.7"/>
    <x v="12"/>
    <s v="Q3-2026"/>
  </r>
  <r>
    <d v="2026-09-07T00:00:00"/>
    <x v="0"/>
    <s v="RELIANCE.NS"/>
    <n v="1323.099975585938"/>
    <n v="1324.199951171875"/>
    <n v="1301.900024414062"/>
    <n v="1309.5"/>
    <n v="10210522"/>
    <n v="-1.6"/>
    <n v="14.7"/>
    <x v="12"/>
    <s v="Q3-2026"/>
  </r>
  <r>
    <d v="2026-09-07T00:00:00"/>
    <x v="1"/>
    <s v="TCS.NS"/>
    <n v="2290.10009765625"/>
    <n v="2299.89990234375"/>
    <n v="2260.10009765625"/>
    <n v="2270"/>
    <n v="2297551"/>
    <n v="-1.31"/>
    <n v="29.9"/>
    <x v="12"/>
    <s v="Q3-2026"/>
  </r>
  <r>
    <d v="2026-09-07T00:00:00"/>
    <x v="2"/>
    <s v="INFY.NS"/>
    <n v="1109.5"/>
    <n v="1109.900024414062"/>
    <n v="1085"/>
    <n v="1087.5"/>
    <n v="7668346"/>
    <n v="-2.21"/>
    <n v="22.4"/>
    <x v="12"/>
    <s v="Q3-2026"/>
  </r>
  <r>
    <d v="2026-09-07T00:00:00"/>
    <x v="3"/>
    <s v="HDFCBANK.NS"/>
    <n v="712.0999755859375"/>
    <n v="713"/>
    <n v="707.04998779296875"/>
    <n v="710.5"/>
    <n v="12180390"/>
    <n v="-0.71"/>
    <n v="2.5"/>
    <x v="12"/>
    <s v="Q3-2026"/>
  </r>
  <r>
    <d v="2026-09-07T00:00:00"/>
    <x v="4"/>
    <s v="ICICIBANK.NS"/>
    <n v="1428"/>
    <n v="1434.400024414062"/>
    <n v="1422.599975585938"/>
    <n v="1427.5"/>
    <n v="8035111"/>
    <n v="-0.38"/>
    <n v="6.9"/>
    <x v="12"/>
    <s v="Q3-2026"/>
  </r>
  <r>
    <d v="2026-09-07T00:00:00"/>
    <x v="5"/>
    <s v="WIPRO.NS"/>
    <n v="175.88999938964841"/>
    <n v="176.4700012207031"/>
    <n v="172.6499938964844"/>
    <n v="172.80000305175781"/>
    <n v="10720636"/>
    <n v="-1.84"/>
    <n v="3.67"/>
    <x v="12"/>
    <s v="Q3-2026"/>
  </r>
  <r>
    <d v="2026-09-07T00:00:00"/>
    <x v="6"/>
    <s v="HCLTECH.NS"/>
    <n v="1271.699951171875"/>
    <n v="1286.800048828125"/>
    <n v="1263"/>
    <n v="1282.800048828125"/>
    <n v="2008363"/>
    <n v="-0.68"/>
    <n v="4"/>
    <x v="12"/>
    <s v="Q3-2026"/>
  </r>
  <r>
    <d v="2026-09-07T00:00:00"/>
    <x v="7"/>
    <s v="BAJFINANCE.NS"/>
    <n v="1064"/>
    <n v="1070"/>
    <n v="1054.300048828125"/>
    <n v="1060"/>
    <n v="3586860"/>
    <n v="-0.91"/>
    <n v="10"/>
    <x v="12"/>
    <s v="Q3-2026"/>
  </r>
  <r>
    <d v="2026-09-07T00:00:00"/>
    <x v="8"/>
    <s v="MARUTI.NS"/>
    <n v="12691"/>
    <n v="12833"/>
    <n v="12618"/>
    <n v="12760"/>
    <n v="413778"/>
    <n v="-0.57999999999999996"/>
    <n v="73"/>
    <x v="12"/>
    <s v="Q3-2026"/>
  </r>
  <r>
    <d v="2026-09-07T00:00:00"/>
    <x v="9"/>
    <s v="TMPV.NS"/>
    <n v="311.5"/>
    <n v="312"/>
    <n v="307"/>
    <n v="307"/>
    <n v="6493351"/>
    <n v="-1.44"/>
    <n v="5"/>
    <x v="12"/>
    <s v="Q3-2026"/>
  </r>
  <r>
    <d v="2026-09-07T00:00:00"/>
    <x v="10"/>
    <s v="SUNPHARMA.NS"/>
    <n v="1899"/>
    <n v="1907.800048828125"/>
    <n v="1883.099975585938"/>
    <n v="1895"/>
    <n v="1579345"/>
    <n v="-0.84"/>
    <n v="12.8"/>
    <x v="12"/>
    <s v="Q3-2026"/>
  </r>
  <r>
    <d v="2026-09-07T00:00:00"/>
    <x v="11"/>
    <s v="ASIANPAINT.NS"/>
    <n v="2511.10009765625"/>
    <n v="2523.5"/>
    <n v="2489.699951171875"/>
    <n v="2500.89990234375"/>
    <n v="240336"/>
    <n v="-0.85"/>
    <n v="22.6"/>
    <x v="12"/>
    <s v="Q3-2026"/>
  </r>
  <r>
    <d v="2026-09-07T00:00:00"/>
    <x v="13"/>
    <s v="LT.NS"/>
    <n v="3962"/>
    <n v="4004.89990234375"/>
    <n v="3960.89990234375"/>
    <n v="3999"/>
    <n v="1256683"/>
    <n v="-0.03"/>
    <n v="5.9"/>
    <x v="12"/>
    <s v="Q3-2026"/>
  </r>
  <r>
    <d v="2026-09-08T00:00:00"/>
    <x v="0"/>
    <s v="RELIANCE.NS"/>
    <n v="1304.099975585938"/>
    <n v="1306.800048828125"/>
    <n v="1288"/>
    <n v="1294.900024414062"/>
    <n v="9799528"/>
    <n v="-1.23"/>
    <n v="11.9"/>
    <x v="12"/>
    <s v="Q3-2026"/>
  </r>
  <r>
    <d v="2026-09-08T00:00:00"/>
    <x v="1"/>
    <s v="TCS.NS"/>
    <n v="2270"/>
    <n v="2274.5"/>
    <n v="2244"/>
    <n v="2255.5"/>
    <n v="2148114"/>
    <n v="-1.1499999999999999"/>
    <n v="19"/>
    <x v="12"/>
    <s v="Q3-2026"/>
  </r>
  <r>
    <d v="2026-09-08T00:00:00"/>
    <x v="2"/>
    <s v="INFY.NS"/>
    <n v="1095"/>
    <n v="1095"/>
    <n v="1078.900024414062"/>
    <n v="1082"/>
    <n v="6269037"/>
    <n v="-1.47"/>
    <n v="13"/>
    <x v="12"/>
    <s v="Q3-2026"/>
  </r>
  <r>
    <d v="2026-09-08T00:00:00"/>
    <x v="3"/>
    <s v="HDFCBANK.NS"/>
    <n v="707.0999755859375"/>
    <n v="708.9000244140625"/>
    <n v="703"/>
    <n v="703"/>
    <n v="19883515"/>
    <n v="-0.57999999999999996"/>
    <n v="5.9"/>
    <x v="12"/>
    <s v="Q3-2026"/>
  </r>
  <r>
    <d v="2026-09-08T00:00:00"/>
    <x v="4"/>
    <s v="ICICIBANK.NS"/>
    <n v="1424"/>
    <n v="1424.900024414062"/>
    <n v="1396.300048828125"/>
    <n v="1399.400024414062"/>
    <n v="12123411"/>
    <n v="-1.95"/>
    <n v="25.5"/>
    <x v="12"/>
    <s v="Q3-2026"/>
  </r>
  <r>
    <d v="2026-09-08T00:00:00"/>
    <x v="5"/>
    <s v="WIPRO.NS"/>
    <n v="172.80000305175781"/>
    <n v="172.8999938964844"/>
    <n v="171.1300048828125"/>
    <n v="171.5"/>
    <n v="6948945"/>
    <n v="-0.97"/>
    <n v="1.4"/>
    <x v="12"/>
    <s v="Q3-2026"/>
  </r>
  <r>
    <d v="2026-09-08T00:00:00"/>
    <x v="6"/>
    <s v="HCLTECH.NS"/>
    <n v="1281.400024414062"/>
    <n v="1290"/>
    <n v="1268.199951171875"/>
    <n v="1277"/>
    <n v="2241262"/>
    <n v="-1.03"/>
    <n v="13"/>
    <x v="12"/>
    <s v="Q3-2026"/>
  </r>
  <r>
    <d v="2026-09-08T00:00:00"/>
    <x v="7"/>
    <s v="BAJFINANCE.NS"/>
    <n v="1058.800048828125"/>
    <n v="1059.599975585938"/>
    <n v="1050"/>
    <n v="1054.099975585938"/>
    <n v="3608327"/>
    <n v="-0.83"/>
    <n v="5.5"/>
    <x v="12"/>
    <s v="Q3-2026"/>
  </r>
  <r>
    <d v="2026-09-08T00:00:00"/>
    <x v="8"/>
    <s v="MARUTI.NS"/>
    <n v="12758"/>
    <n v="12758"/>
    <n v="12582"/>
    <n v="12641"/>
    <n v="356860"/>
    <n v="-1.38"/>
    <n v="117"/>
    <x v="12"/>
    <s v="Q3-2026"/>
  </r>
  <r>
    <d v="2026-09-08T00:00:00"/>
    <x v="9"/>
    <s v="TMPV.NS"/>
    <n v="306.10000610351563"/>
    <n v="306.64999389648438"/>
    <n v="302.45001220703119"/>
    <n v="306.45001220703119"/>
    <n v="6921996"/>
    <n v="-1.19"/>
    <n v="0.2"/>
    <x v="12"/>
    <s v="Q3-2026"/>
  </r>
  <r>
    <d v="2026-09-08T00:00:00"/>
    <x v="10"/>
    <s v="SUNPHARMA.NS"/>
    <n v="1892"/>
    <n v="1895.599975585938"/>
    <n v="1876.800048828125"/>
    <n v="1885.900024414062"/>
    <n v="1422627"/>
    <n v="-0.8"/>
    <n v="9.6999999999999993"/>
    <x v="12"/>
    <s v="Q3-2026"/>
  </r>
  <r>
    <d v="2026-09-08T00:00:00"/>
    <x v="11"/>
    <s v="ASIANPAINT.NS"/>
    <n v="2499"/>
    <n v="2499"/>
    <n v="2474.10009765625"/>
    <n v="2481.60009765625"/>
    <n v="373248"/>
    <n v="-1"/>
    <n v="17.399999999999999"/>
    <x v="12"/>
    <s v="Q3-2026"/>
  </r>
  <r>
    <d v="2026-09-08T00:00:00"/>
    <x v="12"/>
    <s v="HINDUNILVR.NS"/>
    <n v="1967"/>
    <n v="1990.800048828125"/>
    <n v="1956.699951171875"/>
    <n v="1980"/>
    <n v="1256067"/>
    <n v="-0.52"/>
    <n v="10.8"/>
    <x v="12"/>
    <s v="Q3-2026"/>
  </r>
  <r>
    <d v="2026-09-08T00:00:00"/>
    <x v="13"/>
    <s v="LT.NS"/>
    <n v="3988.699951171875"/>
    <n v="3988.699951171875"/>
    <n v="3946.10009765625"/>
    <n v="3946.10009765625"/>
    <n v="1200872"/>
    <n v="-1.07"/>
    <n v="42.6"/>
    <x v="12"/>
    <s v="Q3-2026"/>
  </r>
  <r>
    <d v="2026-09-08T00:00:00"/>
    <x v="14"/>
    <s v="AXISBANK.NS"/>
    <n v="1262.800048828125"/>
    <n v="1264.900024414062"/>
    <n v="1239.5"/>
    <n v="1244.900024414062"/>
    <n v="3623260"/>
    <n v="-1.85"/>
    <n v="20"/>
    <x v="12"/>
    <s v="Q3-2026"/>
  </r>
  <r>
    <d v="2026-09-09T00:00:00"/>
    <x v="0"/>
    <s v="RELIANCE.NS"/>
    <n v="1283.5"/>
    <n v="1294.699951171875"/>
    <n v="1277.199951171875"/>
    <n v="1279"/>
    <n v="12152819"/>
    <n v="-0.49"/>
    <n v="15.7"/>
    <x v="12"/>
    <s v="Q3-2026"/>
  </r>
  <r>
    <d v="2026-09-09T00:00:00"/>
    <x v="1"/>
    <s v="TCS.NS"/>
    <n v="2237"/>
    <n v="2237"/>
    <n v="2193.199951171875"/>
    <n v="2208"/>
    <n v="3370071"/>
    <n v="-1.96"/>
    <n v="29"/>
    <x v="12"/>
    <s v="Q3-2026"/>
  </r>
  <r>
    <d v="2026-09-09T00:00:00"/>
    <x v="2"/>
    <s v="INFY.NS"/>
    <n v="1059"/>
    <n v="1059"/>
    <n v="1026.5"/>
    <n v="1035"/>
    <n v="13530457"/>
    <n v="-3.07"/>
    <n v="24"/>
    <x v="12"/>
    <s v="Q3-2026"/>
  </r>
  <r>
    <d v="2026-09-09T00:00:00"/>
    <x v="3"/>
    <s v="HDFCBANK.NS"/>
    <n v="698"/>
    <n v="700"/>
    <n v="687.0999755859375"/>
    <n v="687.0999755859375"/>
    <n v="39173990"/>
    <n v="-1.56"/>
    <n v="12.9"/>
    <x v="12"/>
    <s v="Q3-2026"/>
  </r>
  <r>
    <d v="2026-09-09T00:00:00"/>
    <x v="4"/>
    <s v="ICICIBANK.NS"/>
    <n v="1395.900024414062"/>
    <n v="1402.5"/>
    <n v="1385.5"/>
    <n v="1389.099975585938"/>
    <n v="14229080"/>
    <n v="-0.75"/>
    <n v="13.4"/>
    <x v="12"/>
    <s v="Q3-2026"/>
  </r>
  <r>
    <d v="2026-09-09T00:00:00"/>
    <x v="5"/>
    <s v="WIPRO.NS"/>
    <n v="168.69999694824219"/>
    <n v="169.1499938964844"/>
    <n v="166.3699951171875"/>
    <n v="167"/>
    <n v="12001620"/>
    <n v="-1.38"/>
    <n v="2.15"/>
    <x v="12"/>
    <s v="Q3-2026"/>
  </r>
  <r>
    <d v="2026-09-09T00:00:00"/>
    <x v="6"/>
    <s v="HCLTECH.NS"/>
    <n v="1248.800048828125"/>
    <n v="1264.800048828125"/>
    <n v="1222.699951171875"/>
    <n v="1229.800048828125"/>
    <n v="2099173"/>
    <n v="-2.09"/>
    <n v="35"/>
    <x v="12"/>
    <s v="Q3-2026"/>
  </r>
  <r>
    <d v="2026-09-09T00:00:00"/>
    <x v="7"/>
    <s v="BAJFINANCE.NS"/>
    <n v="1045.099975585938"/>
    <n v="1060.099975585938"/>
    <n v="1038.5"/>
    <n v="1039.300048828125"/>
    <n v="9244698"/>
    <n v="-0.63"/>
    <n v="20.8"/>
    <x v="12"/>
    <s v="Q3-2026"/>
  </r>
  <r>
    <d v="2026-09-09T00:00:00"/>
    <x v="8"/>
    <s v="MARUTI.NS"/>
    <n v="12609"/>
    <n v="12692"/>
    <n v="12537"/>
    <n v="12618"/>
    <n v="534832"/>
    <n v="-0.56999999999999995"/>
    <n v="74"/>
    <x v="12"/>
    <s v="Q3-2026"/>
  </r>
  <r>
    <d v="2026-09-09T00:00:00"/>
    <x v="9"/>
    <s v="TMPV.NS"/>
    <n v="306.45001220703119"/>
    <n v="306.45001220703119"/>
    <n v="300.79998779296881"/>
    <n v="303"/>
    <n v="6971556"/>
    <n v="-1.84"/>
    <n v="3.45"/>
    <x v="12"/>
    <s v="Q3-2026"/>
  </r>
  <r>
    <d v="2026-09-09T00:00:00"/>
    <x v="10"/>
    <s v="SUNPHARMA.NS"/>
    <n v="1892.599975585938"/>
    <n v="1898.599975585938"/>
    <n v="1864.900024414062"/>
    <n v="1864.900024414062"/>
    <n v="1396896"/>
    <n v="-1.46"/>
    <n v="33.700000000000003"/>
    <x v="12"/>
    <s v="Q3-2026"/>
  </r>
  <r>
    <d v="2026-09-09T00:00:00"/>
    <x v="11"/>
    <s v="ASIANPAINT.NS"/>
    <n v="2459.10009765625"/>
    <n v="2489"/>
    <n v="2457.39990234375"/>
    <n v="2489"/>
    <n v="432840"/>
    <n v="-7.0000000000000007E-2"/>
    <n v="0"/>
    <x v="12"/>
    <s v="Q3-2026"/>
  </r>
  <r>
    <d v="2026-09-09T00:00:00"/>
    <x v="12"/>
    <s v="HINDUNILVR.NS"/>
    <n v="1973"/>
    <n v="1979.599975585938"/>
    <n v="1936"/>
    <n v="1945"/>
    <n v="1455307"/>
    <n v="-1.88"/>
    <n v="34.6"/>
    <x v="12"/>
    <s v="Q3-2026"/>
  </r>
  <r>
    <d v="2026-09-09T00:00:00"/>
    <x v="13"/>
    <s v="LT.NS"/>
    <n v="3935.300048828125"/>
    <n v="4020.199951171875"/>
    <n v="3922.60009765625"/>
    <n v="3922.60009765625"/>
    <n v="2954721"/>
    <n v="-0.32"/>
    <n v="97.6"/>
    <x v="12"/>
    <s v="Q3-2026"/>
  </r>
  <r>
    <d v="2026-09-09T00:00:00"/>
    <x v="14"/>
    <s v="AXISBANK.NS"/>
    <n v="1236"/>
    <n v="1257.400024414062"/>
    <n v="1234.699951171875"/>
    <n v="1238.5"/>
    <n v="6679663"/>
    <n v="-0.11"/>
    <n v="18.899999999999999"/>
    <x v="12"/>
    <s v="Q3-2026"/>
  </r>
  <r>
    <d v="2026-09-10T00:00:00"/>
    <x v="0"/>
    <s v="RELIANCE.NS"/>
    <n v="1278.5"/>
    <n v="1285.300048828125"/>
    <n v="1266.300048828125"/>
    <n v="1274"/>
    <n v="9296079"/>
    <n v="-0.95"/>
    <n v="11.3"/>
    <x v="12"/>
    <s v="Q3-2026"/>
  </r>
  <r>
    <d v="2026-09-10T00:00:00"/>
    <x v="1"/>
    <s v="TCS.NS"/>
    <n v="2199"/>
    <n v="2232"/>
    <n v="2190.60009765625"/>
    <n v="2204.10009765625"/>
    <n v="2490912"/>
    <n v="-0.38"/>
    <n v="27.9"/>
    <x v="12"/>
    <s v="Q3-2026"/>
  </r>
  <r>
    <d v="2026-09-10T00:00:00"/>
    <x v="2"/>
    <s v="INFY.NS"/>
    <n v="1039.599975585938"/>
    <n v="1046.599975585938"/>
    <n v="1027.300048828125"/>
    <n v="1036.5"/>
    <n v="8998529"/>
    <n v="-1.18"/>
    <n v="10.1"/>
    <x v="12"/>
    <s v="Q3-2026"/>
  </r>
  <r>
    <d v="2026-09-10T00:00:00"/>
    <x v="3"/>
    <s v="HDFCBANK.NS"/>
    <n v="687.0999755859375"/>
    <n v="694.5"/>
    <n v="686.20001220703125"/>
    <n v="693.79998779296875"/>
    <n v="27108053"/>
    <n v="-0.13"/>
    <n v="0.7"/>
    <x v="12"/>
    <s v="Q3-2026"/>
  </r>
  <r>
    <d v="2026-09-10T00:00:00"/>
    <x v="4"/>
    <s v="ICICIBANK.NS"/>
    <n v="1385.900024414062"/>
    <n v="1393"/>
    <n v="1373.900024414062"/>
    <n v="1384.5"/>
    <n v="10580641"/>
    <n v="-0.87"/>
    <n v="8.5"/>
    <x v="12"/>
    <s v="Q3-2026"/>
  </r>
  <r>
    <d v="2026-09-10T00:00:00"/>
    <x v="5"/>
    <s v="WIPRO.NS"/>
    <n v="167.8999938964844"/>
    <n v="169.19000244140619"/>
    <n v="166"/>
    <n v="166.30000305175781"/>
    <n v="9586645"/>
    <n v="-1.1299999999999999"/>
    <n v="2.89"/>
    <x v="12"/>
    <s v="Q3-2026"/>
  </r>
  <r>
    <d v="2026-09-10T00:00:00"/>
    <x v="6"/>
    <s v="HCLTECH.NS"/>
    <n v="1224.800048828125"/>
    <n v="1237"/>
    <n v="1196.900024414062"/>
    <n v="1207"/>
    <n v="2197859"/>
    <n v="-2.2799999999999998"/>
    <n v="30"/>
    <x v="12"/>
    <s v="Q3-2026"/>
  </r>
  <r>
    <d v="2026-09-10T00:00:00"/>
    <x v="7"/>
    <s v="BAJFINANCE.NS"/>
    <n v="1042.5"/>
    <n v="1048.699951171875"/>
    <n v="1036.5"/>
    <n v="1043.5"/>
    <n v="3902988"/>
    <n v="-0.57999999999999996"/>
    <n v="5.2"/>
    <x v="12"/>
    <s v="Q3-2026"/>
  </r>
  <r>
    <d v="2026-09-10T00:00:00"/>
    <x v="8"/>
    <s v="MARUTI.NS"/>
    <n v="12679"/>
    <n v="12693"/>
    <n v="12517"/>
    <n v="12590"/>
    <n v="338613"/>
    <n v="-1.28"/>
    <n v="103"/>
    <x v="12"/>
    <s v="Q3-2026"/>
  </r>
  <r>
    <d v="2026-09-10T00:00:00"/>
    <x v="9"/>
    <s v="TMPV.NS"/>
    <n v="303"/>
    <n v="304"/>
    <n v="300.04998779296881"/>
    <n v="300.5"/>
    <n v="7512877"/>
    <n v="-0.97"/>
    <n v="3.5"/>
    <x v="12"/>
    <s v="Q3-2026"/>
  </r>
  <r>
    <d v="2026-09-10T00:00:00"/>
    <x v="10"/>
    <s v="SUNPHARMA.NS"/>
    <n v="1865.900024414062"/>
    <n v="1875.300048828125"/>
    <n v="1840.5"/>
    <n v="1861"/>
    <n v="1178648"/>
    <n v="-1.36"/>
    <n v="14.3"/>
    <x v="12"/>
    <s v="Q3-2026"/>
  </r>
  <r>
    <d v="2026-09-10T00:00:00"/>
    <x v="11"/>
    <s v="ASIANPAINT.NS"/>
    <n v="2485.10009765625"/>
    <n v="2498.10009765625"/>
    <n v="2468.60009765625"/>
    <n v="2498.10009765625"/>
    <n v="549332"/>
    <n v="-0.66"/>
    <n v="0"/>
    <x v="12"/>
    <s v="Q3-2026"/>
  </r>
  <r>
    <d v="2026-09-10T00:00:00"/>
    <x v="12"/>
    <s v="HINDUNILVR.NS"/>
    <n v="1940"/>
    <n v="1950"/>
    <n v="1936"/>
    <n v="1942.300048828125"/>
    <n v="1232506"/>
    <n v="-0.21"/>
    <n v="7.7"/>
    <x v="12"/>
    <s v="Q3-2026"/>
  </r>
  <r>
    <d v="2026-09-10T00:00:00"/>
    <x v="13"/>
    <s v="LT.NS"/>
    <n v="3949.39990234375"/>
    <n v="3965.5"/>
    <n v="3910"/>
    <n v="3955"/>
    <n v="1376951"/>
    <n v="-1"/>
    <n v="10.5"/>
    <x v="12"/>
    <s v="Q3-2026"/>
  </r>
  <r>
    <d v="2026-09-10T00:00:00"/>
    <x v="14"/>
    <s v="AXISBANK.NS"/>
    <n v="1242.099975585938"/>
    <n v="1255.199951171875"/>
    <n v="1240.400024414062"/>
    <n v="1246"/>
    <n v="4150654"/>
    <n v="-0.14000000000000001"/>
    <n v="9.1999999999999993"/>
    <x v="12"/>
    <s v="Q3-2026"/>
  </r>
  <r>
    <d v="2026-09-11T00:00:00"/>
    <x v="0"/>
    <s v="RELIANCE.NS"/>
    <n v="1267"/>
    <n v="1267.400024414062"/>
    <n v="1253"/>
    <n v="1257.5"/>
    <n v="8777736"/>
    <n v="-1.1000000000000001"/>
    <n v="9.9"/>
    <x v="12"/>
    <s v="Q3-2026"/>
  </r>
  <r>
    <d v="2026-09-11T00:00:00"/>
    <x v="1"/>
    <s v="TCS.NS"/>
    <n v="2185.5"/>
    <n v="2232.60009765625"/>
    <n v="2185.5"/>
    <n v="2200.800048828125"/>
    <n v="2634124"/>
    <n v="0"/>
    <n v="31.8"/>
    <x v="12"/>
    <s v="Q3-2026"/>
  </r>
  <r>
    <d v="2026-09-11T00:00:00"/>
    <x v="2"/>
    <s v="INFY.NS"/>
    <n v="1032"/>
    <n v="1047.300048828125"/>
    <n v="1029.699951171875"/>
    <n v="1037.699951171875"/>
    <n v="6168088"/>
    <n v="-0.22"/>
    <n v="9.6"/>
    <x v="12"/>
    <s v="Q3-2026"/>
  </r>
  <r>
    <d v="2026-09-11T00:00:00"/>
    <x v="3"/>
    <s v="HDFCBANK.NS"/>
    <n v="683.9000244140625"/>
    <n v="709"/>
    <n v="681.9000244140625"/>
    <n v="708.25"/>
    <n v="31411934"/>
    <n v="-0.28999999999999998"/>
    <n v="0.75"/>
    <x v="12"/>
    <s v="Q3-2026"/>
  </r>
  <r>
    <d v="2026-09-11T00:00:00"/>
    <x v="4"/>
    <s v="ICICIBANK.NS"/>
    <n v="1371.599975585938"/>
    <n v="1389"/>
    <n v="1367.599975585938"/>
    <n v="1379.300048828125"/>
    <n v="7064417"/>
    <n v="-0.28999999999999998"/>
    <n v="9.6999999999999993"/>
    <x v="12"/>
    <s v="Q3-2026"/>
  </r>
  <r>
    <d v="2026-09-11T00:00:00"/>
    <x v="5"/>
    <s v="WIPRO.NS"/>
    <n v="165.19999694824219"/>
    <n v="167.75"/>
    <n v="165.1600036621094"/>
    <n v="167.3999938964844"/>
    <n v="8484897"/>
    <n v="-0.02"/>
    <n v="0.35"/>
    <x v="12"/>
    <s v="Q3-2026"/>
  </r>
  <r>
    <d v="2026-09-11T00:00:00"/>
    <x v="6"/>
    <s v="HCLTECH.NS"/>
    <n v="1196"/>
    <n v="1223.400024414062"/>
    <n v="1195.699951171875"/>
    <n v="1206.099975585938"/>
    <n v="2272845"/>
    <n v="-0.03"/>
    <n v="17.3"/>
    <x v="12"/>
    <s v="Q3-2026"/>
  </r>
  <r>
    <d v="2026-09-11T00:00:00"/>
    <x v="7"/>
    <s v="BAJFINANCE.NS"/>
    <n v="1031"/>
    <n v="1035"/>
    <n v="1015.099975585938"/>
    <n v="1034.5"/>
    <n v="5411299"/>
    <n v="-1.54"/>
    <n v="0.5"/>
    <x v="12"/>
    <s v="Q3-2026"/>
  </r>
  <r>
    <d v="2026-09-11T00:00:00"/>
    <x v="8"/>
    <s v="MARUTI.NS"/>
    <n v="12520"/>
    <n v="12541"/>
    <n v="12381"/>
    <n v="12400"/>
    <n v="514868"/>
    <n v="-1.1100000000000001"/>
    <n v="141"/>
    <x v="12"/>
    <s v="Q3-2026"/>
  </r>
  <r>
    <d v="2026-09-11T00:00:00"/>
    <x v="9"/>
    <s v="TMPV.NS"/>
    <n v="299.75"/>
    <n v="304.39999389648438"/>
    <n v="296.5"/>
    <n v="301.10000610351563"/>
    <n v="7683193"/>
    <n v="-1.08"/>
    <n v="3.3"/>
    <x v="12"/>
    <s v="Q3-2026"/>
  </r>
  <r>
    <d v="2026-09-11T00:00:00"/>
    <x v="10"/>
    <s v="SUNPHARMA.NS"/>
    <n v="1845"/>
    <n v="1854.5"/>
    <n v="1834"/>
    <n v="1840"/>
    <n v="1445071"/>
    <n v="-0.6"/>
    <n v="14.5"/>
    <x v="12"/>
    <s v="Q3-2026"/>
  </r>
  <r>
    <d v="2026-09-11T00:00:00"/>
    <x v="11"/>
    <s v="ASIANPAINT.NS"/>
    <n v="2453.199951171875"/>
    <n v="2472.5"/>
    <n v="2442.800048828125"/>
    <n v="2472.5"/>
    <n v="653006"/>
    <n v="-0.42"/>
    <n v="0"/>
    <x v="12"/>
    <s v="Q3-2026"/>
  </r>
  <r>
    <d v="2026-09-11T00:00:00"/>
    <x v="12"/>
    <s v="HINDUNILVR.NS"/>
    <n v="1930.5"/>
    <n v="1946.599975585938"/>
    <n v="1926.199951171875"/>
    <n v="1927"/>
    <n v="1100313"/>
    <n v="-0.22"/>
    <n v="19.600000000000001"/>
    <x v="12"/>
    <s v="Q3-2026"/>
  </r>
  <r>
    <d v="2026-09-11T00:00:00"/>
    <x v="13"/>
    <s v="LT.NS"/>
    <n v="3926"/>
    <n v="3948"/>
    <n v="3880.699951171875"/>
    <n v="3930.699951171875"/>
    <n v="1195489"/>
    <n v="-1.1499999999999999"/>
    <n v="17.3"/>
    <x v="12"/>
    <s v="Q3-2026"/>
  </r>
  <r>
    <d v="2026-09-11T00:00:00"/>
    <x v="14"/>
    <s v="AXISBANK.NS"/>
    <n v="1237.900024414062"/>
    <n v="1252.800048828125"/>
    <n v="1229.800048828125"/>
    <n v="1246"/>
    <n v="4562285"/>
    <n v="-0.65"/>
    <n v="6.8"/>
    <x v="12"/>
    <s v="Q3-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25DD7-8BEE-410C-A678-A2D13A37349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Q41" firstHeaderRow="1" firstDataRow="2" firstDataCol="1"/>
  <pivotFields count="15">
    <pivotField numFmtId="165" showAll="0"/>
    <pivotField axis="axisCol" showAll="0">
      <items count="16">
        <item x="11"/>
        <item x="14"/>
        <item x="7"/>
        <item x="6"/>
        <item x="3"/>
        <item x="12"/>
        <item x="4"/>
        <item x="2"/>
        <item x="13"/>
        <item x="8"/>
        <item x="0"/>
        <item x="10"/>
        <item x="9"/>
        <item x="1"/>
        <item x="5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  <pivotField numFmtId="3" showAll="0"/>
    <pivotField numFmtId="9" showAll="0"/>
    <pivotField numFmtId="2" showAll="0"/>
    <pivotField axis="axisRow" numFmtId="166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Average of Close" fld="6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4ACD9-BC4D-4825-AE43-1082BEDDCFF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2" firstHeaderRow="1" firstDataRow="1" firstDataCol="1"/>
  <pivotFields count="15">
    <pivotField numFmtId="165" showAll="0"/>
    <pivotField axis="axisRow" showAll="0" sortType="descending">
      <items count="16">
        <item x="11"/>
        <item x="14"/>
        <item x="7"/>
        <item x="6"/>
        <item x="3"/>
        <item x="12"/>
        <item x="4"/>
        <item x="2"/>
        <item x="13"/>
        <item x="8"/>
        <item x="0"/>
        <item x="10"/>
        <item x="9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numFmtId="2" showAll="0"/>
    <pivotField dataField="1" numFmtId="2" showAll="0"/>
    <pivotField numFmtId="3" showAll="0"/>
    <pivotField numFmtId="9" showAll="0"/>
    <pivotField numFmtId="2" showAll="0"/>
    <pivotField numFmtId="166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6">
    <i>
      <x v="9"/>
    </i>
    <i>
      <x v="8"/>
    </i>
    <i>
      <x v="13"/>
    </i>
    <i>
      <x/>
    </i>
    <i>
      <x v="5"/>
    </i>
    <i>
      <x v="11"/>
    </i>
    <i>
      <x v="10"/>
    </i>
    <i>
      <x v="3"/>
    </i>
    <i>
      <x v="6"/>
    </i>
    <i>
      <x v="7"/>
    </i>
    <i>
      <x v="1"/>
    </i>
    <i>
      <x v="2"/>
    </i>
    <i>
      <x v="4"/>
    </i>
    <i>
      <x v="12"/>
    </i>
    <i>
      <x v="14"/>
    </i>
    <i t="grand">
      <x/>
    </i>
  </rowItems>
  <colItems count="1">
    <i/>
  </colItems>
  <dataFields count="1">
    <dataField name="Average of Close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0C23F-FAEE-4AED-B837-DF5589F5A17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6:I22" firstHeaderRow="1" firstDataRow="1" firstDataCol="1"/>
  <pivotFields count="15">
    <pivotField numFmtId="165" showAll="0"/>
    <pivotField axis="axisRow" showAll="0" sortType="descending">
      <items count="16">
        <item x="11"/>
        <item x="14"/>
        <item x="7"/>
        <item x="6"/>
        <item x="3"/>
        <item x="12"/>
        <item x="4"/>
        <item x="2"/>
        <item x="13"/>
        <item x="8"/>
        <item x="0"/>
        <item x="10"/>
        <item x="9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numFmtId="2" showAll="0"/>
    <pivotField numFmtId="2" showAll="0"/>
    <pivotField dataField="1" numFmtId="3" showAll="0"/>
    <pivotField numFmtId="9" showAll="0"/>
    <pivotField numFmtId="2" showAll="0"/>
    <pivotField numFmtId="166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6">
    <i>
      <x v="4"/>
    </i>
    <i>
      <x v="14"/>
    </i>
    <i>
      <x v="6"/>
    </i>
    <i>
      <x v="10"/>
    </i>
    <i>
      <x v="12"/>
    </i>
    <i>
      <x v="7"/>
    </i>
    <i>
      <x v="2"/>
    </i>
    <i>
      <x v="1"/>
    </i>
    <i>
      <x v="13"/>
    </i>
    <i>
      <x v="3"/>
    </i>
    <i>
      <x v="11"/>
    </i>
    <i>
      <x v="8"/>
    </i>
    <i>
      <x v="5"/>
    </i>
    <i>
      <x/>
    </i>
    <i>
      <x v="9"/>
    </i>
    <i t="grand">
      <x/>
    </i>
  </rowItems>
  <colItems count="1">
    <i/>
  </colItems>
  <dataFields count="1">
    <dataField name="Average of Volume" fld="7" subtotal="average" baseField="0" baseItem="0" numFmtId="3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BA1D4-B5BE-4335-91B8-749362BA3AD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22" firstHeaderRow="1" firstDataRow="1" firstDataCol="1"/>
  <pivotFields count="15">
    <pivotField numFmtId="165" showAll="0"/>
    <pivotField axis="axisRow" showAll="0" sortType="descending">
      <items count="16">
        <item x="11"/>
        <item x="14"/>
        <item x="7"/>
        <item x="6"/>
        <item x="3"/>
        <item x="12"/>
        <item x="4"/>
        <item x="2"/>
        <item x="13"/>
        <item x="8"/>
        <item x="0"/>
        <item x="10"/>
        <item x="9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numFmtId="2" showAll="0"/>
    <pivotField numFmtId="2" showAll="0"/>
    <pivotField numFmtId="3" showAll="0"/>
    <pivotField numFmtId="9" showAll="0"/>
    <pivotField dataField="1" numFmtId="2" showAll="0"/>
    <pivotField numFmtId="166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6">
    <i>
      <x v="9"/>
    </i>
    <i>
      <x v="8"/>
    </i>
    <i>
      <x v="13"/>
    </i>
    <i>
      <x/>
    </i>
    <i>
      <x v="5"/>
    </i>
    <i>
      <x v="3"/>
    </i>
    <i>
      <x v="11"/>
    </i>
    <i>
      <x v="7"/>
    </i>
    <i>
      <x v="10"/>
    </i>
    <i>
      <x v="1"/>
    </i>
    <i>
      <x v="2"/>
    </i>
    <i>
      <x v="6"/>
    </i>
    <i>
      <x v="4"/>
    </i>
    <i>
      <x v="12"/>
    </i>
    <i>
      <x v="14"/>
    </i>
    <i t="grand">
      <x/>
    </i>
  </rowItems>
  <colItems count="1">
    <i/>
  </colItems>
  <dataFields count="1">
    <dataField name="Average of Price Range" fld="9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7449A-F71B-4FE7-AF7F-D4BD128DF9DA}" name="StockData" displayName="StockData" ref="A1:L3689" totalsRowShown="0" headerRowDxfId="12">
  <autoFilter ref="A1:L3689" xr:uid="{FC37449A-F71B-4FE7-AF7F-D4BD128DF9DA}"/>
  <sortState xmlns:xlrd2="http://schemas.microsoft.com/office/spreadsheetml/2017/richdata2" ref="A2:L3689">
    <sortCondition ref="A1:A3689"/>
  </sortState>
  <tableColumns count="12">
    <tableColumn id="1" xr3:uid="{DF9B8370-5A3D-4F51-B1B1-88F0326B1D03}" name="Date" dataDxfId="11"/>
    <tableColumn id="2" xr3:uid="{6F5C89D2-93C3-48A3-8C16-E3C7382DE749}" name="Company"/>
    <tableColumn id="3" xr3:uid="{7C2D03A0-747D-46D1-AC93-8FDD43106A93}" name="Ticker"/>
    <tableColumn id="4" xr3:uid="{DDA7CF44-8C75-400A-B548-DAF152862B01}" name="Open" dataDxfId="10"/>
    <tableColumn id="5" xr3:uid="{43B08A30-57BA-406A-81D4-5546F5EE357D}" name="High" dataDxfId="9"/>
    <tableColumn id="6" xr3:uid="{1BFEB9C5-E293-43C2-BB47-255869898DBD}" name="Low" dataDxfId="8"/>
    <tableColumn id="7" xr3:uid="{F6CBF150-194E-457A-A974-A95D65715950}" name="Close" dataDxfId="7"/>
    <tableColumn id="8" xr3:uid="{BFD83D98-C2C3-464E-AFD1-F7E811FBB3DA}" name="Volume" dataDxfId="6"/>
    <tableColumn id="9" xr3:uid="{A186FFD0-2CA7-4E92-82C9-02BA186CD4BD}" name="Intraday Return (%)" dataDxfId="5" dataCellStyle="Percent">
      <calculatedColumnFormula>ROUND(((F2-D2)/D2)*100, 2)</calculatedColumnFormula>
    </tableColumn>
    <tableColumn id="10" xr3:uid="{E3B22995-F81E-4327-B0EF-4AF6FC8B2069}" name="Price Range" dataDxfId="4">
      <calculatedColumnFormula>ROUND(E2-G2, 2)</calculatedColumnFormula>
    </tableColumn>
    <tableColumn id="11" xr3:uid="{67CF87A6-8B89-4108-A718-BBAFE774ED27}" name="Month" dataDxfId="3">
      <calculatedColumnFormula>DATE(YEAR(A2),MONTH(A2),1)</calculatedColumnFormula>
    </tableColumn>
    <tableColumn id="12" xr3:uid="{A3D7E2E3-FC5F-42AA-B158-2DD5C92B589B}" name="Quarter">
      <calculatedColumnFormula>"Q"&amp;INT((MONTH(A2)-1)/3)+1&amp;"-"&amp;YEAR(A2)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8CA0AD-86A9-4C14-8E0D-54A51A0D1098}" name="Table3" displayName="Table3" ref="A1:F14" totalsRowShown="0">
  <autoFilter ref="A1:F14" xr:uid="{F88CA0AD-86A9-4C14-8E0D-54A51A0D1098}"/>
  <tableColumns count="6">
    <tableColumn id="1" xr3:uid="{0AE35ACF-0632-4E92-AD0D-1B517B7F1010}" name="Month" dataDxfId="2"/>
    <tableColumn id="2" xr3:uid="{906FAF34-AAF1-483E-BA29-E398FA01D4AA}" name="Sun Pharma"/>
    <tableColumn id="3" xr3:uid="{38E951D8-52DE-4C34-9153-FAA2E2C75E86}" name="Axis Bank"/>
    <tableColumn id="4" xr3:uid="{D65E743A-C147-43D8-9690-88B053A24D33}" name="Larsen &amp; Toubro"/>
    <tableColumn id="5" xr3:uid="{E6BE0749-468D-4EC4-83B7-3E6CE94A8C8C}" name="Wipro"/>
    <tableColumn id="6" xr3:uid="{1B1FC37B-3C08-4F55-97B3-2A76525DFBF1}" name="Tata Moto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89"/>
  <sheetViews>
    <sheetView zoomScale="130" zoomScaleNormal="130" workbookViewId="0">
      <pane ySplit="1" topLeftCell="A2" activePane="bottomLeft" state="frozen"/>
      <selection pane="bottomLeft" activeCell="C14" sqref="C14"/>
    </sheetView>
  </sheetViews>
  <sheetFormatPr defaultRowHeight="14.4"/>
  <cols>
    <col min="1" max="1" width="9.88671875" style="1" bestFit="1" customWidth="1"/>
    <col min="2" max="2" width="16.44140625" bestFit="1" customWidth="1"/>
    <col min="3" max="3" width="14.6640625" bestFit="1" customWidth="1"/>
    <col min="4" max="7" width="8.5546875" style="2" bestFit="1" customWidth="1"/>
    <col min="8" max="8" width="11.33203125" style="3" bestFit="1" customWidth="1"/>
    <col min="9" max="9" width="19.88671875" bestFit="1" customWidth="1"/>
    <col min="10" max="10" width="13" bestFit="1" customWidth="1"/>
    <col min="11" max="11" width="9.21875" bestFit="1" customWidth="1"/>
    <col min="12" max="12" width="9.6640625" bestFit="1" customWidth="1"/>
  </cols>
  <sheetData>
    <row r="1" spans="1:14">
      <c r="A1" s="5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67</v>
      </c>
      <c r="J1" s="2" t="s">
        <v>38</v>
      </c>
      <c r="K1" s="2" t="s">
        <v>39</v>
      </c>
      <c r="L1" s="2" t="s">
        <v>40</v>
      </c>
    </row>
    <row r="2" spans="1:14">
      <c r="A2" s="6">
        <v>45915</v>
      </c>
      <c r="B2" t="s">
        <v>8</v>
      </c>
      <c r="C2" t="s">
        <v>9</v>
      </c>
      <c r="D2" s="2">
        <v>1386.5889315301861</v>
      </c>
      <c r="E2" s="2">
        <v>1394.353081832033</v>
      </c>
      <c r="F2" s="2">
        <v>1382.2091575524389</v>
      </c>
      <c r="G2" s="2">
        <v>1392.859985351562</v>
      </c>
      <c r="H2" s="3">
        <v>5396697</v>
      </c>
      <c r="I2" s="4">
        <f t="shared" ref="I2:I65" si="0">ROUND(((F2-D2)/D2)*100, 2)</f>
        <v>-0.32</v>
      </c>
      <c r="J2" s="2">
        <f t="shared" ref="J2:J65" si="1">ROUND(E2-G2, 2)</f>
        <v>1.49</v>
      </c>
      <c r="K2" s="7">
        <f t="shared" ref="K2:K65" si="2">DATE(YEAR(A2),MONTH(A2),1)</f>
        <v>45901</v>
      </c>
      <c r="L2" t="str">
        <f t="shared" ref="L2:L65" si="3">"Q"&amp;INT((MONTH(A2)-1)/3)+1&amp;"-"&amp;YEAR(A2)</f>
        <v>Q3-2025</v>
      </c>
      <c r="N2">
        <f>COUNT(StockData[Date])</f>
        <v>3688</v>
      </c>
    </row>
    <row r="3" spans="1:14">
      <c r="A3" s="6">
        <v>45915</v>
      </c>
      <c r="B3" t="s">
        <v>10</v>
      </c>
      <c r="C3" t="s">
        <v>11</v>
      </c>
      <c r="D3" s="2">
        <v>3009.0844623500611</v>
      </c>
      <c r="E3" s="2">
        <v>3009.0844623500611</v>
      </c>
      <c r="F3" s="2">
        <v>2972.599073208612</v>
      </c>
      <c r="G3" s="2">
        <v>2987.865234375</v>
      </c>
      <c r="H3" s="3">
        <v>1732539</v>
      </c>
      <c r="I3" s="4">
        <f t="shared" si="0"/>
        <v>-1.21</v>
      </c>
      <c r="J3" s="2">
        <f t="shared" si="1"/>
        <v>21.22</v>
      </c>
      <c r="K3" s="7">
        <f t="shared" si="2"/>
        <v>45901</v>
      </c>
      <c r="L3" t="str">
        <f t="shared" si="3"/>
        <v>Q3-2025</v>
      </c>
    </row>
    <row r="4" spans="1:14">
      <c r="A4" s="6">
        <v>45915</v>
      </c>
      <c r="B4" t="s">
        <v>12</v>
      </c>
      <c r="C4" t="s">
        <v>13</v>
      </c>
      <c r="D4" s="2">
        <v>1470.7703889313759</v>
      </c>
      <c r="E4" s="2">
        <v>1472.6021270614031</v>
      </c>
      <c r="F4" s="2">
        <v>1447.2472937742571</v>
      </c>
      <c r="G4" s="2">
        <v>1454.188598632812</v>
      </c>
      <c r="H4" s="3">
        <v>6167414</v>
      </c>
      <c r="I4" s="4">
        <f t="shared" si="0"/>
        <v>-1.6</v>
      </c>
      <c r="J4" s="2">
        <f t="shared" si="1"/>
        <v>18.41</v>
      </c>
      <c r="K4" s="7">
        <f t="shared" si="2"/>
        <v>45901</v>
      </c>
      <c r="L4" t="str">
        <f t="shared" si="3"/>
        <v>Q3-2025</v>
      </c>
    </row>
    <row r="5" spans="1:14">
      <c r="A5" s="6">
        <v>45915</v>
      </c>
      <c r="B5" t="s">
        <v>14</v>
      </c>
      <c r="C5" t="s">
        <v>15</v>
      </c>
      <c r="D5" s="2">
        <v>953.82423343293306</v>
      </c>
      <c r="E5" s="2">
        <v>956.52948993869506</v>
      </c>
      <c r="F5" s="2">
        <v>949.29910111285892</v>
      </c>
      <c r="G5" s="2">
        <v>951.31573486328125</v>
      </c>
      <c r="H5" s="3">
        <v>14486377</v>
      </c>
      <c r="I5" s="4">
        <f t="shared" si="0"/>
        <v>-0.47</v>
      </c>
      <c r="J5" s="2">
        <f t="shared" si="1"/>
        <v>5.21</v>
      </c>
      <c r="K5" s="7">
        <f t="shared" si="2"/>
        <v>45901</v>
      </c>
      <c r="L5" t="str">
        <f t="shared" si="3"/>
        <v>Q3-2025</v>
      </c>
    </row>
    <row r="6" spans="1:14">
      <c r="A6" s="6">
        <v>45915</v>
      </c>
      <c r="B6" t="s">
        <v>16</v>
      </c>
      <c r="C6" t="s">
        <v>17</v>
      </c>
      <c r="D6" s="2">
        <v>1410.112053217633</v>
      </c>
      <c r="E6" s="2">
        <v>1414.8719735471491</v>
      </c>
      <c r="F6" s="2">
        <v>1404.459753744909</v>
      </c>
      <c r="G6" s="2">
        <v>1407.533813476562</v>
      </c>
      <c r="H6" s="3">
        <v>5845637</v>
      </c>
      <c r="I6" s="4">
        <f t="shared" si="0"/>
        <v>-0.4</v>
      </c>
      <c r="J6" s="2">
        <f t="shared" si="1"/>
        <v>7.34</v>
      </c>
      <c r="K6" s="7">
        <f t="shared" si="2"/>
        <v>45901</v>
      </c>
      <c r="L6" t="str">
        <f t="shared" si="3"/>
        <v>Q3-2025</v>
      </c>
    </row>
    <row r="7" spans="1:14">
      <c r="A7" s="6">
        <v>45915</v>
      </c>
      <c r="B7" t="s">
        <v>18</v>
      </c>
      <c r="C7" t="s">
        <v>19</v>
      </c>
      <c r="D7" s="2">
        <v>242.40189244691149</v>
      </c>
      <c r="E7" s="2">
        <v>242.68139511631699</v>
      </c>
      <c r="F7" s="2">
        <v>240.57063154772499</v>
      </c>
      <c r="G7" s="2">
        <v>242.1898498535156</v>
      </c>
      <c r="H7" s="3">
        <v>3700703</v>
      </c>
      <c r="I7" s="4">
        <f t="shared" si="0"/>
        <v>-0.76</v>
      </c>
      <c r="J7" s="2">
        <f t="shared" si="1"/>
        <v>0.49</v>
      </c>
      <c r="K7" s="7">
        <f t="shared" si="2"/>
        <v>45901</v>
      </c>
      <c r="L7" t="str">
        <f t="shared" si="3"/>
        <v>Q3-2025</v>
      </c>
    </row>
    <row r="8" spans="1:14">
      <c r="A8" s="6">
        <v>45915</v>
      </c>
      <c r="B8" t="s">
        <v>20</v>
      </c>
      <c r="C8" t="s">
        <v>21</v>
      </c>
      <c r="D8" s="2">
        <v>1403.6331265794311</v>
      </c>
      <c r="E8" s="2">
        <v>1404.685562214773</v>
      </c>
      <c r="F8" s="2">
        <v>1389.0917172983079</v>
      </c>
      <c r="G8" s="2">
        <v>1402.963500976562</v>
      </c>
      <c r="H8" s="3">
        <v>1725617</v>
      </c>
      <c r="I8" s="4">
        <f t="shared" si="0"/>
        <v>-1.04</v>
      </c>
      <c r="J8" s="2">
        <f t="shared" si="1"/>
        <v>1.72</v>
      </c>
      <c r="K8" s="7">
        <f t="shared" si="2"/>
        <v>45901</v>
      </c>
      <c r="L8" t="str">
        <f t="shared" si="3"/>
        <v>Q3-2025</v>
      </c>
    </row>
    <row r="9" spans="1:14">
      <c r="A9" s="6">
        <v>45915</v>
      </c>
      <c r="B9" t="s">
        <v>22</v>
      </c>
      <c r="C9" t="s">
        <v>23</v>
      </c>
      <c r="D9" s="2">
        <v>992.89642904588118</v>
      </c>
      <c r="E9" s="2">
        <v>1019.433252043132</v>
      </c>
      <c r="F9" s="2">
        <v>992.00190349355205</v>
      </c>
      <c r="G9" s="2">
        <v>1003.680114746094</v>
      </c>
      <c r="H9" s="3">
        <v>9989753</v>
      </c>
      <c r="I9" s="4">
        <f t="shared" si="0"/>
        <v>-0.09</v>
      </c>
      <c r="J9" s="2">
        <f t="shared" si="1"/>
        <v>15.75</v>
      </c>
      <c r="K9" s="7">
        <f t="shared" si="2"/>
        <v>45901</v>
      </c>
      <c r="L9" t="str">
        <f t="shared" si="3"/>
        <v>Q3-2025</v>
      </c>
    </row>
    <row r="10" spans="1:14">
      <c r="A10" s="6">
        <v>45915</v>
      </c>
      <c r="B10" t="s">
        <v>24</v>
      </c>
      <c r="C10" t="s">
        <v>25</v>
      </c>
      <c r="D10" s="2">
        <v>15197.37162345439</v>
      </c>
      <c r="E10" s="2">
        <v>15225.093213386421</v>
      </c>
      <c r="F10" s="2">
        <v>15097.375888342411</v>
      </c>
      <c r="G10" s="2">
        <v>15113.216796875</v>
      </c>
      <c r="H10" s="3">
        <v>170587</v>
      </c>
      <c r="I10" s="4">
        <f t="shared" si="0"/>
        <v>-0.66</v>
      </c>
      <c r="J10" s="2">
        <f t="shared" si="1"/>
        <v>111.88</v>
      </c>
      <c r="K10" s="7">
        <f t="shared" si="2"/>
        <v>45901</v>
      </c>
      <c r="L10" t="str">
        <f t="shared" si="3"/>
        <v>Q3-2025</v>
      </c>
    </row>
    <row r="11" spans="1:14">
      <c r="A11" s="6">
        <v>45915</v>
      </c>
      <c r="B11" t="s">
        <v>26</v>
      </c>
      <c r="C11" t="s">
        <v>27</v>
      </c>
      <c r="D11" s="2">
        <v>709.41519194806904</v>
      </c>
      <c r="E11" s="2">
        <v>716.01050639888786</v>
      </c>
      <c r="F11" s="2">
        <v>705.69604331783682</v>
      </c>
      <c r="G11" s="2">
        <v>707.03497314453125</v>
      </c>
      <c r="H11" s="3">
        <v>6007524</v>
      </c>
      <c r="I11" s="4">
        <f t="shared" si="0"/>
        <v>-0.52</v>
      </c>
      <c r="J11" s="2">
        <f t="shared" si="1"/>
        <v>8.98</v>
      </c>
      <c r="K11" s="7">
        <f t="shared" si="2"/>
        <v>45901</v>
      </c>
      <c r="L11" t="str">
        <f t="shared" si="3"/>
        <v>Q3-2025</v>
      </c>
    </row>
    <row r="12" spans="1:14">
      <c r="A12" s="6">
        <v>45915</v>
      </c>
      <c r="B12" t="s">
        <v>28</v>
      </c>
      <c r="C12" t="s">
        <v>29</v>
      </c>
      <c r="D12" s="2">
        <v>1601.9680748566821</v>
      </c>
      <c r="E12" s="2">
        <v>1602.4635493398721</v>
      </c>
      <c r="F12" s="2">
        <v>1580.960005155607</v>
      </c>
      <c r="G12" s="2">
        <v>1587.500244140625</v>
      </c>
      <c r="H12" s="3">
        <v>2005917</v>
      </c>
      <c r="I12" s="4">
        <f t="shared" si="0"/>
        <v>-1.31</v>
      </c>
      <c r="J12" s="2">
        <f t="shared" si="1"/>
        <v>14.96</v>
      </c>
      <c r="K12" s="7">
        <f t="shared" si="2"/>
        <v>45901</v>
      </c>
      <c r="L12" t="str">
        <f t="shared" si="3"/>
        <v>Q3-2025</v>
      </c>
    </row>
    <row r="13" spans="1:14">
      <c r="A13" s="6">
        <v>45915</v>
      </c>
      <c r="B13" t="s">
        <v>30</v>
      </c>
      <c r="C13" t="s">
        <v>31</v>
      </c>
      <c r="D13" s="2">
        <v>2509.378253601792</v>
      </c>
      <c r="E13" s="2">
        <v>2517.692928155775</v>
      </c>
      <c r="F13" s="2">
        <v>2472.654584050767</v>
      </c>
      <c r="G13" s="2">
        <v>2477.2080078125</v>
      </c>
      <c r="H13" s="3">
        <v>583051</v>
      </c>
      <c r="I13" s="4">
        <f t="shared" si="0"/>
        <v>-1.46</v>
      </c>
      <c r="J13" s="2">
        <f t="shared" si="1"/>
        <v>40.479999999999997</v>
      </c>
      <c r="K13" s="7">
        <f t="shared" si="2"/>
        <v>45901</v>
      </c>
      <c r="L13" t="str">
        <f t="shared" si="3"/>
        <v>Q3-2025</v>
      </c>
    </row>
    <row r="14" spans="1:14">
      <c r="A14" s="6">
        <v>45915</v>
      </c>
      <c r="B14" t="s">
        <v>32</v>
      </c>
      <c r="C14" t="s">
        <v>33</v>
      </c>
      <c r="D14" s="2">
        <v>2534.592147099977</v>
      </c>
      <c r="E14" s="2">
        <v>2547.2625563922938</v>
      </c>
      <c r="F14" s="2">
        <v>2522.707313734863</v>
      </c>
      <c r="G14" s="2">
        <v>2535.083251953125</v>
      </c>
      <c r="H14" s="3">
        <v>752745</v>
      </c>
      <c r="I14" s="4">
        <f t="shared" si="0"/>
        <v>-0.47</v>
      </c>
      <c r="J14" s="2">
        <f t="shared" si="1"/>
        <v>12.18</v>
      </c>
      <c r="K14" s="7">
        <f t="shared" si="2"/>
        <v>45901</v>
      </c>
      <c r="L14" t="str">
        <f t="shared" si="3"/>
        <v>Q3-2025</v>
      </c>
    </row>
    <row r="15" spans="1:14">
      <c r="A15" s="6">
        <v>45915</v>
      </c>
      <c r="B15" t="s">
        <v>34</v>
      </c>
      <c r="C15" t="s">
        <v>35</v>
      </c>
      <c r="D15" s="2">
        <v>3546.3613337803781</v>
      </c>
      <c r="E15" s="2">
        <v>3572.1098382981909</v>
      </c>
      <c r="F15" s="2">
        <v>3540.9145347477629</v>
      </c>
      <c r="G15" s="2">
        <v>3551.510986328125</v>
      </c>
      <c r="H15" s="3">
        <v>1177076</v>
      </c>
      <c r="I15" s="4">
        <f t="shared" si="0"/>
        <v>-0.15</v>
      </c>
      <c r="J15" s="2">
        <f t="shared" si="1"/>
        <v>20.6</v>
      </c>
      <c r="K15" s="7">
        <f t="shared" si="2"/>
        <v>45901</v>
      </c>
      <c r="L15" t="str">
        <f t="shared" si="3"/>
        <v>Q3-2025</v>
      </c>
    </row>
    <row r="16" spans="1:14">
      <c r="A16" s="6">
        <v>45915</v>
      </c>
      <c r="B16" t="s">
        <v>36</v>
      </c>
      <c r="C16" t="s">
        <v>37</v>
      </c>
      <c r="D16" s="2">
        <v>1104.148463427264</v>
      </c>
      <c r="E16" s="2">
        <v>1109.1446103205999</v>
      </c>
      <c r="F16" s="2">
        <v>1099.1523165339279</v>
      </c>
      <c r="G16" s="2">
        <v>1103.548950195312</v>
      </c>
      <c r="H16" s="3">
        <v>3881807</v>
      </c>
      <c r="I16" s="4">
        <f t="shared" si="0"/>
        <v>-0.45</v>
      </c>
      <c r="J16" s="2">
        <f t="shared" si="1"/>
        <v>5.6</v>
      </c>
      <c r="K16" s="7">
        <f t="shared" si="2"/>
        <v>45901</v>
      </c>
      <c r="L16" t="str">
        <f t="shared" si="3"/>
        <v>Q3-2025</v>
      </c>
    </row>
    <row r="17" spans="1:12">
      <c r="A17" s="6">
        <v>45916</v>
      </c>
      <c r="B17" t="s">
        <v>8</v>
      </c>
      <c r="C17" t="s">
        <v>9</v>
      </c>
      <c r="D17" s="2">
        <v>1398.235061650764</v>
      </c>
      <c r="E17" s="2">
        <v>1401.519922572696</v>
      </c>
      <c r="F17" s="2">
        <v>1391.764976780933</v>
      </c>
      <c r="G17" s="2">
        <v>1398.832397460938</v>
      </c>
      <c r="H17" s="3">
        <v>8686961</v>
      </c>
      <c r="I17" s="4">
        <f t="shared" si="0"/>
        <v>-0.46</v>
      </c>
      <c r="J17" s="2">
        <f t="shared" si="1"/>
        <v>2.69</v>
      </c>
      <c r="K17" s="7">
        <f t="shared" si="2"/>
        <v>45901</v>
      </c>
      <c r="L17" t="str">
        <f t="shared" si="3"/>
        <v>Q3-2025</v>
      </c>
    </row>
    <row r="18" spans="1:12">
      <c r="A18" s="6">
        <v>45916</v>
      </c>
      <c r="B18" t="s">
        <v>10</v>
      </c>
      <c r="C18" t="s">
        <v>11</v>
      </c>
      <c r="D18" s="2">
        <v>3003.323408916267</v>
      </c>
      <c r="E18" s="2">
        <v>3024.446527521176</v>
      </c>
      <c r="F18" s="2">
        <v>2985.176823514983</v>
      </c>
      <c r="G18" s="2">
        <v>3020.31787109375</v>
      </c>
      <c r="H18" s="3">
        <v>2573429</v>
      </c>
      <c r="I18" s="4">
        <f t="shared" si="0"/>
        <v>-0.6</v>
      </c>
      <c r="J18" s="2">
        <f t="shared" si="1"/>
        <v>4.13</v>
      </c>
      <c r="K18" s="7">
        <f t="shared" si="2"/>
        <v>45901</v>
      </c>
      <c r="L18" t="str">
        <f t="shared" si="3"/>
        <v>Q3-2025</v>
      </c>
    </row>
    <row r="19" spans="1:12">
      <c r="A19" s="6">
        <v>45916</v>
      </c>
      <c r="B19" t="s">
        <v>12</v>
      </c>
      <c r="C19" t="s">
        <v>13</v>
      </c>
      <c r="D19" s="2">
        <v>1454.1886984360899</v>
      </c>
      <c r="E19" s="2">
        <v>1459.5874130189479</v>
      </c>
      <c r="F19" s="2">
        <v>1449.4647790449069</v>
      </c>
      <c r="G19" s="2">
        <v>1456.984497070312</v>
      </c>
      <c r="H19" s="3">
        <v>8923112</v>
      </c>
      <c r="I19" s="4">
        <f t="shared" si="0"/>
        <v>-0.32</v>
      </c>
      <c r="J19" s="2">
        <f t="shared" si="1"/>
        <v>2.6</v>
      </c>
      <c r="K19" s="7">
        <f t="shared" si="2"/>
        <v>45901</v>
      </c>
      <c r="L19" t="str">
        <f t="shared" si="3"/>
        <v>Q3-2025</v>
      </c>
    </row>
    <row r="20" spans="1:12">
      <c r="A20" s="6">
        <v>45916</v>
      </c>
      <c r="B20" t="s">
        <v>14</v>
      </c>
      <c r="C20" t="s">
        <v>15</v>
      </c>
      <c r="D20" s="2">
        <v>945.56098187939199</v>
      </c>
      <c r="E20" s="2">
        <v>953.57834275847176</v>
      </c>
      <c r="F20" s="2">
        <v>945.56098187939199</v>
      </c>
      <c r="G20" s="2">
        <v>951.1190185546875</v>
      </c>
      <c r="H20" s="3">
        <v>18661794</v>
      </c>
      <c r="I20" s="4">
        <f t="shared" si="0"/>
        <v>0</v>
      </c>
      <c r="J20" s="2">
        <f t="shared" si="1"/>
        <v>2.46</v>
      </c>
      <c r="K20" s="7">
        <f t="shared" si="2"/>
        <v>45901</v>
      </c>
      <c r="L20" t="str">
        <f t="shared" si="3"/>
        <v>Q3-2025</v>
      </c>
    </row>
    <row r="21" spans="1:12">
      <c r="A21" s="6">
        <v>45916</v>
      </c>
      <c r="B21" t="s">
        <v>16</v>
      </c>
      <c r="C21" t="s">
        <v>17</v>
      </c>
      <c r="D21" s="2">
        <v>1402.178892603454</v>
      </c>
      <c r="E21" s="2">
        <v>1412.987792293879</v>
      </c>
      <c r="F21" s="2">
        <v>1401.8813521978341</v>
      </c>
      <c r="G21" s="2">
        <v>1409.71533203125</v>
      </c>
      <c r="H21" s="3">
        <v>8213151</v>
      </c>
      <c r="I21" s="4">
        <f t="shared" si="0"/>
        <v>-0.02</v>
      </c>
      <c r="J21" s="2">
        <f t="shared" si="1"/>
        <v>3.27</v>
      </c>
      <c r="K21" s="7">
        <f t="shared" si="2"/>
        <v>45901</v>
      </c>
      <c r="L21" t="str">
        <f t="shared" si="3"/>
        <v>Q3-2025</v>
      </c>
    </row>
    <row r="22" spans="1:12">
      <c r="A22" s="6">
        <v>45916</v>
      </c>
      <c r="B22" t="s">
        <v>18</v>
      </c>
      <c r="C22" t="s">
        <v>19</v>
      </c>
      <c r="D22" s="2">
        <v>242.88379333468251</v>
      </c>
      <c r="E22" s="2">
        <v>245.29335477649491</v>
      </c>
      <c r="F22" s="2">
        <v>241.1489061552185</v>
      </c>
      <c r="G22" s="2">
        <v>244.8210754394531</v>
      </c>
      <c r="H22" s="3">
        <v>7316998</v>
      </c>
      <c r="I22" s="4">
        <f t="shared" si="0"/>
        <v>-0.71</v>
      </c>
      <c r="J22" s="2">
        <f t="shared" si="1"/>
        <v>0.47</v>
      </c>
      <c r="K22" s="7">
        <f t="shared" si="2"/>
        <v>45901</v>
      </c>
      <c r="L22" t="str">
        <f t="shared" si="3"/>
        <v>Q3-2025</v>
      </c>
    </row>
    <row r="23" spans="1:12">
      <c r="A23" s="6">
        <v>45916</v>
      </c>
      <c r="B23" t="s">
        <v>20</v>
      </c>
      <c r="C23" t="s">
        <v>21</v>
      </c>
      <c r="D23" s="2">
        <v>1400.476130571765</v>
      </c>
      <c r="E23" s="2">
        <v>1420.853231814853</v>
      </c>
      <c r="F23" s="2">
        <v>1397.797394672574</v>
      </c>
      <c r="G23" s="2">
        <v>1418.84423828125</v>
      </c>
      <c r="H23" s="3">
        <v>1724524</v>
      </c>
      <c r="I23" s="4">
        <f t="shared" si="0"/>
        <v>-0.19</v>
      </c>
      <c r="J23" s="2">
        <f t="shared" si="1"/>
        <v>2.0099999999999998</v>
      </c>
      <c r="K23" s="7">
        <f t="shared" si="2"/>
        <v>45901</v>
      </c>
      <c r="L23" t="str">
        <f t="shared" si="3"/>
        <v>Q3-2025</v>
      </c>
    </row>
    <row r="24" spans="1:12">
      <c r="A24" s="6">
        <v>45916</v>
      </c>
      <c r="B24" t="s">
        <v>22</v>
      </c>
      <c r="C24" t="s">
        <v>23</v>
      </c>
      <c r="D24" s="2">
        <v>999.70457401700128</v>
      </c>
      <c r="E24" s="2">
        <v>1009.096849860506</v>
      </c>
      <c r="F24" s="2">
        <v>993.89033979410669</v>
      </c>
      <c r="G24" s="2">
        <v>997.1204833984375</v>
      </c>
      <c r="H24" s="3">
        <v>7602155</v>
      </c>
      <c r="I24" s="4">
        <f t="shared" si="0"/>
        <v>-0.57999999999999996</v>
      </c>
      <c r="J24" s="2">
        <f t="shared" si="1"/>
        <v>11.98</v>
      </c>
      <c r="K24" s="7">
        <f t="shared" si="2"/>
        <v>45901</v>
      </c>
      <c r="L24" t="str">
        <f t="shared" si="3"/>
        <v>Q3-2025</v>
      </c>
    </row>
    <row r="25" spans="1:12">
      <c r="A25" s="6">
        <v>45916</v>
      </c>
      <c r="B25" t="s">
        <v>24</v>
      </c>
      <c r="C25" t="s">
        <v>25</v>
      </c>
      <c r="D25" s="2">
        <v>15147.868794849261</v>
      </c>
      <c r="E25" s="2">
        <v>15438.945489338519</v>
      </c>
      <c r="F25" s="2">
        <v>15132.02788630563</v>
      </c>
      <c r="G25" s="2">
        <v>15418.154296875</v>
      </c>
      <c r="H25" s="3">
        <v>381944</v>
      </c>
      <c r="I25" s="4">
        <f t="shared" si="0"/>
        <v>-0.1</v>
      </c>
      <c r="J25" s="2">
        <f t="shared" si="1"/>
        <v>20.79</v>
      </c>
      <c r="K25" s="7">
        <f t="shared" si="2"/>
        <v>45901</v>
      </c>
      <c r="L25" t="str">
        <f t="shared" si="3"/>
        <v>Q3-2025</v>
      </c>
    </row>
    <row r="26" spans="1:12">
      <c r="A26" s="6">
        <v>45916</v>
      </c>
      <c r="B26" t="s">
        <v>26</v>
      </c>
      <c r="C26" t="s">
        <v>27</v>
      </c>
      <c r="D26" s="2">
        <v>709.1176827982606</v>
      </c>
      <c r="E26" s="2">
        <v>713.77902792465716</v>
      </c>
      <c r="F26" s="2">
        <v>699.19995296891432</v>
      </c>
      <c r="G26" s="2">
        <v>707.382080078125</v>
      </c>
      <c r="H26" s="3">
        <v>9765743</v>
      </c>
      <c r="I26" s="4">
        <f t="shared" si="0"/>
        <v>-1.4</v>
      </c>
      <c r="J26" s="2">
        <f t="shared" si="1"/>
        <v>6.4</v>
      </c>
      <c r="K26" s="7">
        <f t="shared" si="2"/>
        <v>45901</v>
      </c>
      <c r="L26" t="str">
        <f t="shared" si="3"/>
        <v>Q3-2025</v>
      </c>
    </row>
    <row r="27" spans="1:12">
      <c r="A27" s="6">
        <v>45916</v>
      </c>
      <c r="B27" t="s">
        <v>28</v>
      </c>
      <c r="C27" t="s">
        <v>29</v>
      </c>
      <c r="D27" s="2">
        <v>1587.995747966228</v>
      </c>
      <c r="E27" s="2">
        <v>1600.382610274856</v>
      </c>
      <c r="F27" s="2">
        <v>1585.518375504502</v>
      </c>
      <c r="G27" s="2">
        <v>1595.92333984375</v>
      </c>
      <c r="H27" s="3">
        <v>1480567</v>
      </c>
      <c r="I27" s="4">
        <f t="shared" si="0"/>
        <v>-0.16</v>
      </c>
      <c r="J27" s="2">
        <f t="shared" si="1"/>
        <v>4.46</v>
      </c>
      <c r="K27" s="7">
        <f t="shared" si="2"/>
        <v>45901</v>
      </c>
      <c r="L27" t="str">
        <f t="shared" si="3"/>
        <v>Q3-2025</v>
      </c>
    </row>
    <row r="28" spans="1:12">
      <c r="A28" s="6">
        <v>45916</v>
      </c>
      <c r="B28" t="s">
        <v>30</v>
      </c>
      <c r="C28" t="s">
        <v>31</v>
      </c>
      <c r="D28" s="2">
        <v>2469.6853071601922</v>
      </c>
      <c r="E28" s="2">
        <v>2484.434032569603</v>
      </c>
      <c r="F28" s="2">
        <v>2449.393303634427</v>
      </c>
      <c r="G28" s="2">
        <v>2455.728271484375</v>
      </c>
      <c r="H28" s="3">
        <v>760790</v>
      </c>
      <c r="I28" s="4">
        <f t="shared" si="0"/>
        <v>-0.82</v>
      </c>
      <c r="J28" s="2">
        <f t="shared" si="1"/>
        <v>28.71</v>
      </c>
      <c r="K28" s="7">
        <f t="shared" si="2"/>
        <v>45901</v>
      </c>
      <c r="L28" t="str">
        <f t="shared" si="3"/>
        <v>Q3-2025</v>
      </c>
    </row>
    <row r="29" spans="1:12">
      <c r="A29" s="6">
        <v>45916</v>
      </c>
      <c r="B29" t="s">
        <v>32</v>
      </c>
      <c r="C29" t="s">
        <v>33</v>
      </c>
      <c r="D29" s="2">
        <v>2542.155286724817</v>
      </c>
      <c r="E29" s="2">
        <v>2543.923312275821</v>
      </c>
      <c r="F29" s="2">
        <v>2526.8329581431622</v>
      </c>
      <c r="G29" s="2">
        <v>2534.985107421875</v>
      </c>
      <c r="H29" s="3">
        <v>1040928</v>
      </c>
      <c r="I29" s="4">
        <f t="shared" si="0"/>
        <v>-0.6</v>
      </c>
      <c r="J29" s="2">
        <f t="shared" si="1"/>
        <v>8.94</v>
      </c>
      <c r="K29" s="7">
        <f t="shared" si="2"/>
        <v>45901</v>
      </c>
      <c r="L29" t="str">
        <f t="shared" si="3"/>
        <v>Q3-2025</v>
      </c>
    </row>
    <row r="30" spans="1:12">
      <c r="A30" s="6">
        <v>45916</v>
      </c>
      <c r="B30" t="s">
        <v>34</v>
      </c>
      <c r="C30" t="s">
        <v>35</v>
      </c>
      <c r="D30" s="2">
        <v>3569.0397307325102</v>
      </c>
      <c r="E30" s="2">
        <v>3638.4617569937491</v>
      </c>
      <c r="F30" s="2">
        <v>3558.3443915004818</v>
      </c>
      <c r="G30" s="2">
        <v>3632.32177734375</v>
      </c>
      <c r="H30" s="3">
        <v>2928060</v>
      </c>
      <c r="I30" s="4">
        <f t="shared" si="0"/>
        <v>-0.3</v>
      </c>
      <c r="J30" s="2">
        <f t="shared" si="1"/>
        <v>6.14</v>
      </c>
      <c r="K30" s="7">
        <f t="shared" si="2"/>
        <v>45901</v>
      </c>
      <c r="L30" t="str">
        <f t="shared" si="3"/>
        <v>Q3-2025</v>
      </c>
    </row>
    <row r="31" spans="1:12">
      <c r="A31" s="6">
        <v>45916</v>
      </c>
      <c r="B31" t="s">
        <v>36</v>
      </c>
      <c r="C31" t="s">
        <v>37</v>
      </c>
      <c r="D31" s="2">
        <v>1104.847882034871</v>
      </c>
      <c r="E31" s="2">
        <v>1126.231415265846</v>
      </c>
      <c r="F31" s="2">
        <v>1103.1492408711281</v>
      </c>
      <c r="G31" s="2">
        <v>1120.3359375</v>
      </c>
      <c r="H31" s="3">
        <v>7965606</v>
      </c>
      <c r="I31" s="4">
        <f t="shared" si="0"/>
        <v>-0.15</v>
      </c>
      <c r="J31" s="2">
        <f t="shared" si="1"/>
        <v>5.9</v>
      </c>
      <c r="K31" s="7">
        <f t="shared" si="2"/>
        <v>45901</v>
      </c>
      <c r="L31" t="str">
        <f t="shared" si="3"/>
        <v>Q3-2025</v>
      </c>
    </row>
    <row r="32" spans="1:12">
      <c r="A32" s="6">
        <v>45917</v>
      </c>
      <c r="B32" t="s">
        <v>8</v>
      </c>
      <c r="C32" t="s">
        <v>9</v>
      </c>
      <c r="D32" s="2">
        <v>1400.5245819104889</v>
      </c>
      <c r="E32" s="2">
        <v>1409.682192264851</v>
      </c>
      <c r="F32" s="2">
        <v>1400.425066440911</v>
      </c>
      <c r="G32" s="2">
        <v>1407.293334960938</v>
      </c>
      <c r="H32" s="3">
        <v>7519417</v>
      </c>
      <c r="I32" s="4">
        <f t="shared" si="0"/>
        <v>-0.01</v>
      </c>
      <c r="J32" s="2">
        <f t="shared" si="1"/>
        <v>2.39</v>
      </c>
      <c r="K32" s="7">
        <f t="shared" si="2"/>
        <v>45901</v>
      </c>
      <c r="L32" t="str">
        <f t="shared" si="3"/>
        <v>Q3-2025</v>
      </c>
    </row>
    <row r="33" spans="1:12">
      <c r="A33" s="6">
        <v>45917</v>
      </c>
      <c r="B33" t="s">
        <v>10</v>
      </c>
      <c r="C33" t="s">
        <v>11</v>
      </c>
      <c r="D33" s="2">
        <v>3026.366894691811</v>
      </c>
      <c r="E33" s="2">
        <v>3055.555111079816</v>
      </c>
      <c r="F33" s="2">
        <v>3017.1494398273808</v>
      </c>
      <c r="G33" s="2">
        <v>3046.337890625</v>
      </c>
      <c r="H33" s="3">
        <v>2418271</v>
      </c>
      <c r="I33" s="4">
        <f t="shared" si="0"/>
        <v>-0.3</v>
      </c>
      <c r="J33" s="2">
        <f t="shared" si="1"/>
        <v>9.2200000000000006</v>
      </c>
      <c r="K33" s="7">
        <f t="shared" si="2"/>
        <v>45901</v>
      </c>
      <c r="L33" t="str">
        <f t="shared" si="3"/>
        <v>Q3-2025</v>
      </c>
    </row>
    <row r="34" spans="1:12">
      <c r="A34" s="6">
        <v>45917</v>
      </c>
      <c r="B34" t="s">
        <v>12</v>
      </c>
      <c r="C34" t="s">
        <v>13</v>
      </c>
      <c r="D34" s="2">
        <v>1462.3832147820151</v>
      </c>
      <c r="E34" s="2">
        <v>1471.8309359014429</v>
      </c>
      <c r="F34" s="2">
        <v>1459.5874161418101</v>
      </c>
      <c r="G34" s="2">
        <v>1467.685546875</v>
      </c>
      <c r="H34" s="3">
        <v>4795698</v>
      </c>
      <c r="I34" s="4">
        <f t="shared" si="0"/>
        <v>-0.19</v>
      </c>
      <c r="J34" s="2">
        <f t="shared" si="1"/>
        <v>4.1500000000000004</v>
      </c>
      <c r="K34" s="7">
        <f t="shared" si="2"/>
        <v>45901</v>
      </c>
      <c r="L34" t="str">
        <f t="shared" si="3"/>
        <v>Q3-2025</v>
      </c>
    </row>
    <row r="35" spans="1:12">
      <c r="A35" s="6">
        <v>45917</v>
      </c>
      <c r="B35" t="s">
        <v>14</v>
      </c>
      <c r="C35" t="s">
        <v>15</v>
      </c>
      <c r="D35" s="2">
        <v>949.44670821014029</v>
      </c>
      <c r="E35" s="2">
        <v>958.54620759240004</v>
      </c>
      <c r="F35" s="2">
        <v>948.65967644610771</v>
      </c>
      <c r="G35" s="2">
        <v>950.77471923828125</v>
      </c>
      <c r="H35" s="3">
        <v>17361476</v>
      </c>
      <c r="I35" s="4">
        <f t="shared" si="0"/>
        <v>-0.08</v>
      </c>
      <c r="J35" s="2">
        <f t="shared" si="1"/>
        <v>7.77</v>
      </c>
      <c r="K35" s="7">
        <f t="shared" si="2"/>
        <v>45901</v>
      </c>
      <c r="L35" t="str">
        <f t="shared" si="3"/>
        <v>Q3-2025</v>
      </c>
    </row>
    <row r="36" spans="1:12">
      <c r="A36" s="6">
        <v>45917</v>
      </c>
      <c r="B36" t="s">
        <v>16</v>
      </c>
      <c r="C36" t="s">
        <v>17</v>
      </c>
      <c r="D36" s="2">
        <v>1408.227949434824</v>
      </c>
      <c r="E36" s="2">
        <v>1414.177789475573</v>
      </c>
      <c r="F36" s="2">
        <v>1404.558929829617</v>
      </c>
      <c r="G36" s="2">
        <v>1407.33544921875</v>
      </c>
      <c r="H36" s="3">
        <v>7484283</v>
      </c>
      <c r="I36" s="4">
        <f t="shared" si="0"/>
        <v>-0.26</v>
      </c>
      <c r="J36" s="2">
        <f t="shared" si="1"/>
        <v>6.84</v>
      </c>
      <c r="K36" s="7">
        <f t="shared" si="2"/>
        <v>45901</v>
      </c>
      <c r="L36" t="str">
        <f t="shared" si="3"/>
        <v>Q3-2025</v>
      </c>
    </row>
    <row r="37" spans="1:12">
      <c r="A37" s="6">
        <v>45917</v>
      </c>
      <c r="B37" t="s">
        <v>18</v>
      </c>
      <c r="C37" t="s">
        <v>19</v>
      </c>
      <c r="D37" s="2">
        <v>244.13676684961209</v>
      </c>
      <c r="E37" s="2">
        <v>246.25717796509531</v>
      </c>
      <c r="F37" s="2">
        <v>243.70304873388989</v>
      </c>
      <c r="G37" s="2">
        <v>244.95600891113281</v>
      </c>
      <c r="H37" s="3">
        <v>7339871</v>
      </c>
      <c r="I37" s="4">
        <f t="shared" si="0"/>
        <v>-0.18</v>
      </c>
      <c r="J37" s="2">
        <f t="shared" si="1"/>
        <v>1.3</v>
      </c>
      <c r="K37" s="7">
        <f t="shared" si="2"/>
        <v>45901</v>
      </c>
      <c r="L37" t="str">
        <f t="shared" si="3"/>
        <v>Q3-2025</v>
      </c>
    </row>
    <row r="38" spans="1:12">
      <c r="A38" s="6">
        <v>45917</v>
      </c>
      <c r="B38" t="s">
        <v>20</v>
      </c>
      <c r="C38" t="s">
        <v>21</v>
      </c>
      <c r="D38" s="2">
        <v>1426.2108430840301</v>
      </c>
      <c r="E38" s="2">
        <v>1434.055529756318</v>
      </c>
      <c r="F38" s="2">
        <v>1411.382383636917</v>
      </c>
      <c r="G38" s="2">
        <v>1417.313720703125</v>
      </c>
      <c r="H38" s="3">
        <v>2656774</v>
      </c>
      <c r="I38" s="4">
        <f t="shared" si="0"/>
        <v>-1.04</v>
      </c>
      <c r="J38" s="2">
        <f t="shared" si="1"/>
        <v>16.739999999999998</v>
      </c>
      <c r="K38" s="7">
        <f t="shared" si="2"/>
        <v>45901</v>
      </c>
      <c r="L38" t="str">
        <f t="shared" si="3"/>
        <v>Q3-2025</v>
      </c>
    </row>
    <row r="39" spans="1:12">
      <c r="A39" s="6">
        <v>45917</v>
      </c>
      <c r="B39" t="s">
        <v>22</v>
      </c>
      <c r="C39" t="s">
        <v>23</v>
      </c>
      <c r="D39" s="2">
        <v>1003.829269371317</v>
      </c>
      <c r="E39" s="2">
        <v>1005.618259897151</v>
      </c>
      <c r="F39" s="2">
        <v>994.23820307727328</v>
      </c>
      <c r="G39" s="2">
        <v>1001.344543457031</v>
      </c>
      <c r="H39" s="3">
        <v>6995023</v>
      </c>
      <c r="I39" s="4">
        <f t="shared" si="0"/>
        <v>-0.96</v>
      </c>
      <c r="J39" s="2">
        <f t="shared" si="1"/>
        <v>4.2699999999999996</v>
      </c>
      <c r="K39" s="7">
        <f t="shared" si="2"/>
        <v>45901</v>
      </c>
      <c r="L39" t="str">
        <f t="shared" si="3"/>
        <v>Q3-2025</v>
      </c>
    </row>
    <row r="40" spans="1:12">
      <c r="A40" s="6">
        <v>45917</v>
      </c>
      <c r="B40" t="s">
        <v>24</v>
      </c>
      <c r="C40" t="s">
        <v>25</v>
      </c>
      <c r="D40" s="2">
        <v>15436.96582148677</v>
      </c>
      <c r="E40" s="2">
        <v>15660.71866112608</v>
      </c>
      <c r="F40" s="2">
        <v>15415.18457161038</v>
      </c>
      <c r="G40" s="2">
        <v>15643.8876953125</v>
      </c>
      <c r="H40" s="3">
        <v>624986</v>
      </c>
      <c r="I40" s="4">
        <f t="shared" si="0"/>
        <v>-0.14000000000000001</v>
      </c>
      <c r="J40" s="2">
        <f t="shared" si="1"/>
        <v>16.829999999999998</v>
      </c>
      <c r="K40" s="7">
        <f t="shared" si="2"/>
        <v>45901</v>
      </c>
      <c r="L40" t="str">
        <f t="shared" si="3"/>
        <v>Q3-2025</v>
      </c>
    </row>
    <row r="41" spans="1:12">
      <c r="A41" s="6">
        <v>45917</v>
      </c>
      <c r="B41" t="s">
        <v>26</v>
      </c>
      <c r="C41" t="s">
        <v>27</v>
      </c>
      <c r="D41" s="2">
        <v>709.11763867154787</v>
      </c>
      <c r="E41" s="2">
        <v>717.00224550184146</v>
      </c>
      <c r="F41" s="2">
        <v>708.42338552009153</v>
      </c>
      <c r="G41" s="2">
        <v>713.2335205078125</v>
      </c>
      <c r="H41" s="3">
        <v>11872451</v>
      </c>
      <c r="I41" s="4">
        <f t="shared" si="0"/>
        <v>-0.1</v>
      </c>
      <c r="J41" s="2">
        <f t="shared" si="1"/>
        <v>3.77</v>
      </c>
      <c r="K41" s="7">
        <f t="shared" si="2"/>
        <v>45901</v>
      </c>
      <c r="L41" t="str">
        <f t="shared" si="3"/>
        <v>Q3-2025</v>
      </c>
    </row>
    <row r="42" spans="1:12">
      <c r="A42" s="6">
        <v>45917</v>
      </c>
      <c r="B42" t="s">
        <v>28</v>
      </c>
      <c r="C42" t="s">
        <v>29</v>
      </c>
      <c r="D42" s="2">
        <v>1598.0044557468259</v>
      </c>
      <c r="E42" s="2">
        <v>1607.4184719687221</v>
      </c>
      <c r="F42" s="2">
        <v>1592.851568937868</v>
      </c>
      <c r="G42" s="2">
        <v>1605.53564453125</v>
      </c>
      <c r="H42" s="3">
        <v>2128406</v>
      </c>
      <c r="I42" s="4">
        <f t="shared" si="0"/>
        <v>-0.32</v>
      </c>
      <c r="J42" s="2">
        <f t="shared" si="1"/>
        <v>1.88</v>
      </c>
      <c r="K42" s="7">
        <f t="shared" si="2"/>
        <v>45901</v>
      </c>
      <c r="L42" t="str">
        <f t="shared" si="3"/>
        <v>Q3-2025</v>
      </c>
    </row>
    <row r="43" spans="1:12">
      <c r="A43" s="6">
        <v>45917</v>
      </c>
      <c r="B43" t="s">
        <v>30</v>
      </c>
      <c r="C43" t="s">
        <v>31</v>
      </c>
      <c r="D43" s="2">
        <v>2456.8169166653779</v>
      </c>
      <c r="E43" s="2">
        <v>2471.5656403296748</v>
      </c>
      <c r="F43" s="2">
        <v>2455.6291405419952</v>
      </c>
      <c r="G43" s="2">
        <v>2468.29931640625</v>
      </c>
      <c r="H43" s="3">
        <v>359627</v>
      </c>
      <c r="I43" s="4">
        <f t="shared" si="0"/>
        <v>-0.05</v>
      </c>
      <c r="J43" s="2">
        <f t="shared" si="1"/>
        <v>3.27</v>
      </c>
      <c r="K43" s="7">
        <f t="shared" si="2"/>
        <v>45901</v>
      </c>
      <c r="L43" t="str">
        <f t="shared" si="3"/>
        <v>Q3-2025</v>
      </c>
    </row>
    <row r="44" spans="1:12">
      <c r="A44" s="6">
        <v>45917</v>
      </c>
      <c r="B44" t="s">
        <v>32</v>
      </c>
      <c r="C44" t="s">
        <v>33</v>
      </c>
      <c r="D44" s="2">
        <v>2540.9764060412949</v>
      </c>
      <c r="E44" s="2">
        <v>2545.003561590966</v>
      </c>
      <c r="F44" s="2">
        <v>2520.8411078875092</v>
      </c>
      <c r="G44" s="2">
        <v>2523.984130859375</v>
      </c>
      <c r="H44" s="3">
        <v>970247</v>
      </c>
      <c r="I44" s="4">
        <f t="shared" si="0"/>
        <v>-0.79</v>
      </c>
      <c r="J44" s="2">
        <f t="shared" si="1"/>
        <v>21.02</v>
      </c>
      <c r="K44" s="7">
        <f t="shared" si="2"/>
        <v>45901</v>
      </c>
      <c r="L44" t="str">
        <f t="shared" si="3"/>
        <v>Q3-2025</v>
      </c>
    </row>
    <row r="45" spans="1:12">
      <c r="A45" s="6">
        <v>45917</v>
      </c>
      <c r="B45" t="s">
        <v>34</v>
      </c>
      <c r="C45" t="s">
        <v>35</v>
      </c>
      <c r="D45" s="2">
        <v>3636.481169871794</v>
      </c>
      <c r="E45" s="2">
        <v>3668.1716375830961</v>
      </c>
      <c r="F45" s="2">
        <v>3627.2710793373822</v>
      </c>
      <c r="G45" s="2">
        <v>3649.8505859375</v>
      </c>
      <c r="H45" s="3">
        <v>1610471</v>
      </c>
      <c r="I45" s="4">
        <f t="shared" si="0"/>
        <v>-0.25</v>
      </c>
      <c r="J45" s="2">
        <f t="shared" si="1"/>
        <v>18.32</v>
      </c>
      <c r="K45" s="7">
        <f t="shared" si="2"/>
        <v>45901</v>
      </c>
      <c r="L45" t="str">
        <f t="shared" si="3"/>
        <v>Q3-2025</v>
      </c>
    </row>
    <row r="46" spans="1:12">
      <c r="A46" s="6">
        <v>45917</v>
      </c>
      <c r="B46" t="s">
        <v>36</v>
      </c>
      <c r="C46" t="s">
        <v>37</v>
      </c>
      <c r="D46" s="2">
        <v>1120.4359947465241</v>
      </c>
      <c r="E46" s="2">
        <v>1127.6303977627531</v>
      </c>
      <c r="F46" s="2">
        <v>1115.23992858925</v>
      </c>
      <c r="G46" s="2">
        <v>1125.13232421875</v>
      </c>
      <c r="H46" s="3">
        <v>5590739</v>
      </c>
      <c r="I46" s="4">
        <f t="shared" si="0"/>
        <v>-0.46</v>
      </c>
      <c r="J46" s="2">
        <f t="shared" si="1"/>
        <v>2.5</v>
      </c>
      <c r="K46" s="7">
        <f t="shared" si="2"/>
        <v>45901</v>
      </c>
      <c r="L46" t="str">
        <f t="shared" si="3"/>
        <v>Q3-2025</v>
      </c>
    </row>
    <row r="47" spans="1:12">
      <c r="A47" s="6">
        <v>45918</v>
      </c>
      <c r="B47" t="s">
        <v>8</v>
      </c>
      <c r="C47" t="s">
        <v>9</v>
      </c>
      <c r="D47" s="2">
        <v>1413.8628424954391</v>
      </c>
      <c r="E47" s="2">
        <v>1415.455454429384</v>
      </c>
      <c r="F47" s="2">
        <v>1404.207412411741</v>
      </c>
      <c r="G47" s="2">
        <v>1408.487670898438</v>
      </c>
      <c r="H47" s="3">
        <v>9332642</v>
      </c>
      <c r="I47" s="4">
        <f t="shared" si="0"/>
        <v>-0.68</v>
      </c>
      <c r="J47" s="2">
        <f t="shared" si="1"/>
        <v>6.97</v>
      </c>
      <c r="K47" s="7">
        <f t="shared" si="2"/>
        <v>45901</v>
      </c>
      <c r="L47" t="str">
        <f t="shared" si="3"/>
        <v>Q3-2025</v>
      </c>
    </row>
    <row r="48" spans="1:12">
      <c r="A48" s="6">
        <v>45918</v>
      </c>
      <c r="B48" t="s">
        <v>10</v>
      </c>
      <c r="C48" t="s">
        <v>11</v>
      </c>
      <c r="D48" s="2">
        <v>3058.051743641503</v>
      </c>
      <c r="E48" s="2">
        <v>3075.3342966667929</v>
      </c>
      <c r="F48" s="2">
        <v>3035.3923025778281</v>
      </c>
      <c r="G48" s="2">
        <v>3050.08251953125</v>
      </c>
      <c r="H48" s="3">
        <v>2633138</v>
      </c>
      <c r="I48" s="4">
        <f t="shared" si="0"/>
        <v>-0.74</v>
      </c>
      <c r="J48" s="2">
        <f t="shared" si="1"/>
        <v>25.25</v>
      </c>
      <c r="K48" s="7">
        <f t="shared" si="2"/>
        <v>45901</v>
      </c>
      <c r="L48" t="str">
        <f t="shared" si="3"/>
        <v>Q3-2025</v>
      </c>
    </row>
    <row r="49" spans="1:12">
      <c r="A49" s="6">
        <v>45918</v>
      </c>
      <c r="B49" t="s">
        <v>12</v>
      </c>
      <c r="C49" t="s">
        <v>13</v>
      </c>
      <c r="D49" s="2">
        <v>1494.293513895343</v>
      </c>
      <c r="E49" s="2">
        <v>1499.11381555307</v>
      </c>
      <c r="F49" s="2">
        <v>1483.2068200825711</v>
      </c>
      <c r="G49" s="2">
        <v>1485.231323242188</v>
      </c>
      <c r="H49" s="3">
        <v>9331945</v>
      </c>
      <c r="I49" s="4">
        <f t="shared" si="0"/>
        <v>-0.74</v>
      </c>
      <c r="J49" s="2">
        <f t="shared" si="1"/>
        <v>13.88</v>
      </c>
      <c r="K49" s="7">
        <f t="shared" si="2"/>
        <v>45901</v>
      </c>
      <c r="L49" t="str">
        <f t="shared" si="3"/>
        <v>Q3-2025</v>
      </c>
    </row>
    <row r="50" spans="1:12">
      <c r="A50" s="6">
        <v>45918</v>
      </c>
      <c r="B50" t="s">
        <v>14</v>
      </c>
      <c r="C50" t="s">
        <v>15</v>
      </c>
      <c r="D50" s="2">
        <v>957.46409130462337</v>
      </c>
      <c r="E50" s="2">
        <v>963.71081083551883</v>
      </c>
      <c r="F50" s="2">
        <v>953.47999808503687</v>
      </c>
      <c r="G50" s="2">
        <v>961.00555419921875</v>
      </c>
      <c r="H50" s="3">
        <v>17791598</v>
      </c>
      <c r="I50" s="4">
        <f t="shared" si="0"/>
        <v>-0.42</v>
      </c>
      <c r="J50" s="2">
        <f t="shared" si="1"/>
        <v>2.71</v>
      </c>
      <c r="K50" s="7">
        <f t="shared" si="2"/>
        <v>45901</v>
      </c>
      <c r="L50" t="str">
        <f t="shared" si="3"/>
        <v>Q3-2025</v>
      </c>
    </row>
    <row r="51" spans="1:12">
      <c r="A51" s="6">
        <v>45918</v>
      </c>
      <c r="B51" t="s">
        <v>16</v>
      </c>
      <c r="C51" t="s">
        <v>17</v>
      </c>
      <c r="D51" s="2">
        <v>1419.135892763336</v>
      </c>
      <c r="E51" s="2">
        <v>1420.821753289835</v>
      </c>
      <c r="F51" s="2">
        <v>1403.468054354028</v>
      </c>
      <c r="G51" s="2">
        <v>1409.814453125</v>
      </c>
      <c r="H51" s="3">
        <v>8130537</v>
      </c>
      <c r="I51" s="4">
        <f t="shared" si="0"/>
        <v>-1.1000000000000001</v>
      </c>
      <c r="J51" s="2">
        <f t="shared" si="1"/>
        <v>11.01</v>
      </c>
      <c r="K51" s="7">
        <f t="shared" si="2"/>
        <v>45901</v>
      </c>
      <c r="L51" t="str">
        <f t="shared" si="3"/>
        <v>Q3-2025</v>
      </c>
    </row>
    <row r="52" spans="1:12">
      <c r="A52" s="6">
        <v>45918</v>
      </c>
      <c r="B52" t="s">
        <v>18</v>
      </c>
      <c r="C52" t="s">
        <v>19</v>
      </c>
      <c r="D52" s="2">
        <v>247.702927053092</v>
      </c>
      <c r="E52" s="2">
        <v>250.4016242205289</v>
      </c>
      <c r="F52" s="2">
        <v>246.73910243420841</v>
      </c>
      <c r="G52" s="2">
        <v>247.63545227050781</v>
      </c>
      <c r="H52" s="3">
        <v>10498239</v>
      </c>
      <c r="I52" s="4">
        <f t="shared" si="0"/>
        <v>-0.39</v>
      </c>
      <c r="J52" s="2">
        <f t="shared" si="1"/>
        <v>2.77</v>
      </c>
      <c r="K52" s="7">
        <f t="shared" si="2"/>
        <v>45901</v>
      </c>
      <c r="L52" t="str">
        <f t="shared" si="3"/>
        <v>Q3-2025</v>
      </c>
    </row>
    <row r="53" spans="1:12">
      <c r="A53" s="6">
        <v>45918</v>
      </c>
      <c r="B53" t="s">
        <v>20</v>
      </c>
      <c r="C53" t="s">
        <v>21</v>
      </c>
      <c r="D53" s="2">
        <v>1427.932608787776</v>
      </c>
      <c r="E53" s="2">
        <v>1437.786404737366</v>
      </c>
      <c r="F53" s="2">
        <v>1421.714223346977</v>
      </c>
      <c r="G53" s="2">
        <v>1429.080688476562</v>
      </c>
      <c r="H53" s="3">
        <v>2792406</v>
      </c>
      <c r="I53" s="4">
        <f t="shared" si="0"/>
        <v>-0.44</v>
      </c>
      <c r="J53" s="2">
        <f t="shared" si="1"/>
        <v>8.7100000000000009</v>
      </c>
      <c r="K53" s="7">
        <f t="shared" si="2"/>
        <v>45901</v>
      </c>
      <c r="L53" t="str">
        <f t="shared" si="3"/>
        <v>Q3-2025</v>
      </c>
    </row>
    <row r="54" spans="1:12">
      <c r="A54" s="6">
        <v>45918</v>
      </c>
      <c r="B54" t="s">
        <v>22</v>
      </c>
      <c r="C54" t="s">
        <v>23</v>
      </c>
      <c r="D54" s="2">
        <v>1000.847591937994</v>
      </c>
      <c r="E54" s="2">
        <v>1003.630472811925</v>
      </c>
      <c r="F54" s="2">
        <v>983.95145582781925</v>
      </c>
      <c r="G54" s="2">
        <v>990.4117431640625</v>
      </c>
      <c r="H54" s="3">
        <v>9738376</v>
      </c>
      <c r="I54" s="4">
        <f t="shared" si="0"/>
        <v>-1.69</v>
      </c>
      <c r="J54" s="2">
        <f t="shared" si="1"/>
        <v>13.22</v>
      </c>
      <c r="K54" s="7">
        <f t="shared" si="2"/>
        <v>45901</v>
      </c>
      <c r="L54" t="str">
        <f t="shared" si="3"/>
        <v>Q3-2025</v>
      </c>
    </row>
    <row r="55" spans="1:12">
      <c r="A55" s="6">
        <v>45918</v>
      </c>
      <c r="B55" t="s">
        <v>24</v>
      </c>
      <c r="C55" t="s">
        <v>25</v>
      </c>
      <c r="D55" s="2">
        <v>15757.744139513659</v>
      </c>
      <c r="E55" s="2">
        <v>15780.51544607365</v>
      </c>
      <c r="F55" s="2">
        <v>15546.862039632</v>
      </c>
      <c r="G55" s="2">
        <v>15659.728515625</v>
      </c>
      <c r="H55" s="3">
        <v>642175</v>
      </c>
      <c r="I55" s="4">
        <f t="shared" si="0"/>
        <v>-1.34</v>
      </c>
      <c r="J55" s="2">
        <f t="shared" si="1"/>
        <v>120.79</v>
      </c>
      <c r="K55" s="7">
        <f t="shared" si="2"/>
        <v>45901</v>
      </c>
      <c r="L55" t="str">
        <f t="shared" si="3"/>
        <v>Q3-2025</v>
      </c>
    </row>
    <row r="56" spans="1:12">
      <c r="A56" s="6">
        <v>45918</v>
      </c>
      <c r="B56" t="s">
        <v>26</v>
      </c>
      <c r="C56" t="s">
        <v>27</v>
      </c>
      <c r="D56" s="2">
        <v>716.06007380001597</v>
      </c>
      <c r="E56" s="2">
        <v>719.28333590507145</v>
      </c>
      <c r="F56" s="2">
        <v>701.77851902902478</v>
      </c>
      <c r="G56" s="2">
        <v>705.34893798828125</v>
      </c>
      <c r="H56" s="3">
        <v>12199357</v>
      </c>
      <c r="I56" s="4">
        <f t="shared" si="0"/>
        <v>-1.99</v>
      </c>
      <c r="J56" s="2">
        <f t="shared" si="1"/>
        <v>13.93</v>
      </c>
      <c r="K56" s="7">
        <f t="shared" si="2"/>
        <v>45901</v>
      </c>
      <c r="L56" t="str">
        <f t="shared" si="3"/>
        <v>Q3-2025</v>
      </c>
    </row>
    <row r="57" spans="1:12">
      <c r="A57" s="6">
        <v>45918</v>
      </c>
      <c r="B57" t="s">
        <v>28</v>
      </c>
      <c r="C57" t="s">
        <v>29</v>
      </c>
      <c r="D57" s="2">
        <v>1620.3007766166029</v>
      </c>
      <c r="E57" s="2">
        <v>1636.3542238965811</v>
      </c>
      <c r="F57" s="2">
        <v>1612.9677294120791</v>
      </c>
      <c r="G57" s="2">
        <v>1633.678588867188</v>
      </c>
      <c r="H57" s="3">
        <v>1832386</v>
      </c>
      <c r="I57" s="4">
        <f t="shared" si="0"/>
        <v>-0.45</v>
      </c>
      <c r="J57" s="2">
        <f t="shared" si="1"/>
        <v>2.68</v>
      </c>
      <c r="K57" s="7">
        <f t="shared" si="2"/>
        <v>45901</v>
      </c>
      <c r="L57" t="str">
        <f t="shared" si="3"/>
        <v>Q3-2025</v>
      </c>
    </row>
    <row r="58" spans="1:12">
      <c r="A58" s="6">
        <v>45918</v>
      </c>
      <c r="B58" t="s">
        <v>30</v>
      </c>
      <c r="C58" t="s">
        <v>31</v>
      </c>
      <c r="D58" s="2">
        <v>2472.5556815149962</v>
      </c>
      <c r="E58" s="2">
        <v>2480.771516291873</v>
      </c>
      <c r="F58" s="2">
        <v>2444.2460081633121</v>
      </c>
      <c r="G58" s="2">
        <v>2453.550537109375</v>
      </c>
      <c r="H58" s="3">
        <v>400796</v>
      </c>
      <c r="I58" s="4">
        <f t="shared" si="0"/>
        <v>-1.1399999999999999</v>
      </c>
      <c r="J58" s="2">
        <f t="shared" si="1"/>
        <v>27.22</v>
      </c>
      <c r="K58" s="7">
        <f t="shared" si="2"/>
        <v>45901</v>
      </c>
      <c r="L58" t="str">
        <f t="shared" si="3"/>
        <v>Q3-2025</v>
      </c>
    </row>
    <row r="59" spans="1:12">
      <c r="A59" s="6">
        <v>45918</v>
      </c>
      <c r="B59" t="s">
        <v>32</v>
      </c>
      <c r="C59" t="s">
        <v>33</v>
      </c>
      <c r="D59" s="2">
        <v>2525.1627516225931</v>
      </c>
      <c r="E59" s="2">
        <v>2563.4689288578488</v>
      </c>
      <c r="F59" s="2">
        <v>2525.1627516225931</v>
      </c>
      <c r="G59" s="2">
        <v>2540.780029296875</v>
      </c>
      <c r="H59" s="3">
        <v>1550153</v>
      </c>
      <c r="I59" s="4">
        <f t="shared" si="0"/>
        <v>0</v>
      </c>
      <c r="J59" s="2">
        <f t="shared" si="1"/>
        <v>22.69</v>
      </c>
      <c r="K59" s="7">
        <f t="shared" si="2"/>
        <v>45901</v>
      </c>
      <c r="L59" t="str">
        <f t="shared" si="3"/>
        <v>Q3-2025</v>
      </c>
    </row>
    <row r="60" spans="1:12">
      <c r="A60" s="6">
        <v>45918</v>
      </c>
      <c r="B60" t="s">
        <v>34</v>
      </c>
      <c r="C60" t="s">
        <v>35</v>
      </c>
      <c r="D60" s="2">
        <v>3655.2973386419899</v>
      </c>
      <c r="E60" s="2">
        <v>3664.2102825725719</v>
      </c>
      <c r="F60" s="2">
        <v>3636.9762872291271</v>
      </c>
      <c r="G60" s="2">
        <v>3650.345703125</v>
      </c>
      <c r="H60" s="3">
        <v>1270148</v>
      </c>
      <c r="I60" s="4">
        <f t="shared" si="0"/>
        <v>-0.5</v>
      </c>
      <c r="J60" s="2">
        <f t="shared" si="1"/>
        <v>13.86</v>
      </c>
      <c r="K60" s="7">
        <f t="shared" si="2"/>
        <v>45901</v>
      </c>
      <c r="L60" t="str">
        <f t="shared" si="3"/>
        <v>Q3-2025</v>
      </c>
    </row>
    <row r="61" spans="1:12">
      <c r="A61" s="6">
        <v>45918</v>
      </c>
      <c r="B61" t="s">
        <v>36</v>
      </c>
      <c r="C61" t="s">
        <v>37</v>
      </c>
      <c r="D61" s="2">
        <v>1128.1299137341059</v>
      </c>
      <c r="E61" s="2">
        <v>1133.525776512138</v>
      </c>
      <c r="F61" s="2">
        <v>1120.3358761684781</v>
      </c>
      <c r="G61" s="2">
        <v>1132.126831054688</v>
      </c>
      <c r="H61" s="3">
        <v>5713032</v>
      </c>
      <c r="I61" s="4">
        <f t="shared" si="0"/>
        <v>-0.69</v>
      </c>
      <c r="J61" s="2">
        <f t="shared" si="1"/>
        <v>1.4</v>
      </c>
      <c r="K61" s="7">
        <f t="shared" si="2"/>
        <v>45901</v>
      </c>
      <c r="L61" t="str">
        <f t="shared" si="3"/>
        <v>Q3-2025</v>
      </c>
    </row>
    <row r="62" spans="1:12">
      <c r="A62" s="6">
        <v>45919</v>
      </c>
      <c r="B62" t="s">
        <v>8</v>
      </c>
      <c r="C62" t="s">
        <v>9</v>
      </c>
      <c r="D62" s="2">
        <v>1408.388212147388</v>
      </c>
      <c r="E62" s="2">
        <v>1410.478522989142</v>
      </c>
      <c r="F62" s="2">
        <v>1397.1401696768171</v>
      </c>
      <c r="G62" s="2">
        <v>1400.922729492188</v>
      </c>
      <c r="H62" s="3">
        <v>13461373</v>
      </c>
      <c r="I62" s="4">
        <f t="shared" si="0"/>
        <v>-0.8</v>
      </c>
      <c r="J62" s="2">
        <f t="shared" si="1"/>
        <v>9.56</v>
      </c>
      <c r="K62" s="7">
        <f t="shared" si="2"/>
        <v>45901</v>
      </c>
      <c r="L62" t="str">
        <f t="shared" si="3"/>
        <v>Q3-2025</v>
      </c>
    </row>
    <row r="63" spans="1:12">
      <c r="A63" s="6">
        <v>45919</v>
      </c>
      <c r="B63" t="s">
        <v>10</v>
      </c>
      <c r="C63" t="s">
        <v>11</v>
      </c>
      <c r="D63" s="2">
        <v>3043.6495079786728</v>
      </c>
      <c r="E63" s="2">
        <v>3053.7309968852269</v>
      </c>
      <c r="F63" s="2">
        <v>3018.685821162444</v>
      </c>
      <c r="G63" s="2">
        <v>3042.88134765625</v>
      </c>
      <c r="H63" s="3">
        <v>4901694</v>
      </c>
      <c r="I63" s="4">
        <f t="shared" si="0"/>
        <v>-0.82</v>
      </c>
      <c r="J63" s="2">
        <f t="shared" si="1"/>
        <v>10.85</v>
      </c>
      <c r="K63" s="7">
        <f t="shared" si="2"/>
        <v>45901</v>
      </c>
      <c r="L63" t="str">
        <f t="shared" si="3"/>
        <v>Q3-2025</v>
      </c>
    </row>
    <row r="64" spans="1:12">
      <c r="A64" s="6">
        <v>45919</v>
      </c>
      <c r="B64" t="s">
        <v>12</v>
      </c>
      <c r="C64" t="s">
        <v>13</v>
      </c>
      <c r="D64" s="2">
        <v>1489.087592199139</v>
      </c>
      <c r="E64" s="2">
        <v>1495.546867150236</v>
      </c>
      <c r="F64" s="2">
        <v>1465.4681136380059</v>
      </c>
      <c r="G64" s="2">
        <v>1484.845703125</v>
      </c>
      <c r="H64" s="3">
        <v>12988129</v>
      </c>
      <c r="I64" s="4">
        <f t="shared" si="0"/>
        <v>-1.59</v>
      </c>
      <c r="J64" s="2">
        <f t="shared" si="1"/>
        <v>10.7</v>
      </c>
      <c r="K64" s="7">
        <f t="shared" si="2"/>
        <v>45901</v>
      </c>
      <c r="L64" t="str">
        <f t="shared" si="3"/>
        <v>Q3-2025</v>
      </c>
    </row>
    <row r="65" spans="1:12">
      <c r="A65" s="6">
        <v>45919</v>
      </c>
      <c r="B65" t="s">
        <v>14</v>
      </c>
      <c r="C65" t="s">
        <v>15</v>
      </c>
      <c r="D65" s="2">
        <v>959.0380500102757</v>
      </c>
      <c r="E65" s="2">
        <v>960.80875135377869</v>
      </c>
      <c r="F65" s="2">
        <v>946.44626258516064</v>
      </c>
      <c r="G65" s="2">
        <v>951.168212890625</v>
      </c>
      <c r="H65" s="3">
        <v>31243267</v>
      </c>
      <c r="I65" s="4">
        <f t="shared" si="0"/>
        <v>-1.31</v>
      </c>
      <c r="J65" s="2">
        <f t="shared" si="1"/>
        <v>9.64</v>
      </c>
      <c r="K65" s="7">
        <f t="shared" si="2"/>
        <v>45901</v>
      </c>
      <c r="L65" t="str">
        <f t="shared" si="3"/>
        <v>Q3-2025</v>
      </c>
    </row>
    <row r="66" spans="1:12">
      <c r="A66" s="6">
        <v>45919</v>
      </c>
      <c r="B66" t="s">
        <v>16</v>
      </c>
      <c r="C66" t="s">
        <v>17</v>
      </c>
      <c r="D66" s="2">
        <v>1404.2613590690701</v>
      </c>
      <c r="E66" s="2">
        <v>1406.145499251229</v>
      </c>
      <c r="F66" s="2">
        <v>1388.4942590917649</v>
      </c>
      <c r="G66" s="2">
        <v>1390.4775390625</v>
      </c>
      <c r="H66" s="3">
        <v>13457344</v>
      </c>
      <c r="I66" s="4">
        <f t="shared" ref="I66:I129" si="4">ROUND(((F66-D66)/D66)*100, 2)</f>
        <v>-1.1200000000000001</v>
      </c>
      <c r="J66" s="2">
        <f t="shared" ref="J66:J129" si="5">ROUND(E66-G66, 2)</f>
        <v>15.67</v>
      </c>
      <c r="K66" s="7">
        <f t="shared" ref="K66:K129" si="6">DATE(YEAR(A66),MONTH(A66),1)</f>
        <v>45901</v>
      </c>
      <c r="L66" t="str">
        <f t="shared" ref="L66:L129" si="7">"Q"&amp;INT((MONTH(A66)-1)/3)+1&amp;"-"&amp;YEAR(A66)</f>
        <v>Q3-2025</v>
      </c>
    </row>
    <row r="67" spans="1:12">
      <c r="A67" s="6">
        <v>45919</v>
      </c>
      <c r="B67" t="s">
        <v>18</v>
      </c>
      <c r="C67" t="s">
        <v>19</v>
      </c>
      <c r="D67" s="2">
        <v>247.7029224504322</v>
      </c>
      <c r="E67" s="2">
        <v>248.3390502167064</v>
      </c>
      <c r="F67" s="2">
        <v>245.48612292683171</v>
      </c>
      <c r="G67" s="2">
        <v>246.6234436035156</v>
      </c>
      <c r="H67" s="3">
        <v>10741757</v>
      </c>
      <c r="I67" s="4">
        <f t="shared" si="4"/>
        <v>-0.89</v>
      </c>
      <c r="J67" s="2">
        <f t="shared" si="5"/>
        <v>1.72</v>
      </c>
      <c r="K67" s="7">
        <f t="shared" si="6"/>
        <v>45901</v>
      </c>
      <c r="L67" t="str">
        <f t="shared" si="7"/>
        <v>Q3-2025</v>
      </c>
    </row>
    <row r="68" spans="1:12">
      <c r="A68" s="6">
        <v>45919</v>
      </c>
      <c r="B68" t="s">
        <v>20</v>
      </c>
      <c r="C68" t="s">
        <v>21</v>
      </c>
      <c r="D68" s="2">
        <v>1429.080698052655</v>
      </c>
      <c r="E68" s="2">
        <v>1429.080698052655</v>
      </c>
      <c r="F68" s="2">
        <v>1400.571745589634</v>
      </c>
      <c r="G68" s="2">
        <v>1403.824462890625</v>
      </c>
      <c r="H68" s="3">
        <v>3197957</v>
      </c>
      <c r="I68" s="4">
        <f t="shared" si="4"/>
        <v>-1.99</v>
      </c>
      <c r="J68" s="2">
        <f t="shared" si="5"/>
        <v>25.26</v>
      </c>
      <c r="K68" s="7">
        <f t="shared" si="6"/>
        <v>45901</v>
      </c>
      <c r="L68" t="str">
        <f t="shared" si="7"/>
        <v>Q3-2025</v>
      </c>
    </row>
    <row r="69" spans="1:12">
      <c r="A69" s="6">
        <v>45919</v>
      </c>
      <c r="B69" t="s">
        <v>22</v>
      </c>
      <c r="C69" t="s">
        <v>23</v>
      </c>
      <c r="D69" s="2">
        <v>984.94532149189615</v>
      </c>
      <c r="E69" s="2">
        <v>989.9147731644083</v>
      </c>
      <c r="F69" s="2">
        <v>982.55996042418963</v>
      </c>
      <c r="G69" s="2">
        <v>986.386474609375</v>
      </c>
      <c r="H69" s="3">
        <v>6736440</v>
      </c>
      <c r="I69" s="4">
        <f t="shared" si="4"/>
        <v>-0.24</v>
      </c>
      <c r="J69" s="2">
        <f t="shared" si="5"/>
        <v>3.53</v>
      </c>
      <c r="K69" s="7">
        <f t="shared" si="6"/>
        <v>45901</v>
      </c>
      <c r="L69" t="str">
        <f t="shared" si="7"/>
        <v>Q3-2025</v>
      </c>
    </row>
    <row r="70" spans="1:12">
      <c r="A70" s="6">
        <v>45919</v>
      </c>
      <c r="B70" t="s">
        <v>24</v>
      </c>
      <c r="C70" t="s">
        <v>25</v>
      </c>
      <c r="D70" s="2">
        <v>15840.90944906707</v>
      </c>
      <c r="E70" s="2">
        <v>15900.312859501069</v>
      </c>
      <c r="F70" s="2">
        <v>15653.788706199961</v>
      </c>
      <c r="G70" s="2">
        <v>15706.26171875</v>
      </c>
      <c r="H70" s="3">
        <v>652443</v>
      </c>
      <c r="I70" s="4">
        <f t="shared" si="4"/>
        <v>-1.18</v>
      </c>
      <c r="J70" s="2">
        <f t="shared" si="5"/>
        <v>194.05</v>
      </c>
      <c r="K70" s="7">
        <f t="shared" si="6"/>
        <v>45901</v>
      </c>
      <c r="L70" t="str">
        <f t="shared" si="7"/>
        <v>Q3-2025</v>
      </c>
    </row>
    <row r="71" spans="1:12">
      <c r="A71" s="6">
        <v>45919</v>
      </c>
      <c r="B71" t="s">
        <v>26</v>
      </c>
      <c r="C71" t="s">
        <v>27</v>
      </c>
      <c r="D71" s="2">
        <v>707.62997477064039</v>
      </c>
      <c r="E71" s="2">
        <v>707.62997477064039</v>
      </c>
      <c r="F71" s="2">
        <v>699.15032845497433</v>
      </c>
      <c r="G71" s="2">
        <v>701.6297607421875</v>
      </c>
      <c r="H71" s="3">
        <v>12127319</v>
      </c>
      <c r="I71" s="4">
        <f t="shared" si="4"/>
        <v>-1.2</v>
      </c>
      <c r="J71" s="2">
        <f t="shared" si="5"/>
        <v>6</v>
      </c>
      <c r="K71" s="7">
        <f t="shared" si="6"/>
        <v>45901</v>
      </c>
      <c r="L71" t="str">
        <f t="shared" si="7"/>
        <v>Q3-2025</v>
      </c>
    </row>
    <row r="72" spans="1:12">
      <c r="A72" s="6">
        <v>45919</v>
      </c>
      <c r="B72" t="s">
        <v>28</v>
      </c>
      <c r="C72" t="s">
        <v>29</v>
      </c>
      <c r="D72" s="2">
        <v>1633.678549651192</v>
      </c>
      <c r="E72" s="2">
        <v>1653.0020557715141</v>
      </c>
      <c r="F72" s="2">
        <v>1628.2283299762289</v>
      </c>
      <c r="G72" s="2">
        <v>1641.011596679688</v>
      </c>
      <c r="H72" s="3">
        <v>3191406</v>
      </c>
      <c r="I72" s="4">
        <f t="shared" si="4"/>
        <v>-0.33</v>
      </c>
      <c r="J72" s="2">
        <f t="shared" si="5"/>
        <v>11.99</v>
      </c>
      <c r="K72" s="7">
        <f t="shared" si="6"/>
        <v>45901</v>
      </c>
      <c r="L72" t="str">
        <f t="shared" si="7"/>
        <v>Q3-2025</v>
      </c>
    </row>
    <row r="73" spans="1:12">
      <c r="A73" s="6">
        <v>45919</v>
      </c>
      <c r="B73" t="s">
        <v>30</v>
      </c>
      <c r="C73" t="s">
        <v>31</v>
      </c>
      <c r="D73" s="2">
        <v>2449.8882911759451</v>
      </c>
      <c r="E73" s="2">
        <v>2484.0382491741552</v>
      </c>
      <c r="F73" s="2">
        <v>2443.4542411183111</v>
      </c>
      <c r="G73" s="2">
        <v>2456.520263671875</v>
      </c>
      <c r="H73" s="3">
        <v>3731525</v>
      </c>
      <c r="I73" s="4">
        <f t="shared" si="4"/>
        <v>-0.26</v>
      </c>
      <c r="J73" s="2">
        <f t="shared" si="5"/>
        <v>27.52</v>
      </c>
      <c r="K73" s="7">
        <f t="shared" si="6"/>
        <v>45901</v>
      </c>
      <c r="L73" t="str">
        <f t="shared" si="7"/>
        <v>Q3-2025</v>
      </c>
    </row>
    <row r="74" spans="1:12">
      <c r="A74" s="6">
        <v>45919</v>
      </c>
      <c r="B74" t="s">
        <v>32</v>
      </c>
      <c r="C74" t="s">
        <v>33</v>
      </c>
      <c r="D74" s="2">
        <v>2553.7451395548428</v>
      </c>
      <c r="E74" s="2">
        <v>2558.3614770399658</v>
      </c>
      <c r="F74" s="2">
        <v>2509.3493104728082</v>
      </c>
      <c r="G74" s="2">
        <v>2514.06396484375</v>
      </c>
      <c r="H74" s="3">
        <v>2214708</v>
      </c>
      <c r="I74" s="4">
        <f t="shared" si="4"/>
        <v>-1.74</v>
      </c>
      <c r="J74" s="2">
        <f t="shared" si="5"/>
        <v>44.3</v>
      </c>
      <c r="K74" s="7">
        <f t="shared" si="6"/>
        <v>45901</v>
      </c>
      <c r="L74" t="str">
        <f t="shared" si="7"/>
        <v>Q3-2025</v>
      </c>
    </row>
    <row r="75" spans="1:12">
      <c r="A75" s="6">
        <v>45919</v>
      </c>
      <c r="B75" t="s">
        <v>34</v>
      </c>
      <c r="C75" t="s">
        <v>35</v>
      </c>
      <c r="D75" s="2">
        <v>3643.4134188204171</v>
      </c>
      <c r="E75" s="2">
        <v>3669.161923547063</v>
      </c>
      <c r="F75" s="2">
        <v>3635.4908019814488</v>
      </c>
      <c r="G75" s="2">
        <v>3639.84814453125</v>
      </c>
      <c r="H75" s="3">
        <v>2227521</v>
      </c>
      <c r="I75" s="4">
        <f t="shared" si="4"/>
        <v>-0.22</v>
      </c>
      <c r="J75" s="2">
        <f t="shared" si="5"/>
        <v>29.31</v>
      </c>
      <c r="K75" s="7">
        <f t="shared" si="6"/>
        <v>45901</v>
      </c>
      <c r="L75" t="str">
        <f t="shared" si="7"/>
        <v>Q3-2025</v>
      </c>
    </row>
    <row r="76" spans="1:12">
      <c r="A76" s="6">
        <v>45919</v>
      </c>
      <c r="B76" t="s">
        <v>36</v>
      </c>
      <c r="C76" t="s">
        <v>37</v>
      </c>
      <c r="D76" s="2">
        <v>1132.126868654216</v>
      </c>
      <c r="E76" s="2">
        <v>1143.2182901919441</v>
      </c>
      <c r="F76" s="2">
        <v>1125.7317763336489</v>
      </c>
      <c r="G76" s="2">
        <v>1135.024658203125</v>
      </c>
      <c r="H76" s="3">
        <v>8910732</v>
      </c>
      <c r="I76" s="4">
        <f t="shared" si="4"/>
        <v>-0.56000000000000005</v>
      </c>
      <c r="J76" s="2">
        <f t="shared" si="5"/>
        <v>8.19</v>
      </c>
      <c r="K76" s="7">
        <f t="shared" si="6"/>
        <v>45901</v>
      </c>
      <c r="L76" t="str">
        <f t="shared" si="7"/>
        <v>Q3-2025</v>
      </c>
    </row>
    <row r="77" spans="1:12">
      <c r="A77" s="6">
        <v>45922</v>
      </c>
      <c r="B77" t="s">
        <v>8</v>
      </c>
      <c r="C77" t="s">
        <v>9</v>
      </c>
      <c r="D77" s="2">
        <v>1397.4387885526371</v>
      </c>
      <c r="E77" s="2">
        <v>1404.2074196840811</v>
      </c>
      <c r="F77" s="2">
        <v>1381.6119415772489</v>
      </c>
      <c r="G77" s="2">
        <v>1384.199951171875</v>
      </c>
      <c r="H77" s="3">
        <v>7757970</v>
      </c>
      <c r="I77" s="4">
        <f t="shared" si="4"/>
        <v>-1.1299999999999999</v>
      </c>
      <c r="J77" s="2">
        <f t="shared" si="5"/>
        <v>20.010000000000002</v>
      </c>
      <c r="K77" s="7">
        <f t="shared" si="6"/>
        <v>45901</v>
      </c>
      <c r="L77" t="str">
        <f t="shared" si="7"/>
        <v>Q3-2025</v>
      </c>
    </row>
    <row r="78" spans="1:12">
      <c r="A78" s="6">
        <v>45922</v>
      </c>
      <c r="B78" t="s">
        <v>10</v>
      </c>
      <c r="C78" t="s">
        <v>11</v>
      </c>
      <c r="D78" s="2">
        <v>2971.6388949892721</v>
      </c>
      <c r="E78" s="2">
        <v>2983.0644887376602</v>
      </c>
      <c r="F78" s="2">
        <v>2942.8346407567419</v>
      </c>
      <c r="G78" s="2">
        <v>2951.283935546875</v>
      </c>
      <c r="H78" s="3">
        <v>3634901</v>
      </c>
      <c r="I78" s="4">
        <f t="shared" si="4"/>
        <v>-0.97</v>
      </c>
      <c r="J78" s="2">
        <f t="shared" si="5"/>
        <v>31.78</v>
      </c>
      <c r="K78" s="7">
        <f t="shared" si="6"/>
        <v>45901</v>
      </c>
      <c r="L78" t="str">
        <f t="shared" si="7"/>
        <v>Q3-2025</v>
      </c>
    </row>
    <row r="79" spans="1:12">
      <c r="A79" s="6">
        <v>45922</v>
      </c>
      <c r="B79" t="s">
        <v>12</v>
      </c>
      <c r="C79" t="s">
        <v>13</v>
      </c>
      <c r="D79" s="2">
        <v>1429.412138564144</v>
      </c>
      <c r="E79" s="2">
        <v>1460.2620677071909</v>
      </c>
      <c r="F79" s="2">
        <v>1428.737343437396</v>
      </c>
      <c r="G79" s="2">
        <v>1445.6083984375</v>
      </c>
      <c r="H79" s="3">
        <v>15655204</v>
      </c>
      <c r="I79" s="4">
        <f t="shared" si="4"/>
        <v>-0.05</v>
      </c>
      <c r="J79" s="2">
        <f t="shared" si="5"/>
        <v>14.65</v>
      </c>
      <c r="K79" s="7">
        <f t="shared" si="6"/>
        <v>45901</v>
      </c>
      <c r="L79" t="str">
        <f t="shared" si="7"/>
        <v>Q3-2025</v>
      </c>
    </row>
    <row r="80" spans="1:12">
      <c r="A80" s="6">
        <v>45922</v>
      </c>
      <c r="B80" t="s">
        <v>14</v>
      </c>
      <c r="C80" t="s">
        <v>15</v>
      </c>
      <c r="D80" s="2">
        <v>948.31538805654304</v>
      </c>
      <c r="E80" s="2">
        <v>955.39825358571591</v>
      </c>
      <c r="F80" s="2">
        <v>946.29875427085801</v>
      </c>
      <c r="G80" s="2">
        <v>948.51214599609375</v>
      </c>
      <c r="H80" s="3">
        <v>10854415</v>
      </c>
      <c r="I80" s="4">
        <f t="shared" si="4"/>
        <v>-0.21</v>
      </c>
      <c r="J80" s="2">
        <f t="shared" si="5"/>
        <v>6.89</v>
      </c>
      <c r="K80" s="7">
        <f t="shared" si="6"/>
        <v>45901</v>
      </c>
      <c r="L80" t="str">
        <f t="shared" si="7"/>
        <v>Q3-2025</v>
      </c>
    </row>
    <row r="81" spans="1:12">
      <c r="A81" s="6">
        <v>45922</v>
      </c>
      <c r="B81" t="s">
        <v>16</v>
      </c>
      <c r="C81" t="s">
        <v>17</v>
      </c>
      <c r="D81" s="2">
        <v>1392.163407453779</v>
      </c>
      <c r="E81" s="2">
        <v>1398.1132473992609</v>
      </c>
      <c r="F81" s="2">
        <v>1385.519346884774</v>
      </c>
      <c r="G81" s="2">
        <v>1389.783447265625</v>
      </c>
      <c r="H81" s="3">
        <v>8847948</v>
      </c>
      <c r="I81" s="4">
        <f t="shared" si="4"/>
        <v>-0.48</v>
      </c>
      <c r="J81" s="2">
        <f t="shared" si="5"/>
        <v>8.33</v>
      </c>
      <c r="K81" s="7">
        <f t="shared" si="6"/>
        <v>45901</v>
      </c>
      <c r="L81" t="str">
        <f t="shared" si="7"/>
        <v>Q3-2025</v>
      </c>
    </row>
    <row r="82" spans="1:12">
      <c r="A82" s="6">
        <v>45922</v>
      </c>
      <c r="B82" t="s">
        <v>18</v>
      </c>
      <c r="C82" t="s">
        <v>19</v>
      </c>
      <c r="D82" s="2">
        <v>239.55860907387711</v>
      </c>
      <c r="E82" s="2">
        <v>242.67175843739849</v>
      </c>
      <c r="F82" s="2">
        <v>238.26708762979041</v>
      </c>
      <c r="G82" s="2">
        <v>241.27421569824219</v>
      </c>
      <c r="H82" s="3">
        <v>15784007</v>
      </c>
      <c r="I82" s="4">
        <f t="shared" si="4"/>
        <v>-0.54</v>
      </c>
      <c r="J82" s="2">
        <f t="shared" si="5"/>
        <v>1.4</v>
      </c>
      <c r="K82" s="7">
        <f t="shared" si="6"/>
        <v>45901</v>
      </c>
      <c r="L82" t="str">
        <f t="shared" si="7"/>
        <v>Q3-2025</v>
      </c>
    </row>
    <row r="83" spans="1:12">
      <c r="A83" s="6">
        <v>45922</v>
      </c>
      <c r="B83" t="s">
        <v>20</v>
      </c>
      <c r="C83" t="s">
        <v>21</v>
      </c>
      <c r="D83" s="2">
        <v>1361.3480439968559</v>
      </c>
      <c r="E83" s="2">
        <v>1386.4128734280901</v>
      </c>
      <c r="F83" s="2">
        <v>1353.69464670102</v>
      </c>
      <c r="G83" s="2">
        <v>1377.515869140625</v>
      </c>
      <c r="H83" s="3">
        <v>4457129</v>
      </c>
      <c r="I83" s="4">
        <f t="shared" si="4"/>
        <v>-0.56000000000000005</v>
      </c>
      <c r="J83" s="2">
        <f t="shared" si="5"/>
        <v>8.9</v>
      </c>
      <c r="K83" s="7">
        <f t="shared" si="6"/>
        <v>45901</v>
      </c>
      <c r="L83" t="str">
        <f t="shared" si="7"/>
        <v>Q3-2025</v>
      </c>
    </row>
    <row r="84" spans="1:12">
      <c r="A84" s="6">
        <v>45922</v>
      </c>
      <c r="B84" t="s">
        <v>22</v>
      </c>
      <c r="C84" t="s">
        <v>23</v>
      </c>
      <c r="D84" s="2">
        <v>983.90177365314719</v>
      </c>
      <c r="E84" s="2">
        <v>1004.723788819952</v>
      </c>
      <c r="F84" s="2">
        <v>982.95756567904323</v>
      </c>
      <c r="G84" s="2">
        <v>1000.350646972656</v>
      </c>
      <c r="H84" s="3">
        <v>4250045</v>
      </c>
      <c r="I84" s="4">
        <f t="shared" si="4"/>
        <v>-0.1</v>
      </c>
      <c r="J84" s="2">
        <f t="shared" si="5"/>
        <v>4.37</v>
      </c>
      <c r="K84" s="7">
        <f t="shared" si="6"/>
        <v>45901</v>
      </c>
      <c r="L84" t="str">
        <f t="shared" si="7"/>
        <v>Q3-2025</v>
      </c>
    </row>
    <row r="85" spans="1:12">
      <c r="A85" s="6">
        <v>45922</v>
      </c>
      <c r="B85" t="s">
        <v>24</v>
      </c>
      <c r="C85" t="s">
        <v>25</v>
      </c>
      <c r="D85" s="2">
        <v>15721.11185938093</v>
      </c>
      <c r="E85" s="2">
        <v>15840.90873166414</v>
      </c>
      <c r="F85" s="2">
        <v>15622.10617980803</v>
      </c>
      <c r="G85" s="2">
        <v>15658.73828125</v>
      </c>
      <c r="H85" s="3">
        <v>302234</v>
      </c>
      <c r="I85" s="4">
        <f t="shared" si="4"/>
        <v>-0.63</v>
      </c>
      <c r="J85" s="2">
        <f t="shared" si="5"/>
        <v>182.17</v>
      </c>
      <c r="K85" s="7">
        <f t="shared" si="6"/>
        <v>45901</v>
      </c>
      <c r="L85" t="str">
        <f t="shared" si="7"/>
        <v>Q3-2025</v>
      </c>
    </row>
    <row r="86" spans="1:12">
      <c r="A86" s="6">
        <v>45922</v>
      </c>
      <c r="B86" t="s">
        <v>26</v>
      </c>
      <c r="C86" t="s">
        <v>27</v>
      </c>
      <c r="D86" s="2">
        <v>703.1670166453938</v>
      </c>
      <c r="E86" s="2">
        <v>706.14233547464096</v>
      </c>
      <c r="F86" s="2">
        <v>689.1334052875718</v>
      </c>
      <c r="G86" s="2">
        <v>690.52191162109375</v>
      </c>
      <c r="H86" s="3">
        <v>9688597</v>
      </c>
      <c r="I86" s="4">
        <f t="shared" si="4"/>
        <v>-2</v>
      </c>
      <c r="J86" s="2">
        <f t="shared" si="5"/>
        <v>15.62</v>
      </c>
      <c r="K86" s="7">
        <f t="shared" si="6"/>
        <v>45901</v>
      </c>
      <c r="L86" t="str">
        <f t="shared" si="7"/>
        <v>Q3-2025</v>
      </c>
    </row>
    <row r="87" spans="1:12">
      <c r="A87" s="6">
        <v>45922</v>
      </c>
      <c r="B87" t="s">
        <v>28</v>
      </c>
      <c r="C87" t="s">
        <v>29</v>
      </c>
      <c r="D87" s="2">
        <v>1635.0659335616731</v>
      </c>
      <c r="E87" s="2">
        <v>1642.894455254848</v>
      </c>
      <c r="F87" s="2">
        <v>1620.499030903399</v>
      </c>
      <c r="G87" s="2">
        <v>1629.120239257812</v>
      </c>
      <c r="H87" s="3">
        <v>1785320</v>
      </c>
      <c r="I87" s="4">
        <f t="shared" si="4"/>
        <v>-0.89</v>
      </c>
      <c r="J87" s="2">
        <f t="shared" si="5"/>
        <v>13.77</v>
      </c>
      <c r="K87" s="7">
        <f t="shared" si="6"/>
        <v>45901</v>
      </c>
      <c r="L87" t="str">
        <f t="shared" si="7"/>
        <v>Q3-2025</v>
      </c>
    </row>
    <row r="88" spans="1:12">
      <c r="A88" s="6">
        <v>45922</v>
      </c>
      <c r="B88" t="s">
        <v>30</v>
      </c>
      <c r="C88" t="s">
        <v>31</v>
      </c>
      <c r="D88" s="2">
        <v>2468.7942429544828</v>
      </c>
      <c r="E88" s="2">
        <v>2477.603844337264</v>
      </c>
      <c r="F88" s="2">
        <v>2448.997168688903</v>
      </c>
      <c r="G88" s="2">
        <v>2457.509765625</v>
      </c>
      <c r="H88" s="3">
        <v>872806</v>
      </c>
      <c r="I88" s="4">
        <f t="shared" si="4"/>
        <v>-0.8</v>
      </c>
      <c r="J88" s="2">
        <f t="shared" si="5"/>
        <v>20.09</v>
      </c>
      <c r="K88" s="7">
        <f t="shared" si="6"/>
        <v>45901</v>
      </c>
      <c r="L88" t="str">
        <f t="shared" si="7"/>
        <v>Q3-2025</v>
      </c>
    </row>
    <row r="89" spans="1:12">
      <c r="A89" s="6">
        <v>45922</v>
      </c>
      <c r="B89" t="s">
        <v>32</v>
      </c>
      <c r="C89" t="s">
        <v>33</v>
      </c>
      <c r="D89" s="2">
        <v>2523.2969180781101</v>
      </c>
      <c r="E89" s="2">
        <v>2541.1730880668852</v>
      </c>
      <c r="F89" s="2">
        <v>2514.6534240777419</v>
      </c>
      <c r="G89" s="2">
        <v>2526.43994140625</v>
      </c>
      <c r="H89" s="3">
        <v>1174161</v>
      </c>
      <c r="I89" s="4">
        <f t="shared" si="4"/>
        <v>-0.34</v>
      </c>
      <c r="J89" s="2">
        <f t="shared" si="5"/>
        <v>14.73</v>
      </c>
      <c r="K89" s="7">
        <f t="shared" si="6"/>
        <v>45901</v>
      </c>
      <c r="L89" t="str">
        <f t="shared" si="7"/>
        <v>Q3-2025</v>
      </c>
    </row>
    <row r="90" spans="1:12">
      <c r="A90" s="6">
        <v>45922</v>
      </c>
      <c r="B90" t="s">
        <v>34</v>
      </c>
      <c r="C90" t="s">
        <v>35</v>
      </c>
      <c r="D90" s="2">
        <v>3657.8722270192852</v>
      </c>
      <c r="E90" s="2">
        <v>3657.8722270192852</v>
      </c>
      <c r="F90" s="2">
        <v>3598.7495064736072</v>
      </c>
      <c r="G90" s="2">
        <v>3609.2470703125</v>
      </c>
      <c r="H90" s="3">
        <v>839430</v>
      </c>
      <c r="I90" s="4">
        <f t="shared" si="4"/>
        <v>-1.62</v>
      </c>
      <c r="J90" s="2">
        <f t="shared" si="5"/>
        <v>48.63</v>
      </c>
      <c r="K90" s="7">
        <f t="shared" si="6"/>
        <v>45901</v>
      </c>
      <c r="L90" t="str">
        <f t="shared" si="7"/>
        <v>Q3-2025</v>
      </c>
    </row>
    <row r="91" spans="1:12">
      <c r="A91" s="6">
        <v>45922</v>
      </c>
      <c r="B91" t="s">
        <v>36</v>
      </c>
      <c r="C91" t="s">
        <v>37</v>
      </c>
      <c r="D91" s="2">
        <v>1135.124515662792</v>
      </c>
      <c r="E91" s="2">
        <v>1146.7155514626929</v>
      </c>
      <c r="F91" s="2">
        <v>1130.3281661018909</v>
      </c>
      <c r="G91" s="2">
        <v>1143.51806640625</v>
      </c>
      <c r="H91" s="3">
        <v>7689900</v>
      </c>
      <c r="I91" s="4">
        <f t="shared" si="4"/>
        <v>-0.42</v>
      </c>
      <c r="J91" s="2">
        <f t="shared" si="5"/>
        <v>3.2</v>
      </c>
      <c r="K91" s="7">
        <f t="shared" si="6"/>
        <v>45901</v>
      </c>
      <c r="L91" t="str">
        <f t="shared" si="7"/>
        <v>Q3-2025</v>
      </c>
    </row>
    <row r="92" spans="1:12">
      <c r="A92" s="6">
        <v>45923</v>
      </c>
      <c r="B92" t="s">
        <v>8</v>
      </c>
      <c r="C92" t="s">
        <v>9</v>
      </c>
      <c r="D92" s="2">
        <v>1384.5982372618871</v>
      </c>
      <c r="E92" s="2">
        <v>1388.579828167025</v>
      </c>
      <c r="F92" s="2">
        <v>1370.46363815205</v>
      </c>
      <c r="G92" s="2">
        <v>1383.40380859375</v>
      </c>
      <c r="H92" s="3">
        <v>14014702</v>
      </c>
      <c r="I92" s="4">
        <f t="shared" si="4"/>
        <v>-1.02</v>
      </c>
      <c r="J92" s="2">
        <f t="shared" si="5"/>
        <v>5.18</v>
      </c>
      <c r="K92" s="7">
        <f t="shared" si="6"/>
        <v>45901</v>
      </c>
      <c r="L92" t="str">
        <f t="shared" si="7"/>
        <v>Q3-2025</v>
      </c>
    </row>
    <row r="93" spans="1:12">
      <c r="A93" s="6">
        <v>45923</v>
      </c>
      <c r="B93" t="s">
        <v>10</v>
      </c>
      <c r="C93" t="s">
        <v>11</v>
      </c>
      <c r="D93" s="2">
        <v>2947.6355509068781</v>
      </c>
      <c r="E93" s="2">
        <v>2957.9090220688281</v>
      </c>
      <c r="F93" s="2">
        <v>2930.3529971882049</v>
      </c>
      <c r="G93" s="2">
        <v>2940.33837890625</v>
      </c>
      <c r="H93" s="3">
        <v>3177741</v>
      </c>
      <c r="I93" s="4">
        <f t="shared" si="4"/>
        <v>-0.59</v>
      </c>
      <c r="J93" s="2">
        <f t="shared" si="5"/>
        <v>17.57</v>
      </c>
      <c r="K93" s="7">
        <f t="shared" si="6"/>
        <v>45901</v>
      </c>
      <c r="L93" t="str">
        <f t="shared" si="7"/>
        <v>Q3-2025</v>
      </c>
    </row>
    <row r="94" spans="1:12">
      <c r="A94" s="6">
        <v>45923</v>
      </c>
      <c r="B94" t="s">
        <v>12</v>
      </c>
      <c r="C94" t="s">
        <v>13</v>
      </c>
      <c r="D94" s="2">
        <v>1439.342026505765</v>
      </c>
      <c r="E94" s="2">
        <v>1458.623232487088</v>
      </c>
      <c r="F94" s="2">
        <v>1439.342026505765</v>
      </c>
      <c r="G94" s="2">
        <v>1443.680297851562</v>
      </c>
      <c r="H94" s="3">
        <v>9832164</v>
      </c>
      <c r="I94" s="4">
        <f t="shared" si="4"/>
        <v>0</v>
      </c>
      <c r="J94" s="2">
        <f t="shared" si="5"/>
        <v>14.94</v>
      </c>
      <c r="K94" s="7">
        <f t="shared" si="6"/>
        <v>45901</v>
      </c>
      <c r="L94" t="str">
        <f t="shared" si="7"/>
        <v>Q3-2025</v>
      </c>
    </row>
    <row r="95" spans="1:12">
      <c r="A95" s="6">
        <v>45923</v>
      </c>
      <c r="B95" t="s">
        <v>14</v>
      </c>
      <c r="C95" t="s">
        <v>15</v>
      </c>
      <c r="D95" s="2">
        <v>951.26657620642789</v>
      </c>
      <c r="E95" s="2">
        <v>952.44706380062496</v>
      </c>
      <c r="F95" s="2">
        <v>939.95368517605152</v>
      </c>
      <c r="G95" s="2">
        <v>941.62603759765625</v>
      </c>
      <c r="H95" s="3">
        <v>21022298</v>
      </c>
      <c r="I95" s="4">
        <f t="shared" si="4"/>
        <v>-1.19</v>
      </c>
      <c r="J95" s="2">
        <f t="shared" si="5"/>
        <v>10.82</v>
      </c>
      <c r="K95" s="7">
        <f t="shared" si="6"/>
        <v>45901</v>
      </c>
      <c r="L95" t="str">
        <f t="shared" si="7"/>
        <v>Q3-2025</v>
      </c>
    </row>
    <row r="96" spans="1:12">
      <c r="A96" s="6">
        <v>45923</v>
      </c>
      <c r="B96" t="s">
        <v>16</v>
      </c>
      <c r="C96" t="s">
        <v>17</v>
      </c>
      <c r="D96" s="2">
        <v>1379.371216393894</v>
      </c>
      <c r="E96" s="2">
        <v>1391.5684366050771</v>
      </c>
      <c r="F96" s="2">
        <v>1379.371216393894</v>
      </c>
      <c r="G96" s="2">
        <v>1382.643676757812</v>
      </c>
      <c r="H96" s="3">
        <v>12827524</v>
      </c>
      <c r="I96" s="4">
        <f t="shared" si="4"/>
        <v>0</v>
      </c>
      <c r="J96" s="2">
        <f t="shared" si="5"/>
        <v>8.92</v>
      </c>
      <c r="K96" s="7">
        <f t="shared" si="6"/>
        <v>45901</v>
      </c>
      <c r="L96" t="str">
        <f t="shared" si="7"/>
        <v>Q3-2025</v>
      </c>
    </row>
    <row r="97" spans="1:12">
      <c r="A97" s="6">
        <v>45923</v>
      </c>
      <c r="B97" t="s">
        <v>18</v>
      </c>
      <c r="C97" t="s">
        <v>19</v>
      </c>
      <c r="D97" s="2">
        <v>241.16820134485931</v>
      </c>
      <c r="E97" s="2">
        <v>242.88380801860569</v>
      </c>
      <c r="F97" s="2">
        <v>239.75137795487359</v>
      </c>
      <c r="G97" s="2">
        <v>240.59954833984381</v>
      </c>
      <c r="H97" s="3">
        <v>8674114</v>
      </c>
      <c r="I97" s="4">
        <f t="shared" si="4"/>
        <v>-0.59</v>
      </c>
      <c r="J97" s="2">
        <f t="shared" si="5"/>
        <v>2.2799999999999998</v>
      </c>
      <c r="K97" s="7">
        <f t="shared" si="6"/>
        <v>45901</v>
      </c>
      <c r="L97" t="str">
        <f t="shared" si="7"/>
        <v>Q3-2025</v>
      </c>
    </row>
    <row r="98" spans="1:12">
      <c r="A98" s="6">
        <v>45923</v>
      </c>
      <c r="B98" t="s">
        <v>20</v>
      </c>
      <c r="C98" t="s">
        <v>21</v>
      </c>
      <c r="D98" s="2">
        <v>1381.6296610067529</v>
      </c>
      <c r="E98" s="2">
        <v>1381.6296610067529</v>
      </c>
      <c r="F98" s="2">
        <v>1358.860871469197</v>
      </c>
      <c r="G98" s="2">
        <v>1367.853637695312</v>
      </c>
      <c r="H98" s="3">
        <v>3106480</v>
      </c>
      <c r="I98" s="4">
        <f t="shared" si="4"/>
        <v>-1.65</v>
      </c>
      <c r="J98" s="2">
        <f t="shared" si="5"/>
        <v>13.78</v>
      </c>
      <c r="K98" s="7">
        <f t="shared" si="6"/>
        <v>45901</v>
      </c>
      <c r="L98" t="str">
        <f t="shared" si="7"/>
        <v>Q3-2025</v>
      </c>
    </row>
    <row r="99" spans="1:12">
      <c r="A99" s="6">
        <v>45923</v>
      </c>
      <c r="B99" t="s">
        <v>22</v>
      </c>
      <c r="C99" t="s">
        <v>23</v>
      </c>
      <c r="D99" s="2">
        <v>992.89646372244113</v>
      </c>
      <c r="E99" s="2">
        <v>1022.514444803724</v>
      </c>
      <c r="F99" s="2">
        <v>992.89646372244113</v>
      </c>
      <c r="G99" s="2">
        <v>1019.234558105469</v>
      </c>
      <c r="H99" s="3">
        <v>10230040</v>
      </c>
      <c r="I99" s="4">
        <f t="shared" si="4"/>
        <v>0</v>
      </c>
      <c r="J99" s="2">
        <f t="shared" si="5"/>
        <v>3.28</v>
      </c>
      <c r="K99" s="7">
        <f t="shared" si="6"/>
        <v>45901</v>
      </c>
      <c r="L99" t="str">
        <f t="shared" si="7"/>
        <v>Q3-2025</v>
      </c>
    </row>
    <row r="100" spans="1:12">
      <c r="A100" s="6">
        <v>45923</v>
      </c>
      <c r="B100" t="s">
        <v>24</v>
      </c>
      <c r="C100" t="s">
        <v>25</v>
      </c>
      <c r="D100" s="2">
        <v>15959.715642375129</v>
      </c>
      <c r="E100" s="2">
        <v>16162.67728671055</v>
      </c>
      <c r="F100" s="2">
        <v>15871.60058702951</v>
      </c>
      <c r="G100" s="2">
        <v>15936.9443359375</v>
      </c>
      <c r="H100" s="3">
        <v>873114</v>
      </c>
      <c r="I100" s="4">
        <f t="shared" si="4"/>
        <v>-0.55000000000000004</v>
      </c>
      <c r="J100" s="2">
        <f t="shared" si="5"/>
        <v>225.73</v>
      </c>
      <c r="K100" s="7">
        <f t="shared" si="6"/>
        <v>45901</v>
      </c>
      <c r="L100" t="str">
        <f t="shared" si="7"/>
        <v>Q3-2025</v>
      </c>
    </row>
    <row r="101" spans="1:12">
      <c r="A101" s="6">
        <v>45923</v>
      </c>
      <c r="B101" t="s">
        <v>26</v>
      </c>
      <c r="C101" t="s">
        <v>27</v>
      </c>
      <c r="D101" s="2">
        <v>696.02626600276915</v>
      </c>
      <c r="E101" s="2">
        <v>701.97690388914168</v>
      </c>
      <c r="F101" s="2">
        <v>691.26576780027494</v>
      </c>
      <c r="G101" s="2">
        <v>695.5799560546875</v>
      </c>
      <c r="H101" s="3">
        <v>11904667</v>
      </c>
      <c r="I101" s="4">
        <f t="shared" si="4"/>
        <v>-0.68</v>
      </c>
      <c r="J101" s="2">
        <f t="shared" si="5"/>
        <v>6.4</v>
      </c>
      <c r="K101" s="7">
        <f t="shared" si="6"/>
        <v>45901</v>
      </c>
      <c r="L101" t="str">
        <f t="shared" si="7"/>
        <v>Q3-2025</v>
      </c>
    </row>
    <row r="102" spans="1:12">
      <c r="A102" s="6">
        <v>45923</v>
      </c>
      <c r="B102" t="s">
        <v>28</v>
      </c>
      <c r="C102" t="s">
        <v>29</v>
      </c>
      <c r="D102" s="2">
        <v>1628.3274237060959</v>
      </c>
      <c r="E102" s="2">
        <v>1629.1202313289371</v>
      </c>
      <c r="F102" s="2">
        <v>1610.3912701698371</v>
      </c>
      <c r="G102" s="2">
        <v>1616.43603515625</v>
      </c>
      <c r="H102" s="3">
        <v>1967731</v>
      </c>
      <c r="I102" s="4">
        <f t="shared" si="4"/>
        <v>-1.1000000000000001</v>
      </c>
      <c r="J102" s="2">
        <f t="shared" si="5"/>
        <v>12.68</v>
      </c>
      <c r="K102" s="7">
        <f t="shared" si="6"/>
        <v>45901</v>
      </c>
      <c r="L102" t="str">
        <f t="shared" si="7"/>
        <v>Q3-2025</v>
      </c>
    </row>
    <row r="103" spans="1:12">
      <c r="A103" s="6">
        <v>45923</v>
      </c>
      <c r="B103" t="s">
        <v>30</v>
      </c>
      <c r="C103" t="s">
        <v>31</v>
      </c>
      <c r="D103" s="2">
        <v>2447.0177520572511</v>
      </c>
      <c r="E103" s="2">
        <v>2458.5989935461871</v>
      </c>
      <c r="F103" s="2">
        <v>2403.36510144872</v>
      </c>
      <c r="G103" s="2">
        <v>2422.0732421875</v>
      </c>
      <c r="H103" s="3">
        <v>1332111</v>
      </c>
      <c r="I103" s="4">
        <f t="shared" si="4"/>
        <v>-1.78</v>
      </c>
      <c r="J103" s="2">
        <f t="shared" si="5"/>
        <v>36.53</v>
      </c>
      <c r="K103" s="7">
        <f t="shared" si="6"/>
        <v>45901</v>
      </c>
      <c r="L103" t="str">
        <f t="shared" si="7"/>
        <v>Q3-2025</v>
      </c>
    </row>
    <row r="104" spans="1:12">
      <c r="A104" s="6">
        <v>45923</v>
      </c>
      <c r="B104" t="s">
        <v>32</v>
      </c>
      <c r="C104" t="s">
        <v>33</v>
      </c>
      <c r="D104" s="2">
        <v>2523.1984923690088</v>
      </c>
      <c r="E104" s="2">
        <v>2529.484778551504</v>
      </c>
      <c r="F104" s="2">
        <v>2473.4005067630528</v>
      </c>
      <c r="G104" s="2">
        <v>2477.329345703125</v>
      </c>
      <c r="H104" s="3">
        <v>1430474</v>
      </c>
      <c r="I104" s="4">
        <f t="shared" si="4"/>
        <v>-1.97</v>
      </c>
      <c r="J104" s="2">
        <f t="shared" si="5"/>
        <v>52.16</v>
      </c>
      <c r="K104" s="7">
        <f t="shared" si="6"/>
        <v>45901</v>
      </c>
      <c r="L104" t="str">
        <f t="shared" si="7"/>
        <v>Q3-2025</v>
      </c>
    </row>
    <row r="105" spans="1:12">
      <c r="A105" s="6">
        <v>45923</v>
      </c>
      <c r="B105" t="s">
        <v>34</v>
      </c>
      <c r="C105" t="s">
        <v>35</v>
      </c>
      <c r="D105" s="2">
        <v>3611.6237657042921</v>
      </c>
      <c r="E105" s="2">
        <v>3637.966562994568</v>
      </c>
      <c r="F105" s="2">
        <v>3578.2497911465589</v>
      </c>
      <c r="G105" s="2">
        <v>3622.220458984375</v>
      </c>
      <c r="H105" s="3">
        <v>1262120</v>
      </c>
      <c r="I105" s="4">
        <f t="shared" si="4"/>
        <v>-0.92</v>
      </c>
      <c r="J105" s="2">
        <f t="shared" si="5"/>
        <v>15.75</v>
      </c>
      <c r="K105" s="7">
        <f t="shared" si="6"/>
        <v>45901</v>
      </c>
      <c r="L105" t="str">
        <f t="shared" si="7"/>
        <v>Q3-2025</v>
      </c>
    </row>
    <row r="106" spans="1:12">
      <c r="A106" s="6">
        <v>45923</v>
      </c>
      <c r="B106" t="s">
        <v>36</v>
      </c>
      <c r="C106" t="s">
        <v>37</v>
      </c>
      <c r="D106" s="2">
        <v>1145.1168893049189</v>
      </c>
      <c r="E106" s="2">
        <v>1171.896285943036</v>
      </c>
      <c r="F106" s="2">
        <v>1141.0200731712409</v>
      </c>
      <c r="G106" s="2">
        <v>1169.897827148438</v>
      </c>
      <c r="H106" s="3">
        <v>16079093</v>
      </c>
      <c r="I106" s="4">
        <f t="shared" si="4"/>
        <v>-0.36</v>
      </c>
      <c r="J106" s="2">
        <f t="shared" si="5"/>
        <v>2</v>
      </c>
      <c r="K106" s="7">
        <f t="shared" si="6"/>
        <v>45901</v>
      </c>
      <c r="L106" t="str">
        <f t="shared" si="7"/>
        <v>Q3-2025</v>
      </c>
    </row>
    <row r="107" spans="1:12">
      <c r="A107" s="6">
        <v>45924</v>
      </c>
      <c r="B107" t="s">
        <v>8</v>
      </c>
      <c r="C107" t="s">
        <v>9</v>
      </c>
      <c r="D107" s="2">
        <v>1378.9244730635039</v>
      </c>
      <c r="E107" s="2">
        <v>1389.575179777883</v>
      </c>
      <c r="F107" s="2">
        <v>1374.047000064875</v>
      </c>
      <c r="G107" s="2">
        <v>1376.635009765625</v>
      </c>
      <c r="H107" s="3">
        <v>5922759</v>
      </c>
      <c r="I107" s="4">
        <f t="shared" si="4"/>
        <v>-0.35</v>
      </c>
      <c r="J107" s="2">
        <f t="shared" si="5"/>
        <v>12.94</v>
      </c>
      <c r="K107" s="7">
        <f t="shared" si="6"/>
        <v>45901</v>
      </c>
      <c r="L107" t="str">
        <f t="shared" si="7"/>
        <v>Q3-2025</v>
      </c>
    </row>
    <row r="108" spans="1:12">
      <c r="A108" s="6">
        <v>45924</v>
      </c>
      <c r="B108" t="s">
        <v>10</v>
      </c>
      <c r="C108" t="s">
        <v>11</v>
      </c>
      <c r="D108" s="2">
        <v>2928.432470591566</v>
      </c>
      <c r="E108" s="2">
        <v>2935.1534631470222</v>
      </c>
      <c r="F108" s="2">
        <v>2912.1100600997438</v>
      </c>
      <c r="G108" s="2">
        <v>2914.414306640625</v>
      </c>
      <c r="H108" s="3">
        <v>1625714</v>
      </c>
      <c r="I108" s="4">
        <f t="shared" si="4"/>
        <v>-0.56000000000000005</v>
      </c>
      <c r="J108" s="2">
        <f t="shared" si="5"/>
        <v>20.74</v>
      </c>
      <c r="K108" s="7">
        <f t="shared" si="6"/>
        <v>45901</v>
      </c>
      <c r="L108" t="str">
        <f t="shared" si="7"/>
        <v>Q3-2025</v>
      </c>
    </row>
    <row r="109" spans="1:12">
      <c r="A109" s="6">
        <v>45924</v>
      </c>
      <c r="B109" t="s">
        <v>12</v>
      </c>
      <c r="C109" t="s">
        <v>13</v>
      </c>
      <c r="D109" s="2">
        <v>1433.750451625549</v>
      </c>
      <c r="E109" s="2">
        <v>1442.9090246067481</v>
      </c>
      <c r="F109" s="2">
        <v>1429.412180213403</v>
      </c>
      <c r="G109" s="2">
        <v>1440.884521484375</v>
      </c>
      <c r="H109" s="3">
        <v>4937004</v>
      </c>
      <c r="I109" s="4">
        <f t="shared" si="4"/>
        <v>-0.3</v>
      </c>
      <c r="J109" s="2">
        <f t="shared" si="5"/>
        <v>2.02</v>
      </c>
      <c r="K109" s="7">
        <f t="shared" si="6"/>
        <v>45901</v>
      </c>
      <c r="L109" t="str">
        <f t="shared" si="7"/>
        <v>Q3-2025</v>
      </c>
    </row>
    <row r="110" spans="1:12">
      <c r="A110" s="6">
        <v>45924</v>
      </c>
      <c r="B110" t="s">
        <v>14</v>
      </c>
      <c r="C110" t="s">
        <v>15</v>
      </c>
      <c r="D110" s="2">
        <v>936.70742400160123</v>
      </c>
      <c r="E110" s="2">
        <v>940.88827518934647</v>
      </c>
      <c r="F110" s="2">
        <v>927.65709883382772</v>
      </c>
      <c r="G110" s="2">
        <v>935.57611083984375</v>
      </c>
      <c r="H110" s="3">
        <v>15117220</v>
      </c>
      <c r="I110" s="4">
        <f t="shared" si="4"/>
        <v>-0.97</v>
      </c>
      <c r="J110" s="2">
        <f t="shared" si="5"/>
        <v>5.31</v>
      </c>
      <c r="K110" s="7">
        <f t="shared" si="6"/>
        <v>45901</v>
      </c>
      <c r="L110" t="str">
        <f t="shared" si="7"/>
        <v>Q3-2025</v>
      </c>
    </row>
    <row r="111" spans="1:12">
      <c r="A111" s="6">
        <v>45924</v>
      </c>
      <c r="B111" t="s">
        <v>16</v>
      </c>
      <c r="C111" t="s">
        <v>17</v>
      </c>
      <c r="D111" s="2">
        <v>1374.8096433544561</v>
      </c>
      <c r="E111" s="2">
        <v>1379.2720231049971</v>
      </c>
      <c r="F111" s="2">
        <v>1364.992383693306</v>
      </c>
      <c r="G111" s="2">
        <v>1371.140502929688</v>
      </c>
      <c r="H111" s="3">
        <v>9735678</v>
      </c>
      <c r="I111" s="4">
        <f t="shared" si="4"/>
        <v>-0.71</v>
      </c>
      <c r="J111" s="2">
        <f t="shared" si="5"/>
        <v>8.1300000000000008</v>
      </c>
      <c r="K111" s="7">
        <f t="shared" si="6"/>
        <v>45901</v>
      </c>
      <c r="L111" t="str">
        <f t="shared" si="7"/>
        <v>Q3-2025</v>
      </c>
    </row>
    <row r="112" spans="1:12">
      <c r="A112" s="6">
        <v>45924</v>
      </c>
      <c r="B112" t="s">
        <v>18</v>
      </c>
      <c r="C112" t="s">
        <v>19</v>
      </c>
      <c r="D112" s="2">
        <v>239.34657654249051</v>
      </c>
      <c r="E112" s="2">
        <v>240.10799154322839</v>
      </c>
      <c r="F112" s="2">
        <v>235.41417021482329</v>
      </c>
      <c r="G112" s="2">
        <v>235.74186706542969</v>
      </c>
      <c r="H112" s="3">
        <v>7888797</v>
      </c>
      <c r="I112" s="4">
        <f t="shared" si="4"/>
        <v>-1.64</v>
      </c>
      <c r="J112" s="2">
        <f t="shared" si="5"/>
        <v>4.37</v>
      </c>
      <c r="K112" s="7">
        <f t="shared" si="6"/>
        <v>45901</v>
      </c>
      <c r="L112" t="str">
        <f t="shared" si="7"/>
        <v>Q3-2025</v>
      </c>
    </row>
    <row r="113" spans="1:12">
      <c r="A113" s="6">
        <v>45924</v>
      </c>
      <c r="B113" t="s">
        <v>20</v>
      </c>
      <c r="C113" t="s">
        <v>21</v>
      </c>
      <c r="D113" s="2">
        <v>1363.357136270818</v>
      </c>
      <c r="E113" s="2">
        <v>1382.10793764869</v>
      </c>
      <c r="F113" s="2">
        <v>1358.478118497321</v>
      </c>
      <c r="G113" s="2">
        <v>1379.81201171875</v>
      </c>
      <c r="H113" s="3">
        <v>2894044</v>
      </c>
      <c r="I113" s="4">
        <f t="shared" si="4"/>
        <v>-0.36</v>
      </c>
      <c r="J113" s="2">
        <f t="shared" si="5"/>
        <v>2.2999999999999998</v>
      </c>
      <c r="K113" s="7">
        <f t="shared" si="6"/>
        <v>45901</v>
      </c>
      <c r="L113" t="str">
        <f t="shared" si="7"/>
        <v>Q3-2025</v>
      </c>
    </row>
    <row r="114" spans="1:12">
      <c r="A114" s="6">
        <v>45924</v>
      </c>
      <c r="B114" t="s">
        <v>22</v>
      </c>
      <c r="C114" t="s">
        <v>23</v>
      </c>
      <c r="D114" s="2">
        <v>1015.258961988034</v>
      </c>
      <c r="E114" s="2">
        <v>1029.6703716295669</v>
      </c>
      <c r="F114" s="2">
        <v>1014.165706900818</v>
      </c>
      <c r="G114" s="2">
        <v>1023.458557128906</v>
      </c>
      <c r="H114" s="3">
        <v>6433184</v>
      </c>
      <c r="I114" s="4">
        <f t="shared" si="4"/>
        <v>-0.11</v>
      </c>
      <c r="J114" s="2">
        <f t="shared" si="5"/>
        <v>6.21</v>
      </c>
      <c r="K114" s="7">
        <f t="shared" si="6"/>
        <v>45901</v>
      </c>
      <c r="L114" t="str">
        <f t="shared" si="7"/>
        <v>Q3-2025</v>
      </c>
    </row>
    <row r="115" spans="1:12">
      <c r="A115" s="6">
        <v>45924</v>
      </c>
      <c r="B115" t="s">
        <v>24</v>
      </c>
      <c r="C115" t="s">
        <v>25</v>
      </c>
      <c r="D115" s="2">
        <v>16027.040126507791</v>
      </c>
      <c r="E115" s="2">
        <v>16212.180755594571</v>
      </c>
      <c r="F115" s="2">
        <v>15903.28302150325</v>
      </c>
      <c r="G115" s="2">
        <v>16087.43359375</v>
      </c>
      <c r="H115" s="3">
        <v>663647</v>
      </c>
      <c r="I115" s="4">
        <f t="shared" si="4"/>
        <v>-0.77</v>
      </c>
      <c r="J115" s="2">
        <f t="shared" si="5"/>
        <v>124.75</v>
      </c>
      <c r="K115" s="7">
        <f t="shared" si="6"/>
        <v>45901</v>
      </c>
      <c r="L115" t="str">
        <f t="shared" si="7"/>
        <v>Q3-2025</v>
      </c>
    </row>
    <row r="116" spans="1:12">
      <c r="A116" s="6">
        <v>45924</v>
      </c>
      <c r="B116" t="s">
        <v>26</v>
      </c>
      <c r="C116" t="s">
        <v>27</v>
      </c>
      <c r="D116" s="2">
        <v>694.73696332608927</v>
      </c>
      <c r="E116" s="2">
        <v>697.51391552685629</v>
      </c>
      <c r="F116" s="2">
        <v>675.69491025465925</v>
      </c>
      <c r="G116" s="2">
        <v>677.33135986328125</v>
      </c>
      <c r="H116" s="3">
        <v>13252215</v>
      </c>
      <c r="I116" s="4">
        <f t="shared" si="4"/>
        <v>-2.74</v>
      </c>
      <c r="J116" s="2">
        <f t="shared" si="5"/>
        <v>20.18</v>
      </c>
      <c r="K116" s="7">
        <f t="shared" si="6"/>
        <v>45901</v>
      </c>
      <c r="L116" t="str">
        <f t="shared" si="7"/>
        <v>Q3-2025</v>
      </c>
    </row>
    <row r="117" spans="1:12">
      <c r="A117" s="6">
        <v>45924</v>
      </c>
      <c r="B117" t="s">
        <v>28</v>
      </c>
      <c r="C117" t="s">
        <v>29</v>
      </c>
      <c r="D117" s="2">
        <v>1615.246945372503</v>
      </c>
      <c r="E117" s="2">
        <v>1621.093568938416</v>
      </c>
      <c r="F117" s="2">
        <v>1610.292200141299</v>
      </c>
      <c r="G117" s="2">
        <v>1612.373168945312</v>
      </c>
      <c r="H117" s="3">
        <v>1131058</v>
      </c>
      <c r="I117" s="4">
        <f t="shared" si="4"/>
        <v>-0.31</v>
      </c>
      <c r="J117" s="2">
        <f t="shared" si="5"/>
        <v>8.7200000000000006</v>
      </c>
      <c r="K117" s="7">
        <f t="shared" si="6"/>
        <v>45901</v>
      </c>
      <c r="L117" t="str">
        <f t="shared" si="7"/>
        <v>Q3-2025</v>
      </c>
    </row>
    <row r="118" spans="1:12">
      <c r="A118" s="6">
        <v>45924</v>
      </c>
      <c r="B118" t="s">
        <v>30</v>
      </c>
      <c r="C118" t="s">
        <v>31</v>
      </c>
      <c r="D118" s="2">
        <v>2421.1824841915168</v>
      </c>
      <c r="E118" s="2">
        <v>2449.88824545135</v>
      </c>
      <c r="F118" s="2">
        <v>2418.4108451164811</v>
      </c>
      <c r="G118" s="2">
        <v>2432.268798828125</v>
      </c>
      <c r="H118" s="3">
        <v>637749</v>
      </c>
      <c r="I118" s="4">
        <f t="shared" si="4"/>
        <v>-0.11</v>
      </c>
      <c r="J118" s="2">
        <f t="shared" si="5"/>
        <v>17.62</v>
      </c>
      <c r="K118" s="7">
        <f t="shared" si="6"/>
        <v>45901</v>
      </c>
      <c r="L118" t="str">
        <f t="shared" si="7"/>
        <v>Q3-2025</v>
      </c>
    </row>
    <row r="119" spans="1:12">
      <c r="A119" s="6">
        <v>45924</v>
      </c>
      <c r="B119" t="s">
        <v>32</v>
      </c>
      <c r="C119" t="s">
        <v>33</v>
      </c>
      <c r="D119" s="2">
        <v>2477.3294242524621</v>
      </c>
      <c r="E119" s="2">
        <v>2530.172357631398</v>
      </c>
      <c r="F119" s="2">
        <v>2465.346513064756</v>
      </c>
      <c r="G119" s="2">
        <v>2504.143798828125</v>
      </c>
      <c r="H119" s="3">
        <v>1882881</v>
      </c>
      <c r="I119" s="4">
        <f t="shared" si="4"/>
        <v>-0.48</v>
      </c>
      <c r="J119" s="2">
        <f t="shared" si="5"/>
        <v>26.03</v>
      </c>
      <c r="K119" s="7">
        <f t="shared" si="6"/>
        <v>45901</v>
      </c>
      <c r="L119" t="str">
        <f t="shared" si="7"/>
        <v>Q3-2025</v>
      </c>
    </row>
    <row r="120" spans="1:12">
      <c r="A120" s="6">
        <v>45924</v>
      </c>
      <c r="B120" t="s">
        <v>34</v>
      </c>
      <c r="C120" t="s">
        <v>35</v>
      </c>
      <c r="D120" s="2">
        <v>3622.2206646120412</v>
      </c>
      <c r="E120" s="2">
        <v>3673.3214002597192</v>
      </c>
      <c r="F120" s="2">
        <v>3601.918958126379</v>
      </c>
      <c r="G120" s="2">
        <v>3638.263916015625</v>
      </c>
      <c r="H120" s="3">
        <v>1745130</v>
      </c>
      <c r="I120" s="4">
        <f t="shared" si="4"/>
        <v>-0.56000000000000005</v>
      </c>
      <c r="J120" s="2">
        <f t="shared" si="5"/>
        <v>35.06</v>
      </c>
      <c r="K120" s="7">
        <f t="shared" si="6"/>
        <v>45901</v>
      </c>
      <c r="L120" t="str">
        <f t="shared" si="7"/>
        <v>Q3-2025</v>
      </c>
    </row>
    <row r="121" spans="1:12">
      <c r="A121" s="6">
        <v>45924</v>
      </c>
      <c r="B121" t="s">
        <v>36</v>
      </c>
      <c r="C121" t="s">
        <v>37</v>
      </c>
      <c r="D121" s="2">
        <v>1167.09992101085</v>
      </c>
      <c r="E121" s="2">
        <v>1171.8962708465981</v>
      </c>
      <c r="F121" s="2">
        <v>1153.1107096288711</v>
      </c>
      <c r="G121" s="2">
        <v>1158.006958007812</v>
      </c>
      <c r="H121" s="3">
        <v>12812055</v>
      </c>
      <c r="I121" s="4">
        <f t="shared" si="4"/>
        <v>-1.2</v>
      </c>
      <c r="J121" s="2">
        <f t="shared" si="5"/>
        <v>13.89</v>
      </c>
      <c r="K121" s="7">
        <f t="shared" si="6"/>
        <v>45901</v>
      </c>
      <c r="L121" t="str">
        <f t="shared" si="7"/>
        <v>Q3-2025</v>
      </c>
    </row>
    <row r="122" spans="1:12">
      <c r="A122" s="6">
        <v>45925</v>
      </c>
      <c r="B122" t="s">
        <v>8</v>
      </c>
      <c r="C122" t="s">
        <v>9</v>
      </c>
      <c r="D122" s="2">
        <v>1374.942926360271</v>
      </c>
      <c r="E122" s="2">
        <v>1378.1281504773631</v>
      </c>
      <c r="F122" s="2">
        <v>1362.699485737458</v>
      </c>
      <c r="G122" s="2">
        <v>1366.083862304688</v>
      </c>
      <c r="H122" s="3">
        <v>11411143</v>
      </c>
      <c r="I122" s="4">
        <f t="shared" si="4"/>
        <v>-0.89</v>
      </c>
      <c r="J122" s="2">
        <f t="shared" si="5"/>
        <v>12.04</v>
      </c>
      <c r="K122" s="7">
        <f t="shared" si="6"/>
        <v>45901</v>
      </c>
      <c r="L122" t="str">
        <f t="shared" si="7"/>
        <v>Q3-2025</v>
      </c>
    </row>
    <row r="123" spans="1:12">
      <c r="A123" s="6">
        <v>45925</v>
      </c>
      <c r="B123" t="s">
        <v>10</v>
      </c>
      <c r="C123" t="s">
        <v>11</v>
      </c>
      <c r="D123" s="2">
        <v>2901.548445826189</v>
      </c>
      <c r="E123" s="2">
        <v>2908.8456170845011</v>
      </c>
      <c r="F123" s="2">
        <v>2833.3783797594592</v>
      </c>
      <c r="G123" s="2">
        <v>2839.523193359375</v>
      </c>
      <c r="H123" s="3">
        <v>4974361</v>
      </c>
      <c r="I123" s="4">
        <f t="shared" si="4"/>
        <v>-2.35</v>
      </c>
      <c r="J123" s="2">
        <f t="shared" si="5"/>
        <v>69.319999999999993</v>
      </c>
      <c r="K123" s="7">
        <f t="shared" si="6"/>
        <v>45901</v>
      </c>
      <c r="L123" t="str">
        <f t="shared" si="7"/>
        <v>Q3-2025</v>
      </c>
    </row>
    <row r="124" spans="1:12">
      <c r="A124" s="6">
        <v>45925</v>
      </c>
      <c r="B124" t="s">
        <v>12</v>
      </c>
      <c r="C124" t="s">
        <v>13</v>
      </c>
      <c r="D124" s="2">
        <v>1435.4857737282789</v>
      </c>
      <c r="E124" s="2">
        <v>1448.693352645673</v>
      </c>
      <c r="F124" s="2">
        <v>1423.4350200871761</v>
      </c>
      <c r="G124" s="2">
        <v>1431.436767578125</v>
      </c>
      <c r="H124" s="3">
        <v>9491867</v>
      </c>
      <c r="I124" s="4">
        <f t="shared" si="4"/>
        <v>-0.84</v>
      </c>
      <c r="J124" s="2">
        <f t="shared" si="5"/>
        <v>17.260000000000002</v>
      </c>
      <c r="K124" s="7">
        <f t="shared" si="6"/>
        <v>45901</v>
      </c>
      <c r="L124" t="str">
        <f t="shared" si="7"/>
        <v>Q3-2025</v>
      </c>
    </row>
    <row r="125" spans="1:12">
      <c r="A125" s="6">
        <v>45925</v>
      </c>
      <c r="B125" t="s">
        <v>14</v>
      </c>
      <c r="C125" t="s">
        <v>15</v>
      </c>
      <c r="D125" s="2">
        <v>937.00247639461975</v>
      </c>
      <c r="E125" s="2">
        <v>942.41298938167529</v>
      </c>
      <c r="F125" s="2">
        <v>931.98547927800507</v>
      </c>
      <c r="G125" s="2">
        <v>934.39556884765625</v>
      </c>
      <c r="H125" s="3">
        <v>31413279</v>
      </c>
      <c r="I125" s="4">
        <f t="shared" si="4"/>
        <v>-0.54</v>
      </c>
      <c r="J125" s="2">
        <f t="shared" si="5"/>
        <v>8.02</v>
      </c>
      <c r="K125" s="7">
        <f t="shared" si="6"/>
        <v>45901</v>
      </c>
      <c r="L125" t="str">
        <f t="shared" si="7"/>
        <v>Q3-2025</v>
      </c>
    </row>
    <row r="126" spans="1:12">
      <c r="A126" s="6">
        <v>45925</v>
      </c>
      <c r="B126" t="s">
        <v>16</v>
      </c>
      <c r="C126" t="s">
        <v>17</v>
      </c>
      <c r="D126" s="2">
        <v>1365.488259405882</v>
      </c>
      <c r="E126" s="2">
        <v>1379.867039189023</v>
      </c>
      <c r="F126" s="2">
        <v>1360.3317799035731</v>
      </c>
      <c r="G126" s="2">
        <v>1364.29833984375</v>
      </c>
      <c r="H126" s="3">
        <v>21613389</v>
      </c>
      <c r="I126" s="4">
        <f t="shared" si="4"/>
        <v>-0.38</v>
      </c>
      <c r="J126" s="2">
        <f t="shared" si="5"/>
        <v>15.57</v>
      </c>
      <c r="K126" s="7">
        <f t="shared" si="6"/>
        <v>45901</v>
      </c>
      <c r="L126" t="str">
        <f t="shared" si="7"/>
        <v>Q3-2025</v>
      </c>
    </row>
    <row r="127" spans="1:12">
      <c r="A127" s="6">
        <v>45925</v>
      </c>
      <c r="B127" t="s">
        <v>18</v>
      </c>
      <c r="C127" t="s">
        <v>19</v>
      </c>
      <c r="D127" s="2">
        <v>236.57075171358019</v>
      </c>
      <c r="E127" s="2">
        <v>236.753880745765</v>
      </c>
      <c r="F127" s="2">
        <v>232.55160478452291</v>
      </c>
      <c r="G127" s="2">
        <v>233.24555969238281</v>
      </c>
      <c r="H127" s="3">
        <v>7957740</v>
      </c>
      <c r="I127" s="4">
        <f t="shared" si="4"/>
        <v>-1.7</v>
      </c>
      <c r="J127" s="2">
        <f t="shared" si="5"/>
        <v>3.51</v>
      </c>
      <c r="K127" s="7">
        <f t="shared" si="6"/>
        <v>45901</v>
      </c>
      <c r="L127" t="str">
        <f t="shared" si="7"/>
        <v>Q3-2025</v>
      </c>
    </row>
    <row r="128" spans="1:12">
      <c r="A128" s="6">
        <v>45925</v>
      </c>
      <c r="B128" t="s">
        <v>20</v>
      </c>
      <c r="C128" t="s">
        <v>21</v>
      </c>
      <c r="D128" s="2">
        <v>1377.8028975155189</v>
      </c>
      <c r="E128" s="2">
        <v>1380.0032961040899</v>
      </c>
      <c r="F128" s="2">
        <v>1354.6514157943791</v>
      </c>
      <c r="G128" s="2">
        <v>1362.113525390625</v>
      </c>
      <c r="H128" s="3">
        <v>2713246</v>
      </c>
      <c r="I128" s="4">
        <f t="shared" si="4"/>
        <v>-1.68</v>
      </c>
      <c r="J128" s="2">
        <f t="shared" si="5"/>
        <v>17.89</v>
      </c>
      <c r="K128" s="7">
        <f t="shared" si="6"/>
        <v>45901</v>
      </c>
      <c r="L128" t="str">
        <f t="shared" si="7"/>
        <v>Q3-2025</v>
      </c>
    </row>
    <row r="129" spans="1:12">
      <c r="A129" s="6">
        <v>45925</v>
      </c>
      <c r="B129" t="s">
        <v>22</v>
      </c>
      <c r="C129" t="s">
        <v>23</v>
      </c>
      <c r="D129" s="2">
        <v>1013.768143909297</v>
      </c>
      <c r="E129" s="2">
        <v>1024.8003023869389</v>
      </c>
      <c r="F129" s="2">
        <v>1001.841459863305</v>
      </c>
      <c r="G129" s="2">
        <v>1006.562438964844</v>
      </c>
      <c r="H129" s="3">
        <v>16731453</v>
      </c>
      <c r="I129" s="4">
        <f t="shared" si="4"/>
        <v>-1.18</v>
      </c>
      <c r="J129" s="2">
        <f t="shared" si="5"/>
        <v>18.239999999999998</v>
      </c>
      <c r="K129" s="7">
        <f t="shared" si="6"/>
        <v>45901</v>
      </c>
      <c r="L129" t="str">
        <f t="shared" si="7"/>
        <v>Q3-2025</v>
      </c>
    </row>
    <row r="130" spans="1:12">
      <c r="A130" s="6">
        <v>45925</v>
      </c>
      <c r="B130" t="s">
        <v>24</v>
      </c>
      <c r="C130" t="s">
        <v>25</v>
      </c>
      <c r="D130" s="2">
        <v>16087.43323863636</v>
      </c>
      <c r="E130" s="2">
        <v>16207.23011363636</v>
      </c>
      <c r="F130" s="2">
        <v>15907.24289772727</v>
      </c>
      <c r="G130" s="2">
        <v>16107.234375</v>
      </c>
      <c r="H130" s="3">
        <v>490262</v>
      </c>
      <c r="I130" s="4">
        <f t="shared" ref="I130:I193" si="8">ROUND(((F130-D130)/D130)*100, 2)</f>
        <v>-1.1200000000000001</v>
      </c>
      <c r="J130" s="2">
        <f t="shared" ref="J130:J193" si="9">ROUND(E130-G130, 2)</f>
        <v>100</v>
      </c>
      <c r="K130" s="7">
        <f t="shared" ref="K130:K193" si="10">DATE(YEAR(A130),MONTH(A130),1)</f>
        <v>45901</v>
      </c>
      <c r="L130" t="str">
        <f t="shared" ref="L130:L193" si="11">"Q"&amp;INT((MONTH(A130)-1)/3)+1&amp;"-"&amp;YEAR(A130)</f>
        <v>Q3-2025</v>
      </c>
    </row>
    <row r="131" spans="1:12">
      <c r="A131" s="6">
        <v>45925</v>
      </c>
      <c r="B131" t="s">
        <v>26</v>
      </c>
      <c r="C131" t="s">
        <v>27</v>
      </c>
      <c r="D131" s="2">
        <v>664.38874283414918</v>
      </c>
      <c r="E131" s="2">
        <v>669.44676081375678</v>
      </c>
      <c r="F131" s="2">
        <v>649.90882102118121</v>
      </c>
      <c r="G131" s="2">
        <v>658.83477783203125</v>
      </c>
      <c r="H131" s="3">
        <v>24687611</v>
      </c>
      <c r="I131" s="4">
        <f t="shared" si="8"/>
        <v>-2.1800000000000002</v>
      </c>
      <c r="J131" s="2">
        <f t="shared" si="9"/>
        <v>10.61</v>
      </c>
      <c r="K131" s="7">
        <f t="shared" si="10"/>
        <v>45901</v>
      </c>
      <c r="L131" t="str">
        <f t="shared" si="11"/>
        <v>Q3-2025</v>
      </c>
    </row>
    <row r="132" spans="1:12">
      <c r="A132" s="6">
        <v>45925</v>
      </c>
      <c r="B132" t="s">
        <v>28</v>
      </c>
      <c r="C132" t="s">
        <v>29</v>
      </c>
      <c r="D132" s="2">
        <v>1613.166006758956</v>
      </c>
      <c r="E132" s="2">
        <v>1627.931172017366</v>
      </c>
      <c r="F132" s="2">
        <v>1608.012999042789</v>
      </c>
      <c r="G132" s="2">
        <v>1612.670532226562</v>
      </c>
      <c r="H132" s="3">
        <v>2762750</v>
      </c>
      <c r="I132" s="4">
        <f t="shared" si="8"/>
        <v>-0.32</v>
      </c>
      <c r="J132" s="2">
        <f t="shared" si="9"/>
        <v>15.26</v>
      </c>
      <c r="K132" s="7">
        <f t="shared" si="10"/>
        <v>45901</v>
      </c>
      <c r="L132" t="str">
        <f t="shared" si="11"/>
        <v>Q3-2025</v>
      </c>
    </row>
    <row r="133" spans="1:12">
      <c r="A133" s="6">
        <v>45925</v>
      </c>
      <c r="B133" t="s">
        <v>30</v>
      </c>
      <c r="C133" t="s">
        <v>31</v>
      </c>
      <c r="D133" s="2">
        <v>2433.5554274370188</v>
      </c>
      <c r="E133" s="2">
        <v>2437.71276482538</v>
      </c>
      <c r="F133" s="2">
        <v>2363.7707385477329</v>
      </c>
      <c r="G133" s="2">
        <v>2379.6083984375</v>
      </c>
      <c r="H133" s="3">
        <v>1518215</v>
      </c>
      <c r="I133" s="4">
        <f t="shared" si="8"/>
        <v>-2.87</v>
      </c>
      <c r="J133" s="2">
        <f t="shared" si="9"/>
        <v>58.1</v>
      </c>
      <c r="K133" s="7">
        <f t="shared" si="10"/>
        <v>45901</v>
      </c>
      <c r="L133" t="str">
        <f t="shared" si="11"/>
        <v>Q3-2025</v>
      </c>
    </row>
    <row r="134" spans="1:12">
      <c r="A134" s="6">
        <v>45925</v>
      </c>
      <c r="B134" t="s">
        <v>32</v>
      </c>
      <c r="C134" t="s">
        <v>33</v>
      </c>
      <c r="D134" s="2">
        <v>2500.706033552191</v>
      </c>
      <c r="E134" s="2">
        <v>2521.8235432620781</v>
      </c>
      <c r="F134" s="2">
        <v>2486.758703005587</v>
      </c>
      <c r="G134" s="2">
        <v>2493.14306640625</v>
      </c>
      <c r="H134" s="3">
        <v>1624258</v>
      </c>
      <c r="I134" s="4">
        <f t="shared" si="8"/>
        <v>-0.56000000000000005</v>
      </c>
      <c r="J134" s="2">
        <f t="shared" si="9"/>
        <v>28.68</v>
      </c>
      <c r="K134" s="7">
        <f t="shared" si="10"/>
        <v>45901</v>
      </c>
      <c r="L134" t="str">
        <f t="shared" si="11"/>
        <v>Q3-2025</v>
      </c>
    </row>
    <row r="135" spans="1:12">
      <c r="A135" s="6">
        <v>45925</v>
      </c>
      <c r="B135" t="s">
        <v>34</v>
      </c>
      <c r="C135" t="s">
        <v>35</v>
      </c>
      <c r="D135" s="2">
        <v>3648.3649986849741</v>
      </c>
      <c r="E135" s="2">
        <v>3668.1715404802239</v>
      </c>
      <c r="F135" s="2">
        <v>3600.5321518936321</v>
      </c>
      <c r="G135" s="2">
        <v>3609.14794921875</v>
      </c>
      <c r="H135" s="3">
        <v>1999071</v>
      </c>
      <c r="I135" s="4">
        <f t="shared" si="8"/>
        <v>-1.31</v>
      </c>
      <c r="J135" s="2">
        <f t="shared" si="9"/>
        <v>59.02</v>
      </c>
      <c r="K135" s="7">
        <f t="shared" si="10"/>
        <v>45901</v>
      </c>
      <c r="L135" t="str">
        <f t="shared" si="11"/>
        <v>Q3-2025</v>
      </c>
    </row>
    <row r="136" spans="1:12">
      <c r="A136" s="6">
        <v>45925</v>
      </c>
      <c r="B136" t="s">
        <v>36</v>
      </c>
      <c r="C136" t="s">
        <v>37</v>
      </c>
      <c r="D136" s="2">
        <v>1153.810074151452</v>
      </c>
      <c r="E136" s="2">
        <v>1170.896993506329</v>
      </c>
      <c r="F136" s="2">
        <v>1152.5111491906421</v>
      </c>
      <c r="G136" s="2">
        <v>1165.700927734375</v>
      </c>
      <c r="H136" s="3">
        <v>11188302</v>
      </c>
      <c r="I136" s="4">
        <f t="shared" si="8"/>
        <v>-0.11</v>
      </c>
      <c r="J136" s="2">
        <f t="shared" si="9"/>
        <v>5.2</v>
      </c>
      <c r="K136" s="7">
        <f t="shared" si="10"/>
        <v>45901</v>
      </c>
      <c r="L136" t="str">
        <f t="shared" si="11"/>
        <v>Q3-2025</v>
      </c>
    </row>
    <row r="137" spans="1:12">
      <c r="A137" s="6">
        <v>45926</v>
      </c>
      <c r="B137" t="s">
        <v>8</v>
      </c>
      <c r="C137" t="s">
        <v>9</v>
      </c>
      <c r="D137" s="2">
        <v>1365.6856847124741</v>
      </c>
      <c r="E137" s="2">
        <v>1376.3363918134601</v>
      </c>
      <c r="F137" s="2">
        <v>1359.713298336181</v>
      </c>
      <c r="G137" s="2">
        <v>1371.259887695312</v>
      </c>
      <c r="H137" s="3">
        <v>9879109</v>
      </c>
      <c r="I137" s="4">
        <f t="shared" si="8"/>
        <v>-0.44</v>
      </c>
      <c r="J137" s="2">
        <f t="shared" si="9"/>
        <v>5.08</v>
      </c>
      <c r="K137" s="7">
        <f t="shared" si="10"/>
        <v>45901</v>
      </c>
      <c r="L137" t="str">
        <f t="shared" si="11"/>
        <v>Q3-2025</v>
      </c>
    </row>
    <row r="138" spans="1:12">
      <c r="A138" s="6">
        <v>45926</v>
      </c>
      <c r="B138" t="s">
        <v>10</v>
      </c>
      <c r="C138" t="s">
        <v>11</v>
      </c>
      <c r="D138" s="2">
        <v>2823.7772134975212</v>
      </c>
      <c r="E138" s="2">
        <v>2837.0272180626389</v>
      </c>
      <c r="F138" s="2">
        <v>2776.0582098827372</v>
      </c>
      <c r="G138" s="2">
        <v>2783.54736328125</v>
      </c>
      <c r="H138" s="3">
        <v>3934636</v>
      </c>
      <c r="I138" s="4">
        <f t="shared" si="8"/>
        <v>-1.69</v>
      </c>
      <c r="J138" s="2">
        <f t="shared" si="9"/>
        <v>53.48</v>
      </c>
      <c r="K138" s="7">
        <f t="shared" si="10"/>
        <v>45901</v>
      </c>
      <c r="L138" t="str">
        <f t="shared" si="11"/>
        <v>Q3-2025</v>
      </c>
    </row>
    <row r="139" spans="1:12">
      <c r="A139" s="6">
        <v>45926</v>
      </c>
      <c r="B139" t="s">
        <v>12</v>
      </c>
      <c r="C139" t="s">
        <v>13</v>
      </c>
      <c r="D139" s="2">
        <v>1421.988977275915</v>
      </c>
      <c r="E139" s="2">
        <v>1425.5559533998919</v>
      </c>
      <c r="F139" s="2">
        <v>1389.403691265758</v>
      </c>
      <c r="G139" s="2">
        <v>1396.827026367188</v>
      </c>
      <c r="H139" s="3">
        <v>8597058</v>
      </c>
      <c r="I139" s="4">
        <f t="shared" si="8"/>
        <v>-2.29</v>
      </c>
      <c r="J139" s="2">
        <f t="shared" si="9"/>
        <v>28.73</v>
      </c>
      <c r="K139" s="7">
        <f t="shared" si="10"/>
        <v>45901</v>
      </c>
      <c r="L139" t="str">
        <f t="shared" si="11"/>
        <v>Q3-2025</v>
      </c>
    </row>
    <row r="140" spans="1:12">
      <c r="A140" s="6">
        <v>45926</v>
      </c>
      <c r="B140" t="s">
        <v>14</v>
      </c>
      <c r="C140" t="s">
        <v>15</v>
      </c>
      <c r="D140" s="2">
        <v>929.72288052942122</v>
      </c>
      <c r="E140" s="2">
        <v>935.96959991502945</v>
      </c>
      <c r="F140" s="2">
        <v>925.98471981825912</v>
      </c>
      <c r="G140" s="2">
        <v>929.6737060546875</v>
      </c>
      <c r="H140" s="3">
        <v>14874656</v>
      </c>
      <c r="I140" s="4">
        <f t="shared" si="8"/>
        <v>-0.4</v>
      </c>
      <c r="J140" s="2">
        <f t="shared" si="9"/>
        <v>6.3</v>
      </c>
      <c r="K140" s="7">
        <f t="shared" si="10"/>
        <v>45901</v>
      </c>
      <c r="L140" t="str">
        <f t="shared" si="11"/>
        <v>Q3-2025</v>
      </c>
    </row>
    <row r="141" spans="1:12">
      <c r="A141" s="6">
        <v>45926</v>
      </c>
      <c r="B141" t="s">
        <v>16</v>
      </c>
      <c r="C141" t="s">
        <v>17</v>
      </c>
      <c r="D141" s="2">
        <v>1356.5634423110471</v>
      </c>
      <c r="E141" s="2">
        <v>1361.224101624214</v>
      </c>
      <c r="F141" s="2">
        <v>1345.6554029357389</v>
      </c>
      <c r="G141" s="2">
        <v>1348.233642578125</v>
      </c>
      <c r="H141" s="3">
        <v>18342280</v>
      </c>
      <c r="I141" s="4">
        <f t="shared" si="8"/>
        <v>-0.8</v>
      </c>
      <c r="J141" s="2">
        <f t="shared" si="9"/>
        <v>12.99</v>
      </c>
      <c r="K141" s="7">
        <f t="shared" si="10"/>
        <v>45901</v>
      </c>
      <c r="L141" t="str">
        <f t="shared" si="11"/>
        <v>Q3-2025</v>
      </c>
    </row>
    <row r="142" spans="1:12">
      <c r="A142" s="6">
        <v>45926</v>
      </c>
      <c r="B142" t="s">
        <v>18</v>
      </c>
      <c r="C142" t="s">
        <v>19</v>
      </c>
      <c r="D142" s="2">
        <v>232.71544644179079</v>
      </c>
      <c r="E142" s="2">
        <v>232.81183478439061</v>
      </c>
      <c r="F142" s="2">
        <v>226.50841367235441</v>
      </c>
      <c r="G142" s="2">
        <v>227.2216491699219</v>
      </c>
      <c r="H142" s="3">
        <v>16999628</v>
      </c>
      <c r="I142" s="4">
        <f t="shared" si="8"/>
        <v>-2.67</v>
      </c>
      <c r="J142" s="2">
        <f t="shared" si="9"/>
        <v>5.59</v>
      </c>
      <c r="K142" s="7">
        <f t="shared" si="10"/>
        <v>45901</v>
      </c>
      <c r="L142" t="str">
        <f t="shared" si="11"/>
        <v>Q3-2025</v>
      </c>
    </row>
    <row r="143" spans="1:12">
      <c r="A143" s="6">
        <v>45926</v>
      </c>
      <c r="B143" t="s">
        <v>20</v>
      </c>
      <c r="C143" t="s">
        <v>21</v>
      </c>
      <c r="D143" s="2">
        <v>1358.4780851732819</v>
      </c>
      <c r="E143" s="2">
        <v>1364.696470774428</v>
      </c>
      <c r="F143" s="2">
        <v>1331.6911933529641</v>
      </c>
      <c r="G143" s="2">
        <v>1334.848266601562</v>
      </c>
      <c r="H143" s="3">
        <v>2568054</v>
      </c>
      <c r="I143" s="4">
        <f t="shared" si="8"/>
        <v>-1.97</v>
      </c>
      <c r="J143" s="2">
        <f t="shared" si="9"/>
        <v>29.85</v>
      </c>
      <c r="K143" s="7">
        <f t="shared" si="10"/>
        <v>45901</v>
      </c>
      <c r="L143" t="str">
        <f t="shared" si="11"/>
        <v>Q3-2025</v>
      </c>
    </row>
    <row r="144" spans="1:12">
      <c r="A144" s="6">
        <v>45926</v>
      </c>
      <c r="B144" t="s">
        <v>22</v>
      </c>
      <c r="C144" t="s">
        <v>23</v>
      </c>
      <c r="D144" s="2">
        <v>1001.891155536227</v>
      </c>
      <c r="E144" s="2">
        <v>1004.326199027031</v>
      </c>
      <c r="F144" s="2">
        <v>975.0561160768209</v>
      </c>
      <c r="G144" s="2">
        <v>979.08135986328125</v>
      </c>
      <c r="H144" s="3">
        <v>9109737</v>
      </c>
      <c r="I144" s="4">
        <f t="shared" si="8"/>
        <v>-2.68</v>
      </c>
      <c r="J144" s="2">
        <f t="shared" si="9"/>
        <v>25.24</v>
      </c>
      <c r="K144" s="7">
        <f t="shared" si="10"/>
        <v>45901</v>
      </c>
      <c r="L144" t="str">
        <f t="shared" si="11"/>
        <v>Q3-2025</v>
      </c>
    </row>
    <row r="145" spans="1:12">
      <c r="A145" s="6">
        <v>45926</v>
      </c>
      <c r="B145" t="s">
        <v>24</v>
      </c>
      <c r="C145" t="s">
        <v>25</v>
      </c>
      <c r="D145" s="2">
        <v>16073.572531682221</v>
      </c>
      <c r="E145" s="2">
        <v>16271.58389640882</v>
      </c>
      <c r="F145" s="2">
        <v>16040.90065650233</v>
      </c>
      <c r="G145" s="2">
        <v>16124.0654296875</v>
      </c>
      <c r="H145" s="3">
        <v>490957</v>
      </c>
      <c r="I145" s="4">
        <f t="shared" si="8"/>
        <v>-0.2</v>
      </c>
      <c r="J145" s="2">
        <f t="shared" si="9"/>
        <v>147.52000000000001</v>
      </c>
      <c r="K145" s="7">
        <f t="shared" si="10"/>
        <v>45901</v>
      </c>
      <c r="L145" t="str">
        <f t="shared" si="11"/>
        <v>Q3-2025</v>
      </c>
    </row>
    <row r="146" spans="1:12">
      <c r="A146" s="6">
        <v>45926</v>
      </c>
      <c r="B146" t="s">
        <v>26</v>
      </c>
      <c r="C146" t="s">
        <v>27</v>
      </c>
      <c r="D146" s="2">
        <v>660.52075639689951</v>
      </c>
      <c r="E146" s="2">
        <v>674.75267340635969</v>
      </c>
      <c r="F146" s="2">
        <v>656.90076107130835</v>
      </c>
      <c r="G146" s="2">
        <v>667.364013671875</v>
      </c>
      <c r="H146" s="3">
        <v>15780434</v>
      </c>
      <c r="I146" s="4">
        <f t="shared" si="8"/>
        <v>-0.55000000000000004</v>
      </c>
      <c r="J146" s="2">
        <f t="shared" si="9"/>
        <v>7.39</v>
      </c>
      <c r="K146" s="7">
        <f t="shared" si="10"/>
        <v>45901</v>
      </c>
      <c r="L146" t="str">
        <f t="shared" si="11"/>
        <v>Q3-2025</v>
      </c>
    </row>
    <row r="147" spans="1:12">
      <c r="A147" s="6">
        <v>45926</v>
      </c>
      <c r="B147" t="s">
        <v>28</v>
      </c>
      <c r="C147" t="s">
        <v>29</v>
      </c>
      <c r="D147" s="2">
        <v>1570.654180187081</v>
      </c>
      <c r="E147" s="2">
        <v>1588.3921916516849</v>
      </c>
      <c r="F147" s="2">
        <v>1533.9890668325561</v>
      </c>
      <c r="G147" s="2">
        <v>1572.338745117188</v>
      </c>
      <c r="H147" s="3">
        <v>7256759</v>
      </c>
      <c r="I147" s="4">
        <f t="shared" si="8"/>
        <v>-2.33</v>
      </c>
      <c r="J147" s="2">
        <f t="shared" si="9"/>
        <v>16.05</v>
      </c>
      <c r="K147" s="7">
        <f t="shared" si="10"/>
        <v>45901</v>
      </c>
      <c r="L147" t="str">
        <f t="shared" si="11"/>
        <v>Q3-2025</v>
      </c>
    </row>
    <row r="148" spans="1:12">
      <c r="A148" s="6">
        <v>45926</v>
      </c>
      <c r="B148" t="s">
        <v>30</v>
      </c>
      <c r="C148" t="s">
        <v>31</v>
      </c>
      <c r="D148" s="2">
        <v>2373.1744957774031</v>
      </c>
      <c r="E148" s="2">
        <v>2375.64913028812</v>
      </c>
      <c r="F148" s="2">
        <v>2315.2680482266301</v>
      </c>
      <c r="G148" s="2">
        <v>2319.029541015625</v>
      </c>
      <c r="H148" s="3">
        <v>1089446</v>
      </c>
      <c r="I148" s="4">
        <f t="shared" si="8"/>
        <v>-2.44</v>
      </c>
      <c r="J148" s="2">
        <f t="shared" si="9"/>
        <v>56.62</v>
      </c>
      <c r="K148" s="7">
        <f t="shared" si="10"/>
        <v>45901</v>
      </c>
      <c r="L148" t="str">
        <f t="shared" si="11"/>
        <v>Q3-2025</v>
      </c>
    </row>
    <row r="149" spans="1:12">
      <c r="A149" s="6">
        <v>45926</v>
      </c>
      <c r="B149" t="s">
        <v>32</v>
      </c>
      <c r="C149" t="s">
        <v>33</v>
      </c>
      <c r="D149" s="2">
        <v>2489.9014738344881</v>
      </c>
      <c r="E149" s="2">
        <v>2500.1163583210509</v>
      </c>
      <c r="F149" s="2">
        <v>2454.9347142199131</v>
      </c>
      <c r="G149" s="2">
        <v>2467.1142578125</v>
      </c>
      <c r="H149" s="3">
        <v>885612</v>
      </c>
      <c r="I149" s="4">
        <f t="shared" si="8"/>
        <v>-1.4</v>
      </c>
      <c r="J149" s="2">
        <f t="shared" si="9"/>
        <v>33</v>
      </c>
      <c r="K149" s="7">
        <f t="shared" si="10"/>
        <v>45901</v>
      </c>
      <c r="L149" t="str">
        <f t="shared" si="11"/>
        <v>Q3-2025</v>
      </c>
    </row>
    <row r="150" spans="1:12">
      <c r="A150" s="6">
        <v>45926</v>
      </c>
      <c r="B150" t="s">
        <v>34</v>
      </c>
      <c r="C150" t="s">
        <v>35</v>
      </c>
      <c r="D150" s="2">
        <v>3628.5586215058988</v>
      </c>
      <c r="E150" s="2">
        <v>3758.1923467252482</v>
      </c>
      <c r="F150" s="2">
        <v>3625.5876401018281</v>
      </c>
      <c r="G150" s="2">
        <v>3693.425048828125</v>
      </c>
      <c r="H150" s="3">
        <v>5870301</v>
      </c>
      <c r="I150" s="4">
        <f t="shared" si="8"/>
        <v>-0.08</v>
      </c>
      <c r="J150" s="2">
        <f t="shared" si="9"/>
        <v>64.77</v>
      </c>
      <c r="K150" s="7">
        <f t="shared" si="10"/>
        <v>45901</v>
      </c>
      <c r="L150" t="str">
        <f t="shared" si="11"/>
        <v>Q3-2025</v>
      </c>
    </row>
    <row r="151" spans="1:12">
      <c r="A151" s="6">
        <v>45926</v>
      </c>
      <c r="B151" t="s">
        <v>36</v>
      </c>
      <c r="C151" t="s">
        <v>37</v>
      </c>
      <c r="D151" s="2">
        <v>1160.704836753473</v>
      </c>
      <c r="E151" s="2">
        <v>1168.798570429251</v>
      </c>
      <c r="F151" s="2">
        <v>1147.1153414245291</v>
      </c>
      <c r="G151" s="2">
        <v>1153.110717773438</v>
      </c>
      <c r="H151" s="3">
        <v>5618932</v>
      </c>
      <c r="I151" s="4">
        <f t="shared" si="8"/>
        <v>-1.17</v>
      </c>
      <c r="J151" s="2">
        <f t="shared" si="9"/>
        <v>15.69</v>
      </c>
      <c r="K151" s="7">
        <f t="shared" si="10"/>
        <v>45901</v>
      </c>
      <c r="L151" t="str">
        <f t="shared" si="11"/>
        <v>Q3-2025</v>
      </c>
    </row>
    <row r="152" spans="1:12">
      <c r="A152" s="6">
        <v>45929</v>
      </c>
      <c r="B152" t="s">
        <v>8</v>
      </c>
      <c r="C152" t="s">
        <v>9</v>
      </c>
      <c r="D152" s="2">
        <v>1375.241359951408</v>
      </c>
      <c r="E152" s="2">
        <v>1382.607326814973</v>
      </c>
      <c r="F152" s="2">
        <v>1361.7039763015721</v>
      </c>
      <c r="G152" s="2">
        <v>1366.48193359375</v>
      </c>
      <c r="H152" s="3">
        <v>14231999</v>
      </c>
      <c r="I152" s="4">
        <f t="shared" si="8"/>
        <v>-0.98</v>
      </c>
      <c r="J152" s="2">
        <f t="shared" si="9"/>
        <v>16.13</v>
      </c>
      <c r="K152" s="7">
        <f t="shared" si="10"/>
        <v>45901</v>
      </c>
      <c r="L152" t="str">
        <f t="shared" si="11"/>
        <v>Q3-2025</v>
      </c>
    </row>
    <row r="153" spans="1:12">
      <c r="A153" s="6">
        <v>45929</v>
      </c>
      <c r="B153" t="s">
        <v>10</v>
      </c>
      <c r="C153" t="s">
        <v>11</v>
      </c>
      <c r="D153" s="2">
        <v>2799.7734760157832</v>
      </c>
      <c r="E153" s="2">
        <v>2812.5434087793969</v>
      </c>
      <c r="F153" s="2">
        <v>2778.6503565122339</v>
      </c>
      <c r="G153" s="2">
        <v>2780.666748046875</v>
      </c>
      <c r="H153" s="3">
        <v>3110035</v>
      </c>
      <c r="I153" s="4">
        <f t="shared" si="8"/>
        <v>-0.75</v>
      </c>
      <c r="J153" s="2">
        <f t="shared" si="9"/>
        <v>31.88</v>
      </c>
      <c r="K153" s="7">
        <f t="shared" si="10"/>
        <v>45901</v>
      </c>
      <c r="L153" t="str">
        <f t="shared" si="11"/>
        <v>Q3-2025</v>
      </c>
    </row>
    <row r="154" spans="1:12">
      <c r="A154" s="6">
        <v>45929</v>
      </c>
      <c r="B154" t="s">
        <v>12</v>
      </c>
      <c r="C154" t="s">
        <v>13</v>
      </c>
      <c r="D154" s="2">
        <v>1407.5280279964161</v>
      </c>
      <c r="E154" s="2">
        <v>1412.3483294621581</v>
      </c>
      <c r="F154" s="2">
        <v>1384.8726111074329</v>
      </c>
      <c r="G154" s="2">
        <v>1389.982177734375</v>
      </c>
      <c r="H154" s="3">
        <v>10513117</v>
      </c>
      <c r="I154" s="4">
        <f t="shared" si="8"/>
        <v>-1.61</v>
      </c>
      <c r="J154" s="2">
        <f t="shared" si="9"/>
        <v>22.37</v>
      </c>
      <c r="K154" s="7">
        <f t="shared" si="10"/>
        <v>45901</v>
      </c>
      <c r="L154" t="str">
        <f t="shared" si="11"/>
        <v>Q3-2025</v>
      </c>
    </row>
    <row r="155" spans="1:12">
      <c r="A155" s="6">
        <v>45929</v>
      </c>
      <c r="B155" t="s">
        <v>14</v>
      </c>
      <c r="C155" t="s">
        <v>15</v>
      </c>
      <c r="D155" s="2">
        <v>930.65740590192866</v>
      </c>
      <c r="E155" s="2">
        <v>941.23249944089196</v>
      </c>
      <c r="F155" s="2">
        <v>923.82047295436666</v>
      </c>
      <c r="G155" s="2">
        <v>934.8382568359375</v>
      </c>
      <c r="H155" s="3">
        <v>32398179</v>
      </c>
      <c r="I155" s="4">
        <f t="shared" si="8"/>
        <v>-0.73</v>
      </c>
      <c r="J155" s="2">
        <f t="shared" si="9"/>
        <v>6.39</v>
      </c>
      <c r="K155" s="7">
        <f t="shared" si="10"/>
        <v>45901</v>
      </c>
      <c r="L155" t="str">
        <f t="shared" si="11"/>
        <v>Q3-2025</v>
      </c>
    </row>
    <row r="156" spans="1:12">
      <c r="A156" s="6">
        <v>45929</v>
      </c>
      <c r="B156" t="s">
        <v>16</v>
      </c>
      <c r="C156" t="s">
        <v>17</v>
      </c>
      <c r="D156" s="2">
        <v>1348.233693764239</v>
      </c>
      <c r="E156" s="2">
        <v>1355.076033842118</v>
      </c>
      <c r="F156" s="2">
        <v>1334.9456938107851</v>
      </c>
      <c r="G156" s="2">
        <v>1336.829833984375</v>
      </c>
      <c r="H156" s="3">
        <v>20563163</v>
      </c>
      <c r="I156" s="4">
        <f t="shared" si="8"/>
        <v>-0.99</v>
      </c>
      <c r="J156" s="2">
        <f t="shared" si="9"/>
        <v>18.25</v>
      </c>
      <c r="K156" s="7">
        <f t="shared" si="10"/>
        <v>45901</v>
      </c>
      <c r="L156" t="str">
        <f t="shared" si="11"/>
        <v>Q3-2025</v>
      </c>
    </row>
    <row r="157" spans="1:12">
      <c r="A157" s="6">
        <v>45929</v>
      </c>
      <c r="B157" t="s">
        <v>18</v>
      </c>
      <c r="C157" t="s">
        <v>19</v>
      </c>
      <c r="D157" s="2">
        <v>228.3107813425008</v>
      </c>
      <c r="E157" s="2">
        <v>232.07932444027639</v>
      </c>
      <c r="F157" s="2">
        <v>227.7421136379146</v>
      </c>
      <c r="G157" s="2">
        <v>230.97093200683591</v>
      </c>
      <c r="H157" s="3">
        <v>8894412</v>
      </c>
      <c r="I157" s="4">
        <f t="shared" si="8"/>
        <v>-0.25</v>
      </c>
      <c r="J157" s="2">
        <f t="shared" si="9"/>
        <v>1.1100000000000001</v>
      </c>
      <c r="K157" s="7">
        <f t="shared" si="10"/>
        <v>45901</v>
      </c>
      <c r="L157" t="str">
        <f t="shared" si="11"/>
        <v>Q3-2025</v>
      </c>
    </row>
    <row r="158" spans="1:12">
      <c r="A158" s="6">
        <v>45929</v>
      </c>
      <c r="B158" t="s">
        <v>20</v>
      </c>
      <c r="C158" t="s">
        <v>21</v>
      </c>
      <c r="D158" s="2">
        <v>1336.570225397355</v>
      </c>
      <c r="E158" s="2">
        <v>1341.831936347284</v>
      </c>
      <c r="F158" s="2">
        <v>1323.0811352274909</v>
      </c>
      <c r="G158" s="2">
        <v>1327.29052734375</v>
      </c>
      <c r="H158" s="3">
        <v>2990852</v>
      </c>
      <c r="I158" s="4">
        <f t="shared" si="8"/>
        <v>-1.01</v>
      </c>
      <c r="J158" s="2">
        <f t="shared" si="9"/>
        <v>14.54</v>
      </c>
      <c r="K158" s="7">
        <f t="shared" si="10"/>
        <v>45901</v>
      </c>
      <c r="L158" t="str">
        <f t="shared" si="11"/>
        <v>Q3-2025</v>
      </c>
    </row>
    <row r="159" spans="1:12">
      <c r="A159" s="6">
        <v>45929</v>
      </c>
      <c r="B159" t="s">
        <v>22</v>
      </c>
      <c r="C159" t="s">
        <v>23</v>
      </c>
      <c r="D159" s="2">
        <v>983.95142194142852</v>
      </c>
      <c r="E159" s="2">
        <v>991.70375434548657</v>
      </c>
      <c r="F159" s="2">
        <v>975.1057737823071</v>
      </c>
      <c r="G159" s="2">
        <v>984.8956298828125</v>
      </c>
      <c r="H159" s="3">
        <v>5804877</v>
      </c>
      <c r="I159" s="4">
        <f t="shared" si="8"/>
        <v>-0.9</v>
      </c>
      <c r="J159" s="2">
        <f t="shared" si="9"/>
        <v>6.81</v>
      </c>
      <c r="K159" s="7">
        <f t="shared" si="10"/>
        <v>45901</v>
      </c>
      <c r="L159" t="str">
        <f t="shared" si="11"/>
        <v>Q3-2025</v>
      </c>
    </row>
    <row r="160" spans="1:12">
      <c r="A160" s="6">
        <v>45929</v>
      </c>
      <c r="B160" t="s">
        <v>24</v>
      </c>
      <c r="C160" t="s">
        <v>25</v>
      </c>
      <c r="D160" s="2">
        <v>16137.926317430711</v>
      </c>
      <c r="E160" s="2">
        <v>16177.52859060232</v>
      </c>
      <c r="F160" s="2">
        <v>15791.40642717913</v>
      </c>
      <c r="G160" s="2">
        <v>15825.068359375</v>
      </c>
      <c r="H160" s="3">
        <v>627326</v>
      </c>
      <c r="I160" s="4">
        <f t="shared" si="8"/>
        <v>-2.15</v>
      </c>
      <c r="J160" s="2">
        <f t="shared" si="9"/>
        <v>352.46</v>
      </c>
      <c r="K160" s="7">
        <f t="shared" si="10"/>
        <v>45901</v>
      </c>
      <c r="L160" t="str">
        <f t="shared" si="11"/>
        <v>Q3-2025</v>
      </c>
    </row>
    <row r="161" spans="1:12">
      <c r="A161" s="6">
        <v>45929</v>
      </c>
      <c r="B161" t="s">
        <v>26</v>
      </c>
      <c r="C161" t="s">
        <v>27</v>
      </c>
      <c r="D161" s="2">
        <v>678.3726736756505</v>
      </c>
      <c r="E161" s="2">
        <v>679.36444659038102</v>
      </c>
      <c r="F161" s="2">
        <v>664.48785286942382</v>
      </c>
      <c r="G161" s="2">
        <v>666.96728515625</v>
      </c>
      <c r="H161" s="3">
        <v>13014474</v>
      </c>
      <c r="I161" s="4">
        <f t="shared" si="8"/>
        <v>-2.0499999999999998</v>
      </c>
      <c r="J161" s="2">
        <f t="shared" si="9"/>
        <v>12.4</v>
      </c>
      <c r="K161" s="7">
        <f t="shared" si="10"/>
        <v>45901</v>
      </c>
      <c r="L161" t="str">
        <f t="shared" si="11"/>
        <v>Q3-2025</v>
      </c>
    </row>
    <row r="162" spans="1:12">
      <c r="A162" s="6">
        <v>45929</v>
      </c>
      <c r="B162" t="s">
        <v>28</v>
      </c>
      <c r="C162" t="s">
        <v>29</v>
      </c>
      <c r="D162" s="2">
        <v>1566.6903581737799</v>
      </c>
      <c r="E162" s="2">
        <v>1604.247349207342</v>
      </c>
      <c r="F162" s="2">
        <v>1565.6994091806271</v>
      </c>
      <c r="G162" s="2">
        <v>1574.915283203125</v>
      </c>
      <c r="H162" s="3">
        <v>4180922</v>
      </c>
      <c r="I162" s="4">
        <f t="shared" si="8"/>
        <v>-0.06</v>
      </c>
      <c r="J162" s="2">
        <f t="shared" si="9"/>
        <v>29.33</v>
      </c>
      <c r="K162" s="7">
        <f t="shared" si="10"/>
        <v>45901</v>
      </c>
      <c r="L162" t="str">
        <f t="shared" si="11"/>
        <v>Q3-2025</v>
      </c>
    </row>
    <row r="163" spans="1:12">
      <c r="A163" s="6">
        <v>45929</v>
      </c>
      <c r="B163" t="s">
        <v>30</v>
      </c>
      <c r="C163" t="s">
        <v>31</v>
      </c>
      <c r="D163" s="2">
        <v>2319.1283057695368</v>
      </c>
      <c r="E163" s="2">
        <v>2339.7173125599838</v>
      </c>
      <c r="F163" s="2">
        <v>2305.5673574257471</v>
      </c>
      <c r="G163" s="2">
        <v>2318.83154296875</v>
      </c>
      <c r="H163" s="3">
        <v>950369</v>
      </c>
      <c r="I163" s="4">
        <f t="shared" si="8"/>
        <v>-0.57999999999999996</v>
      </c>
      <c r="J163" s="2">
        <f t="shared" si="9"/>
        <v>20.89</v>
      </c>
      <c r="K163" s="7">
        <f t="shared" si="10"/>
        <v>45901</v>
      </c>
      <c r="L163" t="str">
        <f t="shared" si="11"/>
        <v>Q3-2025</v>
      </c>
    </row>
    <row r="164" spans="1:12">
      <c r="A164" s="6">
        <v>45929</v>
      </c>
      <c r="B164" t="s">
        <v>32</v>
      </c>
      <c r="C164" t="s">
        <v>33</v>
      </c>
      <c r="D164" s="2">
        <v>2450.613113672247</v>
      </c>
      <c r="E164" s="2">
        <v>2472.6145142448208</v>
      </c>
      <c r="F164" s="2">
        <v>2399.5382111027252</v>
      </c>
      <c r="G164" s="2">
        <v>2453.46142578125</v>
      </c>
      <c r="H164" s="3">
        <v>2403556</v>
      </c>
      <c r="I164" s="4">
        <f t="shared" si="8"/>
        <v>-2.08</v>
      </c>
      <c r="J164" s="2">
        <f t="shared" si="9"/>
        <v>19.149999999999999</v>
      </c>
      <c r="K164" s="7">
        <f t="shared" si="10"/>
        <v>45901</v>
      </c>
      <c r="L164" t="str">
        <f t="shared" si="11"/>
        <v>Q3-2025</v>
      </c>
    </row>
    <row r="165" spans="1:12">
      <c r="A165" s="6">
        <v>45929</v>
      </c>
      <c r="B165" t="s">
        <v>34</v>
      </c>
      <c r="C165" t="s">
        <v>35</v>
      </c>
      <c r="D165" s="2">
        <v>3701.842733427211</v>
      </c>
      <c r="E165" s="2">
        <v>3703.8233876452032</v>
      </c>
      <c r="F165" s="2">
        <v>3644.0077269734729</v>
      </c>
      <c r="G165" s="2">
        <v>3652.722412109375</v>
      </c>
      <c r="H165" s="3">
        <v>2599630</v>
      </c>
      <c r="I165" s="4">
        <f t="shared" si="8"/>
        <v>-1.56</v>
      </c>
      <c r="J165" s="2">
        <f t="shared" si="9"/>
        <v>51.1</v>
      </c>
      <c r="K165" s="7">
        <f t="shared" si="10"/>
        <v>45901</v>
      </c>
      <c r="L165" t="str">
        <f t="shared" si="11"/>
        <v>Q3-2025</v>
      </c>
    </row>
    <row r="166" spans="1:12">
      <c r="A166" s="6">
        <v>45929</v>
      </c>
      <c r="B166" t="s">
        <v>36</v>
      </c>
      <c r="C166" t="s">
        <v>37</v>
      </c>
      <c r="D166" s="2">
        <v>1154.509586095744</v>
      </c>
      <c r="E166" s="2">
        <v>1157.407375532476</v>
      </c>
      <c r="F166" s="2">
        <v>1125.831631292551</v>
      </c>
      <c r="G166" s="2">
        <v>1131.327392578125</v>
      </c>
      <c r="H166" s="3">
        <v>9693881</v>
      </c>
      <c r="I166" s="4">
        <f t="shared" si="8"/>
        <v>-2.48</v>
      </c>
      <c r="J166" s="2">
        <f t="shared" si="9"/>
        <v>26.08</v>
      </c>
      <c r="K166" s="7">
        <f t="shared" si="10"/>
        <v>45901</v>
      </c>
      <c r="L166" t="str">
        <f t="shared" si="11"/>
        <v>Q3-2025</v>
      </c>
    </row>
    <row r="167" spans="1:12">
      <c r="A167" s="6">
        <v>45930</v>
      </c>
      <c r="B167" t="s">
        <v>8</v>
      </c>
      <c r="C167" t="s">
        <v>9</v>
      </c>
      <c r="D167" s="2">
        <v>1370.7620971908359</v>
      </c>
      <c r="E167" s="2">
        <v>1370.7620971908359</v>
      </c>
      <c r="F167" s="2">
        <v>1356.5279835173719</v>
      </c>
      <c r="G167" s="2">
        <v>1357.722412109375</v>
      </c>
      <c r="H167" s="3">
        <v>14604684</v>
      </c>
      <c r="I167" s="4">
        <f t="shared" si="8"/>
        <v>-1.04</v>
      </c>
      <c r="J167" s="2">
        <f t="shared" si="9"/>
        <v>13.04</v>
      </c>
      <c r="K167" s="7">
        <f t="shared" si="10"/>
        <v>45901</v>
      </c>
      <c r="L167" t="str">
        <f t="shared" si="11"/>
        <v>Q3-2025</v>
      </c>
    </row>
    <row r="168" spans="1:12">
      <c r="A168" s="6">
        <v>45930</v>
      </c>
      <c r="B168" t="s">
        <v>10</v>
      </c>
      <c r="C168" t="s">
        <v>11</v>
      </c>
      <c r="D168" s="2">
        <v>2794.9727356006979</v>
      </c>
      <c r="E168" s="2">
        <v>2799.1013921573322</v>
      </c>
      <c r="F168" s="2">
        <v>2770.105157137798</v>
      </c>
      <c r="G168" s="2">
        <v>2773.2734375</v>
      </c>
      <c r="H168" s="3">
        <v>2253458</v>
      </c>
      <c r="I168" s="4">
        <f t="shared" si="8"/>
        <v>-0.89</v>
      </c>
      <c r="J168" s="2">
        <f t="shared" si="9"/>
        <v>25.83</v>
      </c>
      <c r="K168" s="7">
        <f t="shared" si="10"/>
        <v>45901</v>
      </c>
      <c r="L168" t="str">
        <f t="shared" si="11"/>
        <v>Q3-2025</v>
      </c>
    </row>
    <row r="169" spans="1:12">
      <c r="A169" s="6">
        <v>45930</v>
      </c>
      <c r="B169" t="s">
        <v>12</v>
      </c>
      <c r="C169" t="s">
        <v>13</v>
      </c>
      <c r="D169" s="2">
        <v>1391.139003012896</v>
      </c>
      <c r="E169" s="2">
        <v>1400.0083106366039</v>
      </c>
      <c r="F169" s="2">
        <v>1386.415084039842</v>
      </c>
      <c r="G169" s="2">
        <v>1389.982177734375</v>
      </c>
      <c r="H169" s="3">
        <v>7556305</v>
      </c>
      <c r="I169" s="4">
        <f t="shared" si="8"/>
        <v>-0.34</v>
      </c>
      <c r="J169" s="2">
        <f t="shared" si="9"/>
        <v>10.029999999999999</v>
      </c>
      <c r="K169" s="7">
        <f t="shared" si="10"/>
        <v>45901</v>
      </c>
      <c r="L169" t="str">
        <f t="shared" si="11"/>
        <v>Q3-2025</v>
      </c>
    </row>
    <row r="170" spans="1:12">
      <c r="A170" s="6">
        <v>45930</v>
      </c>
      <c r="B170" t="s">
        <v>14</v>
      </c>
      <c r="C170" t="s">
        <v>15</v>
      </c>
      <c r="D170" s="2">
        <v>942.46219867146283</v>
      </c>
      <c r="E170" s="2">
        <v>944.38048353706631</v>
      </c>
      <c r="F170" s="2">
        <v>930.90337504483728</v>
      </c>
      <c r="G170" s="2">
        <v>935.52691650390625</v>
      </c>
      <c r="H170" s="3">
        <v>28296687</v>
      </c>
      <c r="I170" s="4">
        <f t="shared" si="8"/>
        <v>-1.23</v>
      </c>
      <c r="J170" s="2">
        <f t="shared" si="9"/>
        <v>8.85</v>
      </c>
      <c r="K170" s="7">
        <f t="shared" si="10"/>
        <v>45901</v>
      </c>
      <c r="L170" t="str">
        <f t="shared" si="11"/>
        <v>Q3-2025</v>
      </c>
    </row>
    <row r="171" spans="1:12">
      <c r="A171" s="6">
        <v>45930</v>
      </c>
      <c r="B171" t="s">
        <v>16</v>
      </c>
      <c r="C171" t="s">
        <v>17</v>
      </c>
      <c r="D171" s="2">
        <v>1342.383012440642</v>
      </c>
      <c r="E171" s="2">
        <v>1345.2587926353081</v>
      </c>
      <c r="F171" s="2">
        <v>1331.3758327091441</v>
      </c>
      <c r="G171" s="2">
        <v>1336.730712890625</v>
      </c>
      <c r="H171" s="3">
        <v>20166871</v>
      </c>
      <c r="I171" s="4">
        <f t="shared" si="8"/>
        <v>-0.82</v>
      </c>
      <c r="J171" s="2">
        <f t="shared" si="9"/>
        <v>8.5299999999999994</v>
      </c>
      <c r="K171" s="7">
        <f t="shared" si="10"/>
        <v>45901</v>
      </c>
      <c r="L171" t="str">
        <f t="shared" si="11"/>
        <v>Q3-2025</v>
      </c>
    </row>
    <row r="172" spans="1:12">
      <c r="A172" s="6">
        <v>45930</v>
      </c>
      <c r="B172" t="s">
        <v>18</v>
      </c>
      <c r="C172" t="s">
        <v>19</v>
      </c>
      <c r="D172" s="2">
        <v>231.25043279062439</v>
      </c>
      <c r="E172" s="2">
        <v>232.7636444952596</v>
      </c>
      <c r="F172" s="2">
        <v>230.3540829580416</v>
      </c>
      <c r="G172" s="2">
        <v>230.710693359375</v>
      </c>
      <c r="H172" s="3">
        <v>5590909</v>
      </c>
      <c r="I172" s="4">
        <f t="shared" si="8"/>
        <v>-0.39</v>
      </c>
      <c r="J172" s="2">
        <f t="shared" si="9"/>
        <v>2.0499999999999998</v>
      </c>
      <c r="K172" s="7">
        <f t="shared" si="10"/>
        <v>45901</v>
      </c>
      <c r="L172" t="str">
        <f t="shared" si="11"/>
        <v>Q3-2025</v>
      </c>
    </row>
    <row r="173" spans="1:12">
      <c r="A173" s="6">
        <v>45930</v>
      </c>
      <c r="B173" t="s">
        <v>20</v>
      </c>
      <c r="C173" t="s">
        <v>21</v>
      </c>
      <c r="D173" s="2">
        <v>1331.786810711164</v>
      </c>
      <c r="E173" s="2">
        <v>1344.1279375510439</v>
      </c>
      <c r="F173" s="2">
        <v>1322.028775599581</v>
      </c>
      <c r="G173" s="2">
        <v>1325.090087890625</v>
      </c>
      <c r="H173" s="3">
        <v>2782077</v>
      </c>
      <c r="I173" s="4">
        <f t="shared" si="8"/>
        <v>-0.73</v>
      </c>
      <c r="J173" s="2">
        <f t="shared" si="9"/>
        <v>19.04</v>
      </c>
      <c r="K173" s="7">
        <f t="shared" si="10"/>
        <v>45901</v>
      </c>
      <c r="L173" t="str">
        <f t="shared" si="11"/>
        <v>Q3-2025</v>
      </c>
    </row>
    <row r="174" spans="1:12">
      <c r="A174" s="6">
        <v>45930</v>
      </c>
      <c r="B174" t="s">
        <v>22</v>
      </c>
      <c r="C174" t="s">
        <v>23</v>
      </c>
      <c r="D174" s="2">
        <v>983.95147054456504</v>
      </c>
      <c r="E174" s="2">
        <v>996.17631001584971</v>
      </c>
      <c r="F174" s="2">
        <v>983.40484297115779</v>
      </c>
      <c r="G174" s="2">
        <v>992.797119140625</v>
      </c>
      <c r="H174" s="3">
        <v>7182200</v>
      </c>
      <c r="I174" s="4">
        <f t="shared" si="8"/>
        <v>-0.06</v>
      </c>
      <c r="J174" s="2">
        <f t="shared" si="9"/>
        <v>3.38</v>
      </c>
      <c r="K174" s="7">
        <f t="shared" si="10"/>
        <v>45901</v>
      </c>
      <c r="L174" t="str">
        <f t="shared" si="11"/>
        <v>Q3-2025</v>
      </c>
    </row>
    <row r="175" spans="1:12">
      <c r="A175" s="6">
        <v>45930</v>
      </c>
      <c r="B175" t="s">
        <v>24</v>
      </c>
      <c r="C175" t="s">
        <v>25</v>
      </c>
      <c r="D175" s="2">
        <v>15826.0585927752</v>
      </c>
      <c r="E175" s="2">
        <v>15894.37251475841</v>
      </c>
      <c r="F175" s="2">
        <v>15762.69495499368</v>
      </c>
      <c r="G175" s="2">
        <v>15869.62109375</v>
      </c>
      <c r="H175" s="3">
        <v>390006</v>
      </c>
      <c r="I175" s="4">
        <f t="shared" si="8"/>
        <v>-0.4</v>
      </c>
      <c r="J175" s="2">
        <f t="shared" si="9"/>
        <v>24.75</v>
      </c>
      <c r="K175" s="7">
        <f t="shared" si="10"/>
        <v>45901</v>
      </c>
      <c r="L175" t="str">
        <f t="shared" si="11"/>
        <v>Q3-2025</v>
      </c>
    </row>
    <row r="176" spans="1:12">
      <c r="A176" s="6">
        <v>45930</v>
      </c>
      <c r="B176" t="s">
        <v>26</v>
      </c>
      <c r="C176" t="s">
        <v>27</v>
      </c>
      <c r="D176" s="2">
        <v>666.47139293404575</v>
      </c>
      <c r="E176" s="2">
        <v>677.876781354792</v>
      </c>
      <c r="F176" s="2">
        <v>661.165432099339</v>
      </c>
      <c r="G176" s="2">
        <v>674.60394287109375</v>
      </c>
      <c r="H176" s="3">
        <v>15001606</v>
      </c>
      <c r="I176" s="4">
        <f t="shared" si="8"/>
        <v>-0.8</v>
      </c>
      <c r="J176" s="2">
        <f t="shared" si="9"/>
        <v>3.27</v>
      </c>
      <c r="K176" s="7">
        <f t="shared" si="10"/>
        <v>45901</v>
      </c>
      <c r="L176" t="str">
        <f t="shared" si="11"/>
        <v>Q3-2025</v>
      </c>
    </row>
    <row r="177" spans="1:12">
      <c r="A177" s="6">
        <v>45930</v>
      </c>
      <c r="B177" t="s">
        <v>28</v>
      </c>
      <c r="C177" t="s">
        <v>29</v>
      </c>
      <c r="D177" s="2">
        <v>1574.717109553487</v>
      </c>
      <c r="E177" s="2">
        <v>1589.779607677378</v>
      </c>
      <c r="F177" s="2">
        <v>1571.6451916947169</v>
      </c>
      <c r="G177" s="2">
        <v>1579.8701171875</v>
      </c>
      <c r="H177" s="3">
        <v>2257443</v>
      </c>
      <c r="I177" s="4">
        <f t="shared" si="8"/>
        <v>-0.2</v>
      </c>
      <c r="J177" s="2">
        <f t="shared" si="9"/>
        <v>9.91</v>
      </c>
      <c r="K177" s="7">
        <f t="shared" si="10"/>
        <v>45901</v>
      </c>
      <c r="L177" t="str">
        <f t="shared" si="11"/>
        <v>Q3-2025</v>
      </c>
    </row>
    <row r="178" spans="1:12">
      <c r="A178" s="6">
        <v>45930</v>
      </c>
      <c r="B178" t="s">
        <v>30</v>
      </c>
      <c r="C178" t="s">
        <v>31</v>
      </c>
      <c r="D178" s="2">
        <v>2328.1362017952129</v>
      </c>
      <c r="E178" s="2">
        <v>2364.5628709723342</v>
      </c>
      <c r="F178" s="2">
        <v>2316.2579558676862</v>
      </c>
      <c r="G178" s="2">
        <v>2326.156494140625</v>
      </c>
      <c r="H178" s="3">
        <v>778874</v>
      </c>
      <c r="I178" s="4">
        <f t="shared" si="8"/>
        <v>-0.51</v>
      </c>
      <c r="J178" s="2">
        <f t="shared" si="9"/>
        <v>38.409999999999997</v>
      </c>
      <c r="K178" s="7">
        <f t="shared" si="10"/>
        <v>45901</v>
      </c>
      <c r="L178" t="str">
        <f t="shared" si="11"/>
        <v>Q3-2025</v>
      </c>
    </row>
    <row r="179" spans="1:12">
      <c r="A179" s="6">
        <v>45930</v>
      </c>
      <c r="B179" t="s">
        <v>32</v>
      </c>
      <c r="C179" t="s">
        <v>33</v>
      </c>
      <c r="D179" s="2">
        <v>2453.4615087328839</v>
      </c>
      <c r="E179" s="2">
        <v>2481.3564080346569</v>
      </c>
      <c r="F179" s="2">
        <v>2447.2737794732711</v>
      </c>
      <c r="G179" s="2">
        <v>2469.66796875</v>
      </c>
      <c r="H179" s="3">
        <v>1678088</v>
      </c>
      <c r="I179" s="4">
        <f t="shared" si="8"/>
        <v>-0.25</v>
      </c>
      <c r="J179" s="2">
        <f t="shared" si="9"/>
        <v>11.69</v>
      </c>
      <c r="K179" s="7">
        <f t="shared" si="10"/>
        <v>45901</v>
      </c>
      <c r="L179" t="str">
        <f t="shared" si="11"/>
        <v>Q3-2025</v>
      </c>
    </row>
    <row r="180" spans="1:12">
      <c r="A180" s="6">
        <v>45930</v>
      </c>
      <c r="B180" t="s">
        <v>34</v>
      </c>
      <c r="C180" t="s">
        <v>35</v>
      </c>
      <c r="D180" s="2">
        <v>3659.2587099286429</v>
      </c>
      <c r="E180" s="2">
        <v>3660.843330032938</v>
      </c>
      <c r="F180" s="2">
        <v>3612.713335269199</v>
      </c>
      <c r="G180" s="2">
        <v>3623.60693359375</v>
      </c>
      <c r="H180" s="3">
        <v>1676302</v>
      </c>
      <c r="I180" s="4">
        <f t="shared" si="8"/>
        <v>-1.27</v>
      </c>
      <c r="J180" s="2">
        <f t="shared" si="9"/>
        <v>37.24</v>
      </c>
      <c r="K180" s="7">
        <f t="shared" si="10"/>
        <v>45901</v>
      </c>
      <c r="L180" t="str">
        <f t="shared" si="11"/>
        <v>Q3-2025</v>
      </c>
    </row>
    <row r="181" spans="1:12">
      <c r="A181" s="6">
        <v>45930</v>
      </c>
      <c r="B181" t="s">
        <v>36</v>
      </c>
      <c r="C181" t="s">
        <v>37</v>
      </c>
      <c r="D181" s="2">
        <v>1129.129162712632</v>
      </c>
      <c r="E181" s="2">
        <v>1136.1237681453649</v>
      </c>
      <c r="F181" s="2">
        <v>1124.532732109227</v>
      </c>
      <c r="G181" s="2">
        <v>1130.727905273438</v>
      </c>
      <c r="H181" s="3">
        <v>8165203</v>
      </c>
      <c r="I181" s="4">
        <f t="shared" si="8"/>
        <v>-0.41</v>
      </c>
      <c r="J181" s="2">
        <f t="shared" si="9"/>
        <v>5.4</v>
      </c>
      <c r="K181" s="7">
        <f t="shared" si="10"/>
        <v>45901</v>
      </c>
      <c r="L181" t="str">
        <f t="shared" si="11"/>
        <v>Q3-2025</v>
      </c>
    </row>
    <row r="182" spans="1:12">
      <c r="A182" s="6">
        <v>45931</v>
      </c>
      <c r="B182" t="s">
        <v>8</v>
      </c>
      <c r="C182" t="s">
        <v>9</v>
      </c>
      <c r="D182" s="2">
        <v>1360.708629382317</v>
      </c>
      <c r="E182" s="2">
        <v>1372.2552181755941</v>
      </c>
      <c r="F182" s="2">
        <v>1356.428370752328</v>
      </c>
      <c r="G182" s="2">
        <v>1362.400756835938</v>
      </c>
      <c r="H182" s="3">
        <v>12045916</v>
      </c>
      <c r="I182" s="4">
        <f t="shared" si="8"/>
        <v>-0.31</v>
      </c>
      <c r="J182" s="2">
        <f t="shared" si="9"/>
        <v>9.85</v>
      </c>
      <c r="K182" s="7">
        <f t="shared" si="10"/>
        <v>45931</v>
      </c>
      <c r="L182" t="str">
        <f t="shared" si="11"/>
        <v>Q4-2025</v>
      </c>
    </row>
    <row r="183" spans="1:12">
      <c r="A183" s="6">
        <v>45931</v>
      </c>
      <c r="B183" t="s">
        <v>10</v>
      </c>
      <c r="C183" t="s">
        <v>11</v>
      </c>
      <c r="D183" s="2">
        <v>2775.769923302043</v>
      </c>
      <c r="E183" s="2">
        <v>2808.2227627843149</v>
      </c>
      <c r="F183" s="2">
        <v>2752.342557318892</v>
      </c>
      <c r="G183" s="2">
        <v>2798.045166015625</v>
      </c>
      <c r="H183" s="3">
        <v>1952902</v>
      </c>
      <c r="I183" s="4">
        <f t="shared" si="8"/>
        <v>-0.84</v>
      </c>
      <c r="J183" s="2">
        <f t="shared" si="9"/>
        <v>10.18</v>
      </c>
      <c r="K183" s="7">
        <f t="shared" si="10"/>
        <v>45931</v>
      </c>
      <c r="L183" t="str">
        <f t="shared" si="11"/>
        <v>Q4-2025</v>
      </c>
    </row>
    <row r="184" spans="1:12">
      <c r="A184" s="6">
        <v>45931</v>
      </c>
      <c r="B184" t="s">
        <v>12</v>
      </c>
      <c r="C184" t="s">
        <v>13</v>
      </c>
      <c r="D184" s="2">
        <v>1394.0311438860911</v>
      </c>
      <c r="E184" s="2">
        <v>1397.405354815276</v>
      </c>
      <c r="F184" s="2">
        <v>1376.0996464847649</v>
      </c>
      <c r="G184" s="2">
        <v>1393.83837890625</v>
      </c>
      <c r="H184" s="3">
        <v>6250692</v>
      </c>
      <c r="I184" s="4">
        <f t="shared" si="8"/>
        <v>-1.29</v>
      </c>
      <c r="J184" s="2">
        <f t="shared" si="9"/>
        <v>3.57</v>
      </c>
      <c r="K184" s="7">
        <f t="shared" si="10"/>
        <v>45931</v>
      </c>
      <c r="L184" t="str">
        <f t="shared" si="11"/>
        <v>Q4-2025</v>
      </c>
    </row>
    <row r="185" spans="1:12">
      <c r="A185" s="6">
        <v>45931</v>
      </c>
      <c r="B185" t="s">
        <v>14</v>
      </c>
      <c r="C185" t="s">
        <v>15</v>
      </c>
      <c r="D185" s="2">
        <v>937.19924885555577</v>
      </c>
      <c r="E185" s="2">
        <v>953.82424390274332</v>
      </c>
      <c r="F185" s="2">
        <v>930.60824819711536</v>
      </c>
      <c r="G185" s="2">
        <v>949.5450439453125</v>
      </c>
      <c r="H185" s="3">
        <v>25350832</v>
      </c>
      <c r="I185" s="4">
        <f t="shared" si="8"/>
        <v>-0.7</v>
      </c>
      <c r="J185" s="2">
        <f t="shared" si="9"/>
        <v>4.28</v>
      </c>
      <c r="K185" s="7">
        <f t="shared" si="10"/>
        <v>45931</v>
      </c>
      <c r="L185" t="str">
        <f t="shared" si="11"/>
        <v>Q4-2025</v>
      </c>
    </row>
    <row r="186" spans="1:12">
      <c r="A186" s="6">
        <v>45931</v>
      </c>
      <c r="B186" t="s">
        <v>16</v>
      </c>
      <c r="C186" t="s">
        <v>17</v>
      </c>
      <c r="D186" s="2">
        <v>1336.7306701838099</v>
      </c>
      <c r="E186" s="2">
        <v>1367.868189233363</v>
      </c>
      <c r="F186" s="2">
        <v>1335.83817000711</v>
      </c>
      <c r="G186" s="2">
        <v>1360.530029296875</v>
      </c>
      <c r="H186" s="3">
        <v>20952632</v>
      </c>
      <c r="I186" s="4">
        <f t="shared" si="8"/>
        <v>-7.0000000000000007E-2</v>
      </c>
      <c r="J186" s="2">
        <f t="shared" si="9"/>
        <v>7.34</v>
      </c>
      <c r="K186" s="7">
        <f t="shared" si="10"/>
        <v>45931</v>
      </c>
      <c r="L186" t="str">
        <f t="shared" si="11"/>
        <v>Q4-2025</v>
      </c>
    </row>
    <row r="187" spans="1:12">
      <c r="A187" s="6">
        <v>45931</v>
      </c>
      <c r="B187" t="s">
        <v>18</v>
      </c>
      <c r="C187" t="s">
        <v>19</v>
      </c>
      <c r="D187" s="2">
        <v>231.31789803303599</v>
      </c>
      <c r="E187" s="2">
        <v>234.75875882553939</v>
      </c>
      <c r="F187" s="2">
        <v>229.23603342110769</v>
      </c>
      <c r="G187" s="2">
        <v>232.34919738769531</v>
      </c>
      <c r="H187" s="3">
        <v>9479378</v>
      </c>
      <c r="I187" s="4">
        <f t="shared" si="8"/>
        <v>-0.9</v>
      </c>
      <c r="J187" s="2">
        <f t="shared" si="9"/>
        <v>2.41</v>
      </c>
      <c r="K187" s="7">
        <f t="shared" si="10"/>
        <v>45931</v>
      </c>
      <c r="L187" t="str">
        <f t="shared" si="11"/>
        <v>Q4-2025</v>
      </c>
    </row>
    <row r="188" spans="1:12">
      <c r="A188" s="6">
        <v>45931</v>
      </c>
      <c r="B188" t="s">
        <v>20</v>
      </c>
      <c r="C188" t="s">
        <v>21</v>
      </c>
      <c r="D188" s="2">
        <v>1326.0468430517601</v>
      </c>
      <c r="E188" s="2">
        <v>1336.2833329104569</v>
      </c>
      <c r="F188" s="2">
        <v>1322.124499946586</v>
      </c>
      <c r="G188" s="2">
        <v>1329.299560546875</v>
      </c>
      <c r="H188" s="3">
        <v>2253527</v>
      </c>
      <c r="I188" s="4">
        <f t="shared" si="8"/>
        <v>-0.3</v>
      </c>
      <c r="J188" s="2">
        <f t="shared" si="9"/>
        <v>6.98</v>
      </c>
      <c r="K188" s="7">
        <f t="shared" si="10"/>
        <v>45931</v>
      </c>
      <c r="L188" t="str">
        <f t="shared" si="11"/>
        <v>Q4-2025</v>
      </c>
    </row>
    <row r="189" spans="1:12">
      <c r="A189" s="6">
        <v>45931</v>
      </c>
      <c r="B189" t="s">
        <v>22</v>
      </c>
      <c r="C189" t="s">
        <v>23</v>
      </c>
      <c r="D189" s="2">
        <v>985.44229860484279</v>
      </c>
      <c r="E189" s="2">
        <v>993.8903667219796</v>
      </c>
      <c r="F189" s="2">
        <v>971.77630606241553</v>
      </c>
      <c r="G189" s="2">
        <v>981.66552734375</v>
      </c>
      <c r="H189" s="3">
        <v>6932272</v>
      </c>
      <c r="I189" s="4">
        <f t="shared" si="8"/>
        <v>-1.39</v>
      </c>
      <c r="J189" s="2">
        <f t="shared" si="9"/>
        <v>12.22</v>
      </c>
      <c r="K189" s="7">
        <f t="shared" si="10"/>
        <v>45931</v>
      </c>
      <c r="L189" t="str">
        <f t="shared" si="11"/>
        <v>Q4-2025</v>
      </c>
    </row>
    <row r="190" spans="1:12">
      <c r="A190" s="6">
        <v>45931</v>
      </c>
      <c r="B190" t="s">
        <v>24</v>
      </c>
      <c r="C190" t="s">
        <v>25</v>
      </c>
      <c r="D190" s="2">
        <v>15866.65030082896</v>
      </c>
      <c r="E190" s="2">
        <v>15948.82501535341</v>
      </c>
      <c r="F190" s="2">
        <v>15692.400303765069</v>
      </c>
      <c r="G190" s="2">
        <v>15806.2568359375</v>
      </c>
      <c r="H190" s="3">
        <v>426075</v>
      </c>
      <c r="I190" s="4">
        <f t="shared" si="8"/>
        <v>-1.1000000000000001</v>
      </c>
      <c r="J190" s="2">
        <f t="shared" si="9"/>
        <v>142.57</v>
      </c>
      <c r="K190" s="7">
        <f t="shared" si="10"/>
        <v>45931</v>
      </c>
      <c r="L190" t="str">
        <f t="shared" si="11"/>
        <v>Q4-2025</v>
      </c>
    </row>
    <row r="191" spans="1:12">
      <c r="A191" s="6">
        <v>45931</v>
      </c>
      <c r="B191" t="s">
        <v>26</v>
      </c>
      <c r="C191" t="s">
        <v>27</v>
      </c>
      <c r="D191" s="2">
        <v>675.397368576227</v>
      </c>
      <c r="E191" s="2">
        <v>714.07651303213424</v>
      </c>
      <c r="F191" s="2">
        <v>673.6121894002498</v>
      </c>
      <c r="G191" s="2">
        <v>712.4400634765625</v>
      </c>
      <c r="H191" s="3">
        <v>30163206</v>
      </c>
      <c r="I191" s="4">
        <f t="shared" si="8"/>
        <v>-0.26</v>
      </c>
      <c r="J191" s="2">
        <f t="shared" si="9"/>
        <v>1.64</v>
      </c>
      <c r="K191" s="7">
        <f t="shared" si="10"/>
        <v>45931</v>
      </c>
      <c r="L191" t="str">
        <f t="shared" si="11"/>
        <v>Q4-2025</v>
      </c>
    </row>
    <row r="192" spans="1:12">
      <c r="A192" s="6">
        <v>45931</v>
      </c>
      <c r="B192" t="s">
        <v>28</v>
      </c>
      <c r="C192" t="s">
        <v>29</v>
      </c>
      <c r="D192" s="2">
        <v>1597.3107583309261</v>
      </c>
      <c r="E192" s="2">
        <v>1636.552315546023</v>
      </c>
      <c r="F192" s="2">
        <v>1597.3107583309261</v>
      </c>
      <c r="G192" s="2">
        <v>1621.390747070312</v>
      </c>
      <c r="H192" s="3">
        <v>3109095</v>
      </c>
      <c r="I192" s="4">
        <f t="shared" si="8"/>
        <v>0</v>
      </c>
      <c r="J192" s="2">
        <f t="shared" si="9"/>
        <v>15.16</v>
      </c>
      <c r="K192" s="7">
        <f t="shared" si="10"/>
        <v>45931</v>
      </c>
      <c r="L192" t="str">
        <f t="shared" si="11"/>
        <v>Q4-2025</v>
      </c>
    </row>
    <row r="193" spans="1:12">
      <c r="A193" s="6">
        <v>45931</v>
      </c>
      <c r="B193" t="s">
        <v>30</v>
      </c>
      <c r="C193" t="s">
        <v>31</v>
      </c>
      <c r="D193" s="2">
        <v>2329.5218680572202</v>
      </c>
      <c r="E193" s="2">
        <v>2333.08543845128</v>
      </c>
      <c r="F193" s="2">
        <v>2297.6486235947918</v>
      </c>
      <c r="G193" s="2">
        <v>2312.1005859375</v>
      </c>
      <c r="H193" s="3">
        <v>648279</v>
      </c>
      <c r="I193" s="4">
        <f t="shared" si="8"/>
        <v>-1.37</v>
      </c>
      <c r="J193" s="2">
        <f t="shared" si="9"/>
        <v>20.98</v>
      </c>
      <c r="K193" s="7">
        <f t="shared" si="10"/>
        <v>45931</v>
      </c>
      <c r="L193" t="str">
        <f t="shared" si="11"/>
        <v>Q4-2025</v>
      </c>
    </row>
    <row r="194" spans="1:12">
      <c r="A194" s="6">
        <v>45931</v>
      </c>
      <c r="B194" t="s">
        <v>32</v>
      </c>
      <c r="C194" t="s">
        <v>33</v>
      </c>
      <c r="D194" s="2">
        <v>2470.6503114875059</v>
      </c>
      <c r="E194" s="2">
        <v>2504.6348647874652</v>
      </c>
      <c r="F194" s="2">
        <v>2453.4616408468082</v>
      </c>
      <c r="G194" s="2">
        <v>2491.080322265625</v>
      </c>
      <c r="H194" s="3">
        <v>1483899</v>
      </c>
      <c r="I194" s="4">
        <f t="shared" ref="I194:I257" si="12">ROUND(((F194-D194)/D194)*100, 2)</f>
        <v>-0.7</v>
      </c>
      <c r="J194" s="2">
        <f t="shared" ref="J194:J257" si="13">ROUND(E194-G194, 2)</f>
        <v>13.55</v>
      </c>
      <c r="K194" s="7">
        <f t="shared" ref="K194:K257" si="14">DATE(YEAR(A194),MONTH(A194),1)</f>
        <v>45931</v>
      </c>
      <c r="L194" t="str">
        <f t="shared" ref="L194:L257" si="15">"Q"&amp;INT((MONTH(A194)-1)/3)+1&amp;"-"&amp;YEAR(A194)</f>
        <v>Q4-2025</v>
      </c>
    </row>
    <row r="195" spans="1:12">
      <c r="A195" s="6">
        <v>45931</v>
      </c>
      <c r="B195" t="s">
        <v>34</v>
      </c>
      <c r="C195" t="s">
        <v>35</v>
      </c>
      <c r="D195" s="2">
        <v>3623.507733402203</v>
      </c>
      <c r="E195" s="2">
        <v>3652.3263487550412</v>
      </c>
      <c r="F195" s="2">
        <v>3580.0324703767551</v>
      </c>
      <c r="G195" s="2">
        <v>3634.797607421875</v>
      </c>
      <c r="H195" s="3">
        <v>2005028</v>
      </c>
      <c r="I195" s="4">
        <f t="shared" si="12"/>
        <v>-1.2</v>
      </c>
      <c r="J195" s="2">
        <f t="shared" si="13"/>
        <v>17.53</v>
      </c>
      <c r="K195" s="7">
        <f t="shared" si="14"/>
        <v>45931</v>
      </c>
      <c r="L195" t="str">
        <f t="shared" si="15"/>
        <v>Q4-2025</v>
      </c>
    </row>
    <row r="196" spans="1:12">
      <c r="A196" s="6">
        <v>45931</v>
      </c>
      <c r="B196" t="s">
        <v>36</v>
      </c>
      <c r="C196" t="s">
        <v>37</v>
      </c>
      <c r="D196" s="2">
        <v>1131.627252536789</v>
      </c>
      <c r="E196" s="2">
        <v>1163.9024097219319</v>
      </c>
      <c r="F196" s="2">
        <v>1130.128408493694</v>
      </c>
      <c r="G196" s="2">
        <v>1158.6064453125</v>
      </c>
      <c r="H196" s="3">
        <v>9655009</v>
      </c>
      <c r="I196" s="4">
        <f t="shared" si="12"/>
        <v>-0.13</v>
      </c>
      <c r="J196" s="2">
        <f t="shared" si="13"/>
        <v>5.3</v>
      </c>
      <c r="K196" s="7">
        <f t="shared" si="14"/>
        <v>45931</v>
      </c>
      <c r="L196" t="str">
        <f t="shared" si="15"/>
        <v>Q4-2025</v>
      </c>
    </row>
    <row r="197" spans="1:12">
      <c r="A197" s="6">
        <v>45933</v>
      </c>
      <c r="B197" t="s">
        <v>8</v>
      </c>
      <c r="C197" t="s">
        <v>9</v>
      </c>
      <c r="D197" s="2">
        <v>1356.9260916961571</v>
      </c>
      <c r="E197" s="2">
        <v>1365.287456651113</v>
      </c>
      <c r="F197" s="2">
        <v>1350.6551591113209</v>
      </c>
      <c r="G197" s="2">
        <v>1357.125244140625</v>
      </c>
      <c r="H197" s="3">
        <v>12842347</v>
      </c>
      <c r="I197" s="4">
        <f t="shared" si="12"/>
        <v>-0.46</v>
      </c>
      <c r="J197" s="2">
        <f t="shared" si="13"/>
        <v>8.16</v>
      </c>
      <c r="K197" s="7">
        <f t="shared" si="14"/>
        <v>45931</v>
      </c>
      <c r="L197" t="str">
        <f t="shared" si="15"/>
        <v>Q4-2025</v>
      </c>
    </row>
    <row r="198" spans="1:12">
      <c r="A198" s="6">
        <v>45933</v>
      </c>
      <c r="B198" t="s">
        <v>10</v>
      </c>
      <c r="C198" t="s">
        <v>11</v>
      </c>
      <c r="D198" s="2">
        <v>2807.454578770542</v>
      </c>
      <c r="E198" s="2">
        <v>2807.454578770542</v>
      </c>
      <c r="F198" s="2">
        <v>2775.8660078142962</v>
      </c>
      <c r="G198" s="2">
        <v>2786.2353515625</v>
      </c>
      <c r="H198" s="3">
        <v>2899519</v>
      </c>
      <c r="I198" s="4">
        <f t="shared" si="12"/>
        <v>-1.1299999999999999</v>
      </c>
      <c r="J198" s="2">
        <f t="shared" si="13"/>
        <v>21.22</v>
      </c>
      <c r="K198" s="7">
        <f t="shared" si="14"/>
        <v>45931</v>
      </c>
      <c r="L198" t="str">
        <f t="shared" si="15"/>
        <v>Q4-2025</v>
      </c>
    </row>
    <row r="199" spans="1:12">
      <c r="A199" s="6">
        <v>45933</v>
      </c>
      <c r="B199" t="s">
        <v>12</v>
      </c>
      <c r="C199" t="s">
        <v>13</v>
      </c>
      <c r="D199" s="2">
        <v>1387.2827843305461</v>
      </c>
      <c r="E199" s="2">
        <v>1396.248592275432</v>
      </c>
      <c r="F199" s="2">
        <v>1381.6911874663799</v>
      </c>
      <c r="G199" s="2">
        <v>1394.609619140625</v>
      </c>
      <c r="H199" s="3">
        <v>6877533</v>
      </c>
      <c r="I199" s="4">
        <f t="shared" si="12"/>
        <v>-0.4</v>
      </c>
      <c r="J199" s="2">
        <f t="shared" si="13"/>
        <v>1.64</v>
      </c>
      <c r="K199" s="7">
        <f t="shared" si="14"/>
        <v>45931</v>
      </c>
      <c r="L199" t="str">
        <f t="shared" si="15"/>
        <v>Q4-2025</v>
      </c>
    </row>
    <row r="200" spans="1:12">
      <c r="A200" s="6">
        <v>45933</v>
      </c>
      <c r="B200" t="s">
        <v>14</v>
      </c>
      <c r="C200" t="s">
        <v>15</v>
      </c>
      <c r="D200" s="2">
        <v>936.51064711366291</v>
      </c>
      <c r="E200" s="2">
        <v>951.02065976589665</v>
      </c>
      <c r="F200" s="2">
        <v>936.51064711366291</v>
      </c>
      <c r="G200" s="2">
        <v>949.44671630859375</v>
      </c>
      <c r="H200" s="3">
        <v>26658296</v>
      </c>
      <c r="I200" s="4">
        <f t="shared" si="12"/>
        <v>0</v>
      </c>
      <c r="J200" s="2">
        <f t="shared" si="13"/>
        <v>1.57</v>
      </c>
      <c r="K200" s="7">
        <f t="shared" si="14"/>
        <v>45931</v>
      </c>
      <c r="L200" t="str">
        <f t="shared" si="15"/>
        <v>Q4-2025</v>
      </c>
    </row>
    <row r="201" spans="1:12">
      <c r="A201" s="6">
        <v>45933</v>
      </c>
      <c r="B201" t="s">
        <v>16</v>
      </c>
      <c r="C201" t="s">
        <v>17</v>
      </c>
      <c r="D201" s="2">
        <v>1360.430925793853</v>
      </c>
      <c r="E201" s="2">
        <v>1360.430925793853</v>
      </c>
      <c r="F201" s="2">
        <v>1349.9195661152</v>
      </c>
      <c r="G201" s="2">
        <v>1353.786865234375</v>
      </c>
      <c r="H201" s="3">
        <v>12163695</v>
      </c>
      <c r="I201" s="4">
        <f t="shared" si="12"/>
        <v>-0.77</v>
      </c>
      <c r="J201" s="2">
        <f t="shared" si="13"/>
        <v>6.64</v>
      </c>
      <c r="K201" s="7">
        <f t="shared" si="14"/>
        <v>45931</v>
      </c>
      <c r="L201" t="str">
        <f t="shared" si="15"/>
        <v>Q4-2025</v>
      </c>
    </row>
    <row r="202" spans="1:12">
      <c r="A202" s="6">
        <v>45933</v>
      </c>
      <c r="B202" t="s">
        <v>18</v>
      </c>
      <c r="C202" t="s">
        <v>19</v>
      </c>
      <c r="D202" s="2">
        <v>232.262451171875</v>
      </c>
      <c r="E202" s="2">
        <v>232.66725574460489</v>
      </c>
      <c r="F202" s="2">
        <v>229.4480850661364</v>
      </c>
      <c r="G202" s="2">
        <v>232.262451171875</v>
      </c>
      <c r="H202" s="3">
        <v>10968346</v>
      </c>
      <c r="I202" s="4">
        <f t="shared" si="12"/>
        <v>-1.21</v>
      </c>
      <c r="J202" s="2">
        <f t="shared" si="13"/>
        <v>0.4</v>
      </c>
      <c r="K202" s="7">
        <f t="shared" si="14"/>
        <v>45931</v>
      </c>
      <c r="L202" t="str">
        <f t="shared" si="15"/>
        <v>Q4-2025</v>
      </c>
    </row>
    <row r="203" spans="1:12">
      <c r="A203" s="6">
        <v>45933</v>
      </c>
      <c r="B203" t="s">
        <v>20</v>
      </c>
      <c r="C203" t="s">
        <v>21</v>
      </c>
      <c r="D203" s="2">
        <v>1335.996122526532</v>
      </c>
      <c r="E203" s="2">
        <v>1339.153195522252</v>
      </c>
      <c r="F203" s="2">
        <v>1320.593684319884</v>
      </c>
      <c r="G203" s="2">
        <v>1333.126098632812</v>
      </c>
      <c r="H203" s="3">
        <v>2793839</v>
      </c>
      <c r="I203" s="4">
        <f t="shared" si="12"/>
        <v>-1.1499999999999999</v>
      </c>
      <c r="J203" s="2">
        <f t="shared" si="13"/>
        <v>6.03</v>
      </c>
      <c r="K203" s="7">
        <f t="shared" si="14"/>
        <v>45931</v>
      </c>
      <c r="L203" t="str">
        <f t="shared" si="15"/>
        <v>Q4-2025</v>
      </c>
    </row>
    <row r="204" spans="1:12">
      <c r="A204" s="6">
        <v>45933</v>
      </c>
      <c r="B204" t="s">
        <v>22</v>
      </c>
      <c r="C204" t="s">
        <v>23</v>
      </c>
      <c r="D204" s="2">
        <v>969.0430597091871</v>
      </c>
      <c r="E204" s="2">
        <v>986.13798530522502</v>
      </c>
      <c r="F204" s="2">
        <v>966.06138875623583</v>
      </c>
      <c r="G204" s="2">
        <v>983.70294189453125</v>
      </c>
      <c r="H204" s="3">
        <v>7692197</v>
      </c>
      <c r="I204" s="4">
        <f t="shared" si="12"/>
        <v>-0.31</v>
      </c>
      <c r="J204" s="2">
        <f t="shared" si="13"/>
        <v>2.44</v>
      </c>
      <c r="K204" s="7">
        <f t="shared" si="14"/>
        <v>45931</v>
      </c>
      <c r="L204" t="str">
        <f t="shared" si="15"/>
        <v>Q4-2025</v>
      </c>
    </row>
    <row r="205" spans="1:12">
      <c r="A205" s="6">
        <v>45933</v>
      </c>
      <c r="B205" t="s">
        <v>24</v>
      </c>
      <c r="C205" t="s">
        <v>25</v>
      </c>
      <c r="D205" s="2">
        <v>15790.41601401861</v>
      </c>
      <c r="E205" s="2">
        <v>15865.66033134668</v>
      </c>
      <c r="F205" s="2">
        <v>15579.533914138619</v>
      </c>
      <c r="G205" s="2">
        <v>15648.837890625</v>
      </c>
      <c r="H205" s="3">
        <v>470216</v>
      </c>
      <c r="I205" s="4">
        <f t="shared" si="12"/>
        <v>-1.34</v>
      </c>
      <c r="J205" s="2">
        <f t="shared" si="13"/>
        <v>216.82</v>
      </c>
      <c r="K205" s="7">
        <f t="shared" si="14"/>
        <v>45931</v>
      </c>
      <c r="L205" t="str">
        <f t="shared" si="15"/>
        <v>Q4-2025</v>
      </c>
    </row>
    <row r="206" spans="1:12">
      <c r="A206" s="6">
        <v>45933</v>
      </c>
      <c r="B206" t="s">
        <v>26</v>
      </c>
      <c r="C206" t="s">
        <v>27</v>
      </c>
      <c r="D206" s="2">
        <v>712.58883632775803</v>
      </c>
      <c r="E206" s="2">
        <v>733.61443414090024</v>
      </c>
      <c r="F206" s="2">
        <v>709.11763114035773</v>
      </c>
      <c r="G206" s="2">
        <v>710.20855712890625</v>
      </c>
      <c r="H206" s="3">
        <v>27786917</v>
      </c>
      <c r="I206" s="4">
        <f t="shared" si="12"/>
        <v>-0.49</v>
      </c>
      <c r="J206" s="2">
        <f t="shared" si="13"/>
        <v>23.41</v>
      </c>
      <c r="K206" s="7">
        <f t="shared" si="14"/>
        <v>45931</v>
      </c>
      <c r="L206" t="str">
        <f t="shared" si="15"/>
        <v>Q4-2025</v>
      </c>
    </row>
    <row r="207" spans="1:12">
      <c r="A207" s="6">
        <v>45933</v>
      </c>
      <c r="B207" t="s">
        <v>28</v>
      </c>
      <c r="C207" t="s">
        <v>29</v>
      </c>
      <c r="D207" s="2">
        <v>1585.518473312834</v>
      </c>
      <c r="E207" s="2">
        <v>1630.6066548976671</v>
      </c>
      <c r="F207" s="2">
        <v>1585.518473312834</v>
      </c>
      <c r="G207" s="2">
        <v>1616.43603515625</v>
      </c>
      <c r="H207" s="3">
        <v>4041865</v>
      </c>
      <c r="I207" s="4">
        <f t="shared" si="12"/>
        <v>0</v>
      </c>
      <c r="J207" s="2">
        <f t="shared" si="13"/>
        <v>14.17</v>
      </c>
      <c r="K207" s="7">
        <f t="shared" si="14"/>
        <v>45931</v>
      </c>
      <c r="L207" t="str">
        <f t="shared" si="15"/>
        <v>Q4-2025</v>
      </c>
    </row>
    <row r="208" spans="1:12">
      <c r="A208" s="6">
        <v>45933</v>
      </c>
      <c r="B208" t="s">
        <v>30</v>
      </c>
      <c r="C208" t="s">
        <v>31</v>
      </c>
      <c r="D208" s="2">
        <v>2318.435624776484</v>
      </c>
      <c r="E208" s="2">
        <v>2338.7276285757921</v>
      </c>
      <c r="F208" s="2">
        <v>2312.397661327007</v>
      </c>
      <c r="G208" s="2">
        <v>2333.87744140625</v>
      </c>
      <c r="H208" s="3">
        <v>659872</v>
      </c>
      <c r="I208" s="4">
        <f t="shared" si="12"/>
        <v>-0.26</v>
      </c>
      <c r="J208" s="2">
        <f t="shared" si="13"/>
        <v>4.8499999999999996</v>
      </c>
      <c r="K208" s="7">
        <f t="shared" si="14"/>
        <v>45931</v>
      </c>
      <c r="L208" t="str">
        <f t="shared" si="15"/>
        <v>Q4-2025</v>
      </c>
    </row>
    <row r="209" spans="1:12">
      <c r="A209" s="6">
        <v>45933</v>
      </c>
      <c r="B209" t="s">
        <v>32</v>
      </c>
      <c r="C209" t="s">
        <v>33</v>
      </c>
      <c r="D209" s="2">
        <v>2491.0803114450241</v>
      </c>
      <c r="E209" s="2">
        <v>2503.2598561816239</v>
      </c>
      <c r="F209" s="2">
        <v>2463.6767554329508</v>
      </c>
      <c r="G209" s="2">
        <v>2499.62548828125</v>
      </c>
      <c r="H209" s="3">
        <v>1242611</v>
      </c>
      <c r="I209" s="4">
        <f t="shared" si="12"/>
        <v>-1.1000000000000001</v>
      </c>
      <c r="J209" s="2">
        <f t="shared" si="13"/>
        <v>3.63</v>
      </c>
      <c r="K209" s="7">
        <f t="shared" si="14"/>
        <v>45931</v>
      </c>
      <c r="L209" t="str">
        <f t="shared" si="15"/>
        <v>Q4-2025</v>
      </c>
    </row>
    <row r="210" spans="1:12">
      <c r="A210" s="6">
        <v>45933</v>
      </c>
      <c r="B210" t="s">
        <v>34</v>
      </c>
      <c r="C210" t="s">
        <v>35</v>
      </c>
      <c r="D210" s="2">
        <v>3654.3070391840101</v>
      </c>
      <c r="E210" s="2">
        <v>3709.7653573938492</v>
      </c>
      <c r="F210" s="2">
        <v>3630.8363350117329</v>
      </c>
      <c r="G210" s="2">
        <v>3696.990234375</v>
      </c>
      <c r="H210" s="3">
        <v>1959124</v>
      </c>
      <c r="I210" s="4">
        <f t="shared" si="12"/>
        <v>-0.64</v>
      </c>
      <c r="J210" s="2">
        <f t="shared" si="13"/>
        <v>12.78</v>
      </c>
      <c r="K210" s="7">
        <f t="shared" si="14"/>
        <v>45931</v>
      </c>
      <c r="L210" t="str">
        <f t="shared" si="15"/>
        <v>Q4-2025</v>
      </c>
    </row>
    <row r="211" spans="1:12">
      <c r="A211" s="6">
        <v>45933</v>
      </c>
      <c r="B211" t="s">
        <v>36</v>
      </c>
      <c r="C211" t="s">
        <v>37</v>
      </c>
      <c r="D211" s="2">
        <v>1170.0975504074941</v>
      </c>
      <c r="E211" s="2">
        <v>1187.084449089755</v>
      </c>
      <c r="F211" s="2">
        <v>1168.598706406118</v>
      </c>
      <c r="G211" s="2">
        <v>1180.08984375</v>
      </c>
      <c r="H211" s="3">
        <v>11095015</v>
      </c>
      <c r="I211" s="4">
        <f t="shared" si="12"/>
        <v>-0.13</v>
      </c>
      <c r="J211" s="2">
        <f t="shared" si="13"/>
        <v>6.99</v>
      </c>
      <c r="K211" s="7">
        <f t="shared" si="14"/>
        <v>45931</v>
      </c>
      <c r="L211" t="str">
        <f t="shared" si="15"/>
        <v>Q4-2025</v>
      </c>
    </row>
    <row r="212" spans="1:12">
      <c r="A212" s="6">
        <v>45936</v>
      </c>
      <c r="B212" t="s">
        <v>8</v>
      </c>
      <c r="C212" t="s">
        <v>9</v>
      </c>
      <c r="D212" s="2">
        <v>1353.7409090909091</v>
      </c>
      <c r="E212" s="2">
        <v>1371.060853847157</v>
      </c>
      <c r="F212" s="2">
        <v>1352.7455113636361</v>
      </c>
      <c r="G212" s="2">
        <v>1368.671875</v>
      </c>
      <c r="H212" s="3">
        <v>12396580</v>
      </c>
      <c r="I212" s="4">
        <f t="shared" si="12"/>
        <v>-7.0000000000000007E-2</v>
      </c>
      <c r="J212" s="2">
        <f t="shared" si="13"/>
        <v>2.39</v>
      </c>
      <c r="K212" s="7">
        <f t="shared" si="14"/>
        <v>45931</v>
      </c>
      <c r="L212" t="str">
        <f t="shared" si="15"/>
        <v>Q4-2025</v>
      </c>
    </row>
    <row r="213" spans="1:12">
      <c r="A213" s="6">
        <v>45936</v>
      </c>
      <c r="B213" t="s">
        <v>10</v>
      </c>
      <c r="C213" t="s">
        <v>11</v>
      </c>
      <c r="D213" s="2">
        <v>2786.3314417417741</v>
      </c>
      <c r="E213" s="2">
        <v>2874.2805224331</v>
      </c>
      <c r="F213" s="2">
        <v>2780.18662812204</v>
      </c>
      <c r="G213" s="2">
        <v>2869.28759765625</v>
      </c>
      <c r="H213" s="3">
        <v>2112774</v>
      </c>
      <c r="I213" s="4">
        <f t="shared" si="12"/>
        <v>-0.22</v>
      </c>
      <c r="J213" s="2">
        <f t="shared" si="13"/>
        <v>4.99</v>
      </c>
      <c r="K213" s="7">
        <f t="shared" si="14"/>
        <v>45931</v>
      </c>
      <c r="L213" t="str">
        <f t="shared" si="15"/>
        <v>Q4-2025</v>
      </c>
    </row>
    <row r="214" spans="1:12">
      <c r="A214" s="6">
        <v>45936</v>
      </c>
      <c r="B214" t="s">
        <v>12</v>
      </c>
      <c r="C214" t="s">
        <v>13</v>
      </c>
      <c r="D214" s="2">
        <v>1394.609606570476</v>
      </c>
      <c r="E214" s="2">
        <v>1425.6524188431899</v>
      </c>
      <c r="F214" s="2">
        <v>1390.464217889983</v>
      </c>
      <c r="G214" s="2">
        <v>1422.953002929688</v>
      </c>
      <c r="H214" s="3">
        <v>4630590</v>
      </c>
      <c r="I214" s="4">
        <f t="shared" si="12"/>
        <v>-0.3</v>
      </c>
      <c r="J214" s="2">
        <f t="shared" si="13"/>
        <v>2.7</v>
      </c>
      <c r="K214" s="7">
        <f t="shared" si="14"/>
        <v>45931</v>
      </c>
      <c r="L214" t="str">
        <f t="shared" si="15"/>
        <v>Q4-2025</v>
      </c>
    </row>
    <row r="215" spans="1:12">
      <c r="A215" s="6">
        <v>45936</v>
      </c>
      <c r="B215" t="s">
        <v>14</v>
      </c>
      <c r="C215" t="s">
        <v>15</v>
      </c>
      <c r="D215" s="2">
        <v>956.08686436204971</v>
      </c>
      <c r="E215" s="2">
        <v>961.4973774003239</v>
      </c>
      <c r="F215" s="2">
        <v>946.34791687631923</v>
      </c>
      <c r="G215" s="2">
        <v>957.61163330078125</v>
      </c>
      <c r="H215" s="3">
        <v>18542683</v>
      </c>
      <c r="I215" s="4">
        <f t="shared" si="12"/>
        <v>-1.02</v>
      </c>
      <c r="J215" s="2">
        <f t="shared" si="13"/>
        <v>3.89</v>
      </c>
      <c r="K215" s="7">
        <f t="shared" si="14"/>
        <v>45931</v>
      </c>
      <c r="L215" t="str">
        <f t="shared" si="15"/>
        <v>Q4-2025</v>
      </c>
    </row>
    <row r="216" spans="1:12">
      <c r="A216" s="6">
        <v>45936</v>
      </c>
      <c r="B216" t="s">
        <v>16</v>
      </c>
      <c r="C216" t="s">
        <v>17</v>
      </c>
      <c r="D216" s="2">
        <v>1359.538392652574</v>
      </c>
      <c r="E216" s="2">
        <v>1361.1249923873579</v>
      </c>
      <c r="F216" s="2">
        <v>1347.7378528535801</v>
      </c>
      <c r="G216" s="2">
        <v>1352.001953125</v>
      </c>
      <c r="H216" s="3">
        <v>14314283</v>
      </c>
      <c r="I216" s="4">
        <f t="shared" si="12"/>
        <v>-0.87</v>
      </c>
      <c r="J216" s="2">
        <f t="shared" si="13"/>
        <v>9.1199999999999992</v>
      </c>
      <c r="K216" s="7">
        <f t="shared" si="14"/>
        <v>45931</v>
      </c>
      <c r="L216" t="str">
        <f t="shared" si="15"/>
        <v>Q4-2025</v>
      </c>
    </row>
    <row r="217" spans="1:12">
      <c r="A217" s="6">
        <v>45936</v>
      </c>
      <c r="B217" t="s">
        <v>18</v>
      </c>
      <c r="C217" t="s">
        <v>19</v>
      </c>
      <c r="D217" s="2">
        <v>231.31791367809589</v>
      </c>
      <c r="E217" s="2">
        <v>234.17084108444979</v>
      </c>
      <c r="F217" s="2">
        <v>230.66251998193721</v>
      </c>
      <c r="G217" s="2">
        <v>233.37086486816409</v>
      </c>
      <c r="H217" s="3">
        <v>6064946</v>
      </c>
      <c r="I217" s="4">
        <f t="shared" si="12"/>
        <v>-0.28000000000000003</v>
      </c>
      <c r="J217" s="2">
        <f t="shared" si="13"/>
        <v>0.8</v>
      </c>
      <c r="K217" s="7">
        <f t="shared" si="14"/>
        <v>45931</v>
      </c>
      <c r="L217" t="str">
        <f t="shared" si="15"/>
        <v>Q4-2025</v>
      </c>
    </row>
    <row r="218" spans="1:12">
      <c r="A218" s="6">
        <v>45936</v>
      </c>
      <c r="B218" t="s">
        <v>20</v>
      </c>
      <c r="C218" t="s">
        <v>21</v>
      </c>
      <c r="D218" s="2">
        <v>1333.1263483315281</v>
      </c>
      <c r="E218" s="2">
        <v>1359.4349056183</v>
      </c>
      <c r="F218" s="2">
        <v>1330.5433730560089</v>
      </c>
      <c r="G218" s="2">
        <v>1356.27783203125</v>
      </c>
      <c r="H218" s="3">
        <v>1970901</v>
      </c>
      <c r="I218" s="4">
        <f t="shared" si="12"/>
        <v>-0.19</v>
      </c>
      <c r="J218" s="2">
        <f t="shared" si="13"/>
        <v>3.16</v>
      </c>
      <c r="K218" s="7">
        <f t="shared" si="14"/>
        <v>45931</v>
      </c>
      <c r="L218" t="str">
        <f t="shared" si="15"/>
        <v>Q4-2025</v>
      </c>
    </row>
    <row r="219" spans="1:12">
      <c r="A219" s="6">
        <v>45936</v>
      </c>
      <c r="B219" t="s">
        <v>22</v>
      </c>
      <c r="C219" t="s">
        <v>23</v>
      </c>
      <c r="D219" s="2">
        <v>986.93314173211104</v>
      </c>
      <c r="E219" s="2">
        <v>1016.749852962688</v>
      </c>
      <c r="F219" s="2">
        <v>986.03861613029198</v>
      </c>
      <c r="G219" s="2">
        <v>1002.736022949219</v>
      </c>
      <c r="H219" s="3">
        <v>9299635</v>
      </c>
      <c r="I219" s="4">
        <f t="shared" si="12"/>
        <v>-0.09</v>
      </c>
      <c r="J219" s="2">
        <f t="shared" si="13"/>
        <v>14.01</v>
      </c>
      <c r="K219" s="7">
        <f t="shared" si="14"/>
        <v>45931</v>
      </c>
      <c r="L219" t="str">
        <f t="shared" si="15"/>
        <v>Q4-2025</v>
      </c>
    </row>
    <row r="220" spans="1:12">
      <c r="A220" s="6">
        <v>45936</v>
      </c>
      <c r="B220" t="s">
        <v>24</v>
      </c>
      <c r="C220" t="s">
        <v>25</v>
      </c>
      <c r="D220" s="2">
        <v>15682.49973629516</v>
      </c>
      <c r="E220" s="2">
        <v>15897.34206222799</v>
      </c>
      <c r="F220" s="2">
        <v>15551.812238492699</v>
      </c>
      <c r="G220" s="2">
        <v>15838.9287109375</v>
      </c>
      <c r="H220" s="3">
        <v>268497</v>
      </c>
      <c r="I220" s="4">
        <f t="shared" si="12"/>
        <v>-0.83</v>
      </c>
      <c r="J220" s="2">
        <f t="shared" si="13"/>
        <v>58.41</v>
      </c>
      <c r="K220" s="7">
        <f t="shared" si="14"/>
        <v>45931</v>
      </c>
      <c r="L220" t="str">
        <f t="shared" si="15"/>
        <v>Q4-2025</v>
      </c>
    </row>
    <row r="221" spans="1:12">
      <c r="A221" s="6">
        <v>45936</v>
      </c>
      <c r="B221" t="s">
        <v>26</v>
      </c>
      <c r="C221" t="s">
        <v>27</v>
      </c>
      <c r="D221" s="2">
        <v>712.09294815082285</v>
      </c>
      <c r="E221" s="2">
        <v>712.58883460496691</v>
      </c>
      <c r="F221" s="2">
        <v>698.15855089597858</v>
      </c>
      <c r="G221" s="2">
        <v>706.7869873046875</v>
      </c>
      <c r="H221" s="3">
        <v>10333314</v>
      </c>
      <c r="I221" s="4">
        <f t="shared" si="12"/>
        <v>-1.96</v>
      </c>
      <c r="J221" s="2">
        <f t="shared" si="13"/>
        <v>5.8</v>
      </c>
      <c r="K221" s="7">
        <f t="shared" si="14"/>
        <v>45931</v>
      </c>
      <c r="L221" t="str">
        <f t="shared" si="15"/>
        <v>Q4-2025</v>
      </c>
    </row>
    <row r="222" spans="1:12">
      <c r="A222" s="6">
        <v>45936</v>
      </c>
      <c r="B222" t="s">
        <v>28</v>
      </c>
      <c r="C222" t="s">
        <v>29</v>
      </c>
      <c r="D222" s="2">
        <v>1615.246874617769</v>
      </c>
      <c r="E222" s="2">
        <v>1644.678011615727</v>
      </c>
      <c r="F222" s="2">
        <v>1605.33738458944</v>
      </c>
      <c r="G222" s="2">
        <v>1639.723266601562</v>
      </c>
      <c r="H222" s="3">
        <v>1756916</v>
      </c>
      <c r="I222" s="4">
        <f t="shared" si="12"/>
        <v>-0.61</v>
      </c>
      <c r="J222" s="2">
        <f t="shared" si="13"/>
        <v>4.95</v>
      </c>
      <c r="K222" s="7">
        <f t="shared" si="14"/>
        <v>45931</v>
      </c>
      <c r="L222" t="str">
        <f t="shared" si="15"/>
        <v>Q4-2025</v>
      </c>
    </row>
    <row r="223" spans="1:12">
      <c r="A223" s="6">
        <v>45936</v>
      </c>
      <c r="B223" t="s">
        <v>30</v>
      </c>
      <c r="C223" t="s">
        <v>31</v>
      </c>
      <c r="D223" s="2">
        <v>2331.1058814271591</v>
      </c>
      <c r="E223" s="2">
        <v>2335.2632193797981</v>
      </c>
      <c r="F223" s="2">
        <v>2310.4180320535838</v>
      </c>
      <c r="G223" s="2">
        <v>2330.907958984375</v>
      </c>
      <c r="H223" s="3">
        <v>362107</v>
      </c>
      <c r="I223" s="4">
        <f t="shared" si="12"/>
        <v>-0.89</v>
      </c>
      <c r="J223" s="2">
        <f t="shared" si="13"/>
        <v>4.3600000000000003</v>
      </c>
      <c r="K223" s="7">
        <f t="shared" si="14"/>
        <v>45931</v>
      </c>
      <c r="L223" t="str">
        <f t="shared" si="15"/>
        <v>Q4-2025</v>
      </c>
    </row>
    <row r="224" spans="1:12">
      <c r="A224" s="6">
        <v>45936</v>
      </c>
      <c r="B224" t="s">
        <v>32</v>
      </c>
      <c r="C224" t="s">
        <v>33</v>
      </c>
      <c r="D224" s="2">
        <v>2490.0981302259238</v>
      </c>
      <c r="E224" s="2">
        <v>2504.242094617824</v>
      </c>
      <c r="F224" s="2">
        <v>2475.3649838576771</v>
      </c>
      <c r="G224" s="2">
        <v>2496.580810546875</v>
      </c>
      <c r="H224" s="3">
        <v>818923</v>
      </c>
      <c r="I224" s="4">
        <f t="shared" si="12"/>
        <v>-0.59</v>
      </c>
      <c r="J224" s="2">
        <f t="shared" si="13"/>
        <v>7.66</v>
      </c>
      <c r="K224" s="7">
        <f t="shared" si="14"/>
        <v>45931</v>
      </c>
      <c r="L224" t="str">
        <f t="shared" si="15"/>
        <v>Q4-2025</v>
      </c>
    </row>
    <row r="225" spans="1:12">
      <c r="A225" s="6">
        <v>45936</v>
      </c>
      <c r="B225" t="s">
        <v>34</v>
      </c>
      <c r="C225" t="s">
        <v>35</v>
      </c>
      <c r="D225" s="2">
        <v>3684.0169776057</v>
      </c>
      <c r="E225" s="2">
        <v>3730.5623533980302</v>
      </c>
      <c r="F225" s="2">
        <v>3667.1814161489001</v>
      </c>
      <c r="G225" s="2">
        <v>3700.8525390625</v>
      </c>
      <c r="H225" s="3">
        <v>1581506</v>
      </c>
      <c r="I225" s="4">
        <f t="shared" si="12"/>
        <v>-0.46</v>
      </c>
      <c r="J225" s="2">
        <f t="shared" si="13"/>
        <v>29.71</v>
      </c>
      <c r="K225" s="7">
        <f t="shared" si="14"/>
        <v>45931</v>
      </c>
      <c r="L225" t="str">
        <f t="shared" si="15"/>
        <v>Q4-2025</v>
      </c>
    </row>
    <row r="226" spans="1:12">
      <c r="A226" s="6">
        <v>45936</v>
      </c>
      <c r="B226" t="s">
        <v>36</v>
      </c>
      <c r="C226" t="s">
        <v>37</v>
      </c>
      <c r="D226" s="2">
        <v>1184.086852097852</v>
      </c>
      <c r="E226" s="2">
        <v>1214.2635315211551</v>
      </c>
      <c r="F226" s="2">
        <v>1181.189062410549</v>
      </c>
      <c r="G226" s="2">
        <v>1211.865478515625</v>
      </c>
      <c r="H226" s="3">
        <v>20128505</v>
      </c>
      <c r="I226" s="4">
        <f t="shared" si="12"/>
        <v>-0.24</v>
      </c>
      <c r="J226" s="2">
        <f t="shared" si="13"/>
        <v>2.4</v>
      </c>
      <c r="K226" s="7">
        <f t="shared" si="14"/>
        <v>45931</v>
      </c>
      <c r="L226" t="str">
        <f t="shared" si="15"/>
        <v>Q4-2025</v>
      </c>
    </row>
    <row r="227" spans="1:12">
      <c r="A227" s="6">
        <v>45937</v>
      </c>
      <c r="B227" t="s">
        <v>8</v>
      </c>
      <c r="C227" t="s">
        <v>9</v>
      </c>
      <c r="D227" s="2">
        <v>1369.667209612737</v>
      </c>
      <c r="E227" s="2">
        <v>1389.4756477743899</v>
      </c>
      <c r="F227" s="2">
        <v>1369.567694146298</v>
      </c>
      <c r="G227" s="2">
        <v>1378.4267578125</v>
      </c>
      <c r="H227" s="3">
        <v>11244040</v>
      </c>
      <c r="I227" s="4">
        <f t="shared" si="12"/>
        <v>-0.01</v>
      </c>
      <c r="J227" s="2">
        <f t="shared" si="13"/>
        <v>11.05</v>
      </c>
      <c r="K227" s="7">
        <f t="shared" si="14"/>
        <v>45931</v>
      </c>
      <c r="L227" t="str">
        <f t="shared" si="15"/>
        <v>Q4-2025</v>
      </c>
    </row>
    <row r="228" spans="1:12">
      <c r="A228" s="6">
        <v>45937</v>
      </c>
      <c r="B228" t="s">
        <v>10</v>
      </c>
      <c r="C228" t="s">
        <v>11</v>
      </c>
      <c r="D228" s="2">
        <v>2875.6246509212642</v>
      </c>
      <c r="E228" s="2">
        <v>2884.7459978941361</v>
      </c>
      <c r="F228" s="2">
        <v>2837.6990503498482</v>
      </c>
      <c r="G228" s="2">
        <v>2855.173583984375</v>
      </c>
      <c r="H228" s="3">
        <v>3062943</v>
      </c>
      <c r="I228" s="4">
        <f t="shared" si="12"/>
        <v>-1.32</v>
      </c>
      <c r="J228" s="2">
        <f t="shared" si="13"/>
        <v>29.57</v>
      </c>
      <c r="K228" s="7">
        <f t="shared" si="14"/>
        <v>45931</v>
      </c>
      <c r="L228" t="str">
        <f t="shared" si="15"/>
        <v>Q4-2025</v>
      </c>
    </row>
    <row r="229" spans="1:12">
      <c r="A229" s="6">
        <v>45937</v>
      </c>
      <c r="B229" t="s">
        <v>12</v>
      </c>
      <c r="C229" t="s">
        <v>13</v>
      </c>
      <c r="D229" s="2">
        <v>1424.591819361317</v>
      </c>
      <c r="E229" s="2">
        <v>1429.6050033943991</v>
      </c>
      <c r="F229" s="2">
        <v>1401.7436379480739</v>
      </c>
      <c r="G229" s="2">
        <v>1406.081909179688</v>
      </c>
      <c r="H229" s="3">
        <v>5570320</v>
      </c>
      <c r="I229" s="4">
        <f t="shared" si="12"/>
        <v>-1.6</v>
      </c>
      <c r="J229" s="2">
        <f t="shared" si="13"/>
        <v>23.52</v>
      </c>
      <c r="K229" s="7">
        <f t="shared" si="14"/>
        <v>45931</v>
      </c>
      <c r="L229" t="str">
        <f t="shared" si="15"/>
        <v>Q4-2025</v>
      </c>
    </row>
    <row r="230" spans="1:12">
      <c r="A230" s="6">
        <v>45937</v>
      </c>
      <c r="B230" t="s">
        <v>14</v>
      </c>
      <c r="C230" t="s">
        <v>15</v>
      </c>
      <c r="D230" s="2">
        <v>958.15270207140588</v>
      </c>
      <c r="E230" s="2">
        <v>973.74479338088418</v>
      </c>
      <c r="F230" s="2">
        <v>955.20151305065201</v>
      </c>
      <c r="G230" s="2">
        <v>966.514404296875</v>
      </c>
      <c r="H230" s="3">
        <v>25535736</v>
      </c>
      <c r="I230" s="4">
        <f t="shared" si="12"/>
        <v>-0.31</v>
      </c>
      <c r="J230" s="2">
        <f t="shared" si="13"/>
        <v>7.23</v>
      </c>
      <c r="K230" s="7">
        <f t="shared" si="14"/>
        <v>45931</v>
      </c>
      <c r="L230" t="str">
        <f t="shared" si="15"/>
        <v>Q4-2025</v>
      </c>
    </row>
    <row r="231" spans="1:12">
      <c r="A231" s="6">
        <v>45937</v>
      </c>
      <c r="B231" t="s">
        <v>16</v>
      </c>
      <c r="C231" t="s">
        <v>17</v>
      </c>
      <c r="D231" s="2">
        <v>1352.2002408686601</v>
      </c>
      <c r="E231" s="2">
        <v>1371.5372203120689</v>
      </c>
      <c r="F231" s="2">
        <v>1352.2002408686601</v>
      </c>
      <c r="G231" s="2">
        <v>1364.3974609375</v>
      </c>
      <c r="H231" s="3">
        <v>16126464</v>
      </c>
      <c r="I231" s="4">
        <f t="shared" si="12"/>
        <v>0</v>
      </c>
      <c r="J231" s="2">
        <f t="shared" si="13"/>
        <v>7.14</v>
      </c>
      <c r="K231" s="7">
        <f t="shared" si="14"/>
        <v>45931</v>
      </c>
      <c r="L231" t="str">
        <f t="shared" si="15"/>
        <v>Q4-2025</v>
      </c>
    </row>
    <row r="232" spans="1:12">
      <c r="A232" s="6">
        <v>45937</v>
      </c>
      <c r="B232" t="s">
        <v>18</v>
      </c>
      <c r="C232" t="s">
        <v>19</v>
      </c>
      <c r="D232" s="2">
        <v>234.11300061064691</v>
      </c>
      <c r="E232" s="2">
        <v>236.13703824979251</v>
      </c>
      <c r="F232" s="2">
        <v>233.3804991741965</v>
      </c>
      <c r="G232" s="2">
        <v>234.72021484375</v>
      </c>
      <c r="H232" s="3">
        <v>6587728</v>
      </c>
      <c r="I232" s="4">
        <f t="shared" si="12"/>
        <v>-0.31</v>
      </c>
      <c r="J232" s="2">
        <f t="shared" si="13"/>
        <v>1.42</v>
      </c>
      <c r="K232" s="7">
        <f t="shared" si="14"/>
        <v>45931</v>
      </c>
      <c r="L232" t="str">
        <f t="shared" si="15"/>
        <v>Q4-2025</v>
      </c>
    </row>
    <row r="233" spans="1:12">
      <c r="A233" s="6">
        <v>45937</v>
      </c>
      <c r="B233" t="s">
        <v>20</v>
      </c>
      <c r="C233" t="s">
        <v>21</v>
      </c>
      <c r="D233" s="2">
        <v>1360.3914919361121</v>
      </c>
      <c r="E233" s="2">
        <v>1379.4293427815489</v>
      </c>
      <c r="F233" s="2">
        <v>1355.7994064321331</v>
      </c>
      <c r="G233" s="2">
        <v>1371.297607421875</v>
      </c>
      <c r="H233" s="3">
        <v>1592836</v>
      </c>
      <c r="I233" s="4">
        <f t="shared" si="12"/>
        <v>-0.34</v>
      </c>
      <c r="J233" s="2">
        <f t="shared" si="13"/>
        <v>8.1300000000000008</v>
      </c>
      <c r="K233" s="7">
        <f t="shared" si="14"/>
        <v>45931</v>
      </c>
      <c r="L233" t="str">
        <f t="shared" si="15"/>
        <v>Q4-2025</v>
      </c>
    </row>
    <row r="234" spans="1:12">
      <c r="A234" s="6">
        <v>45937</v>
      </c>
      <c r="B234" t="s">
        <v>22</v>
      </c>
      <c r="C234" t="s">
        <v>23</v>
      </c>
      <c r="D234" s="2">
        <v>1002.7360085412409</v>
      </c>
      <c r="E234" s="2">
        <v>1023.210125693817</v>
      </c>
      <c r="F234" s="2">
        <v>1002.7360085412409</v>
      </c>
      <c r="G234" s="2">
        <v>1010.339233398438</v>
      </c>
      <c r="H234" s="3">
        <v>7991437</v>
      </c>
      <c r="I234" s="4">
        <f t="shared" si="12"/>
        <v>0</v>
      </c>
      <c r="J234" s="2">
        <f t="shared" si="13"/>
        <v>12.87</v>
      </c>
      <c r="K234" s="7">
        <f t="shared" si="14"/>
        <v>45931</v>
      </c>
      <c r="L234" t="str">
        <f t="shared" si="15"/>
        <v>Q4-2025</v>
      </c>
    </row>
    <row r="235" spans="1:12">
      <c r="A235" s="6">
        <v>45937</v>
      </c>
      <c r="B235" t="s">
        <v>24</v>
      </c>
      <c r="C235" t="s">
        <v>25</v>
      </c>
      <c r="D235" s="2">
        <v>15854.76962158264</v>
      </c>
      <c r="E235" s="2">
        <v>15998.32785782152</v>
      </c>
      <c r="F235" s="2">
        <v>15818.13751992168</v>
      </c>
      <c r="G235" s="2">
        <v>15947.8349609375</v>
      </c>
      <c r="H235" s="3">
        <v>330326</v>
      </c>
      <c r="I235" s="4">
        <f t="shared" si="12"/>
        <v>-0.23</v>
      </c>
      <c r="J235" s="2">
        <f t="shared" si="13"/>
        <v>50.49</v>
      </c>
      <c r="K235" s="7">
        <f t="shared" si="14"/>
        <v>45931</v>
      </c>
      <c r="L235" t="str">
        <f t="shared" si="15"/>
        <v>Q4-2025</v>
      </c>
    </row>
    <row r="236" spans="1:12">
      <c r="A236" s="6">
        <v>45937</v>
      </c>
      <c r="B236" t="s">
        <v>26</v>
      </c>
      <c r="C236" t="s">
        <v>27</v>
      </c>
      <c r="D236" s="2">
        <v>706.78698868008576</v>
      </c>
      <c r="E236" s="2">
        <v>707.03493190764027</v>
      </c>
      <c r="F236" s="2">
        <v>691.41450857170628</v>
      </c>
      <c r="G236" s="2">
        <v>692.30706787109375</v>
      </c>
      <c r="H236" s="3">
        <v>13099357</v>
      </c>
      <c r="I236" s="4">
        <f t="shared" si="12"/>
        <v>-2.17</v>
      </c>
      <c r="J236" s="2">
        <f t="shared" si="13"/>
        <v>14.73</v>
      </c>
      <c r="K236" s="7">
        <f t="shared" si="14"/>
        <v>45931</v>
      </c>
      <c r="L236" t="str">
        <f t="shared" si="15"/>
        <v>Q4-2025</v>
      </c>
    </row>
    <row r="237" spans="1:12">
      <c r="A237" s="6">
        <v>45937</v>
      </c>
      <c r="B237" t="s">
        <v>28</v>
      </c>
      <c r="C237" t="s">
        <v>29</v>
      </c>
      <c r="D237" s="2">
        <v>1634.47135435781</v>
      </c>
      <c r="E237" s="2">
        <v>1647.948236973401</v>
      </c>
      <c r="F237" s="2">
        <v>1632.093052492598</v>
      </c>
      <c r="G237" s="2">
        <v>1638.137817382812</v>
      </c>
      <c r="H237" s="3">
        <v>2174852</v>
      </c>
      <c r="I237" s="4">
        <f t="shared" si="12"/>
        <v>-0.15</v>
      </c>
      <c r="J237" s="2">
        <f t="shared" si="13"/>
        <v>9.81</v>
      </c>
      <c r="K237" s="7">
        <f t="shared" si="14"/>
        <v>45931</v>
      </c>
      <c r="L237" t="str">
        <f t="shared" si="15"/>
        <v>Q4-2025</v>
      </c>
    </row>
    <row r="238" spans="1:12">
      <c r="A238" s="6">
        <v>45937</v>
      </c>
      <c r="B238" t="s">
        <v>30</v>
      </c>
      <c r="C238" t="s">
        <v>31</v>
      </c>
      <c r="D238" s="2">
        <v>2331.1056084583388</v>
      </c>
      <c r="E238" s="2">
        <v>2347.3391134824092</v>
      </c>
      <c r="F238" s="2">
        <v>2322.1969246043591</v>
      </c>
      <c r="G238" s="2">
        <v>2328.927978515625</v>
      </c>
      <c r="H238" s="3">
        <v>498524</v>
      </c>
      <c r="I238" s="4">
        <f t="shared" si="12"/>
        <v>-0.38</v>
      </c>
      <c r="J238" s="2">
        <f t="shared" si="13"/>
        <v>18.41</v>
      </c>
      <c r="K238" s="7">
        <f t="shared" si="14"/>
        <v>45931</v>
      </c>
      <c r="L238" t="str">
        <f t="shared" si="15"/>
        <v>Q4-2025</v>
      </c>
    </row>
    <row r="239" spans="1:12">
      <c r="A239" s="6">
        <v>45937</v>
      </c>
      <c r="B239" t="s">
        <v>32</v>
      </c>
      <c r="C239" t="s">
        <v>33</v>
      </c>
      <c r="D239" s="2">
        <v>2494.812642046405</v>
      </c>
      <c r="E239" s="2">
        <v>2513.8674143383951</v>
      </c>
      <c r="F239" s="2">
        <v>2463.6766424653629</v>
      </c>
      <c r="G239" s="2">
        <v>2472.418212890625</v>
      </c>
      <c r="H239" s="3">
        <v>1291750</v>
      </c>
      <c r="I239" s="4">
        <f t="shared" si="12"/>
        <v>-1.25</v>
      </c>
      <c r="J239" s="2">
        <f t="shared" si="13"/>
        <v>41.45</v>
      </c>
      <c r="K239" s="7">
        <f t="shared" si="14"/>
        <v>45931</v>
      </c>
      <c r="L239" t="str">
        <f t="shared" si="15"/>
        <v>Q4-2025</v>
      </c>
    </row>
    <row r="240" spans="1:12">
      <c r="A240" s="6">
        <v>45937</v>
      </c>
      <c r="B240" t="s">
        <v>34</v>
      </c>
      <c r="C240" t="s">
        <v>35</v>
      </c>
      <c r="D240" s="2">
        <v>3711.7460817023089</v>
      </c>
      <c r="E240" s="2">
        <v>3729.5719700349241</v>
      </c>
      <c r="F240" s="2">
        <v>3688.9685577217451</v>
      </c>
      <c r="G240" s="2">
        <v>3693.623046875</v>
      </c>
      <c r="H240" s="3">
        <v>1673945</v>
      </c>
      <c r="I240" s="4">
        <f t="shared" si="12"/>
        <v>-0.61</v>
      </c>
      <c r="J240" s="2">
        <f t="shared" si="13"/>
        <v>35.950000000000003</v>
      </c>
      <c r="K240" s="7">
        <f t="shared" si="14"/>
        <v>45931</v>
      </c>
      <c r="L240" t="str">
        <f t="shared" si="15"/>
        <v>Q4-2025</v>
      </c>
    </row>
    <row r="241" spans="1:12">
      <c r="A241" s="6">
        <v>45937</v>
      </c>
      <c r="B241" t="s">
        <v>36</v>
      </c>
      <c r="C241" t="s">
        <v>37</v>
      </c>
      <c r="D241" s="2">
        <v>1211.066030079819</v>
      </c>
      <c r="E241" s="2">
        <v>1211.066030079819</v>
      </c>
      <c r="F241" s="2">
        <v>1183.0876069426611</v>
      </c>
      <c r="G241" s="2">
        <v>1185.885498046875</v>
      </c>
      <c r="H241" s="3">
        <v>8620156</v>
      </c>
      <c r="I241" s="4">
        <f t="shared" si="12"/>
        <v>-2.31</v>
      </c>
      <c r="J241" s="2">
        <f t="shared" si="13"/>
        <v>25.18</v>
      </c>
      <c r="K241" s="7">
        <f t="shared" si="14"/>
        <v>45931</v>
      </c>
      <c r="L241" t="str">
        <f t="shared" si="15"/>
        <v>Q4-2025</v>
      </c>
    </row>
    <row r="242" spans="1:12">
      <c r="A242" s="6">
        <v>45938</v>
      </c>
      <c r="B242" t="s">
        <v>8</v>
      </c>
      <c r="C242" t="s">
        <v>9</v>
      </c>
      <c r="D242" s="2">
        <v>1378.4267554519181</v>
      </c>
      <c r="E242" s="2">
        <v>1382.6073771032561</v>
      </c>
      <c r="F242" s="2">
        <v>1358.2201339506059</v>
      </c>
      <c r="G242" s="2">
        <v>1361.106811523438</v>
      </c>
      <c r="H242" s="3">
        <v>8525081</v>
      </c>
      <c r="I242" s="4">
        <f t="shared" si="12"/>
        <v>-1.47</v>
      </c>
      <c r="J242" s="2">
        <f t="shared" si="13"/>
        <v>21.5</v>
      </c>
      <c r="K242" s="7">
        <f t="shared" si="14"/>
        <v>45931</v>
      </c>
      <c r="L242" t="str">
        <f t="shared" si="15"/>
        <v>Q4-2025</v>
      </c>
    </row>
    <row r="243" spans="1:12">
      <c r="A243" s="6">
        <v>45938</v>
      </c>
      <c r="B243" t="s">
        <v>10</v>
      </c>
      <c r="C243" t="s">
        <v>11</v>
      </c>
      <c r="D243" s="2">
        <v>2856.4219038307551</v>
      </c>
      <c r="E243" s="2">
        <v>2921.7115473468862</v>
      </c>
      <c r="F243" s="2">
        <v>2849.7009111158591</v>
      </c>
      <c r="G243" s="2">
        <v>2906.541259765625</v>
      </c>
      <c r="H243" s="3">
        <v>4121889</v>
      </c>
      <c r="I243" s="4">
        <f t="shared" si="12"/>
        <v>-0.24</v>
      </c>
      <c r="J243" s="2">
        <f t="shared" si="13"/>
        <v>15.17</v>
      </c>
      <c r="K243" s="7">
        <f t="shared" si="14"/>
        <v>45931</v>
      </c>
      <c r="L243" t="str">
        <f t="shared" si="15"/>
        <v>Q4-2025</v>
      </c>
    </row>
    <row r="244" spans="1:12">
      <c r="A244" s="6">
        <v>45938</v>
      </c>
      <c r="B244" t="s">
        <v>12</v>
      </c>
      <c r="C244" t="s">
        <v>13</v>
      </c>
      <c r="D244" s="2">
        <v>1404.635850376907</v>
      </c>
      <c r="E244" s="2">
        <v>1444.1623224877189</v>
      </c>
      <c r="F244" s="2">
        <v>1402.707729786136</v>
      </c>
      <c r="G244" s="2">
        <v>1441.270141601562</v>
      </c>
      <c r="H244" s="3">
        <v>4657192</v>
      </c>
      <c r="I244" s="4">
        <f t="shared" si="12"/>
        <v>-0.14000000000000001</v>
      </c>
      <c r="J244" s="2">
        <f t="shared" si="13"/>
        <v>2.89</v>
      </c>
      <c r="K244" s="7">
        <f t="shared" si="14"/>
        <v>45931</v>
      </c>
      <c r="L244" t="str">
        <f t="shared" si="15"/>
        <v>Q4-2025</v>
      </c>
    </row>
    <row r="245" spans="1:12">
      <c r="A245" s="6">
        <v>45938</v>
      </c>
      <c r="B245" t="s">
        <v>14</v>
      </c>
      <c r="C245" t="s">
        <v>15</v>
      </c>
      <c r="D245" s="2">
        <v>960.12016298575475</v>
      </c>
      <c r="E245" s="2">
        <v>969.85911078697677</v>
      </c>
      <c r="F245" s="2">
        <v>958.69374294830993</v>
      </c>
      <c r="G245" s="2">
        <v>962.7762451171875</v>
      </c>
      <c r="H245" s="3">
        <v>15939710</v>
      </c>
      <c r="I245" s="4">
        <f t="shared" si="12"/>
        <v>-0.15</v>
      </c>
      <c r="J245" s="2">
        <f t="shared" si="13"/>
        <v>7.08</v>
      </c>
      <c r="K245" s="7">
        <f t="shared" si="14"/>
        <v>45931</v>
      </c>
      <c r="L245" t="str">
        <f t="shared" si="15"/>
        <v>Q4-2025</v>
      </c>
    </row>
    <row r="246" spans="1:12">
      <c r="A246" s="6">
        <v>45938</v>
      </c>
      <c r="B246" t="s">
        <v>16</v>
      </c>
      <c r="C246" t="s">
        <v>17</v>
      </c>
      <c r="D246" s="2">
        <v>1360.827640380654</v>
      </c>
      <c r="E246" s="2">
        <v>1370.0498198860421</v>
      </c>
      <c r="F246" s="2">
        <v>1352.8945202642899</v>
      </c>
      <c r="G246" s="2">
        <v>1358.844360351562</v>
      </c>
      <c r="H246" s="3">
        <v>8100832</v>
      </c>
      <c r="I246" s="4">
        <f t="shared" si="12"/>
        <v>-0.57999999999999996</v>
      </c>
      <c r="J246" s="2">
        <f t="shared" si="13"/>
        <v>11.21</v>
      </c>
      <c r="K246" s="7">
        <f t="shared" si="14"/>
        <v>45931</v>
      </c>
      <c r="L246" t="str">
        <f t="shared" si="15"/>
        <v>Q4-2025</v>
      </c>
    </row>
    <row r="247" spans="1:12">
      <c r="A247" s="6">
        <v>45938</v>
      </c>
      <c r="B247" t="s">
        <v>18</v>
      </c>
      <c r="C247" t="s">
        <v>19</v>
      </c>
      <c r="D247" s="2">
        <v>234.4503359438458</v>
      </c>
      <c r="E247" s="2">
        <v>237.43819811197409</v>
      </c>
      <c r="F247" s="2">
        <v>233.79494226953429</v>
      </c>
      <c r="G247" s="2">
        <v>235.4334411621094</v>
      </c>
      <c r="H247" s="3">
        <v>7360563</v>
      </c>
      <c r="I247" s="4">
        <f t="shared" si="12"/>
        <v>-0.28000000000000003</v>
      </c>
      <c r="J247" s="2">
        <f t="shared" si="13"/>
        <v>2</v>
      </c>
      <c r="K247" s="7">
        <f t="shared" si="14"/>
        <v>45931</v>
      </c>
      <c r="L247" t="str">
        <f t="shared" si="15"/>
        <v>Q4-2025</v>
      </c>
    </row>
    <row r="248" spans="1:12">
      <c r="A248" s="6">
        <v>45938</v>
      </c>
      <c r="B248" t="s">
        <v>20</v>
      </c>
      <c r="C248" t="s">
        <v>21</v>
      </c>
      <c r="D248" s="2">
        <v>1371.1061300689089</v>
      </c>
      <c r="E248" s="2">
        <v>1395.501334860933</v>
      </c>
      <c r="F248" s="2">
        <v>1365.3660818825499</v>
      </c>
      <c r="G248" s="2">
        <v>1390.239624023438</v>
      </c>
      <c r="H248" s="3">
        <v>1735807</v>
      </c>
      <c r="I248" s="4">
        <f t="shared" si="12"/>
        <v>-0.42</v>
      </c>
      <c r="J248" s="2">
        <f t="shared" si="13"/>
        <v>5.26</v>
      </c>
      <c r="K248" s="7">
        <f t="shared" si="14"/>
        <v>45931</v>
      </c>
      <c r="L248" t="str">
        <f t="shared" si="15"/>
        <v>Q4-2025</v>
      </c>
    </row>
    <row r="249" spans="1:12">
      <c r="A249" s="6">
        <v>45938</v>
      </c>
      <c r="B249" t="s">
        <v>22</v>
      </c>
      <c r="C249" t="s">
        <v>23</v>
      </c>
      <c r="D249" s="2">
        <v>1005.866706608322</v>
      </c>
      <c r="E249" s="2">
        <v>1021.719269666038</v>
      </c>
      <c r="F249" s="2">
        <v>1005.866706608322</v>
      </c>
      <c r="G249" s="2">
        <v>1016.89892578125</v>
      </c>
      <c r="H249" s="3">
        <v>4448915</v>
      </c>
      <c r="I249" s="4">
        <f t="shared" si="12"/>
        <v>0</v>
      </c>
      <c r="J249" s="2">
        <f t="shared" si="13"/>
        <v>4.82</v>
      </c>
      <c r="K249" s="7">
        <f t="shared" si="14"/>
        <v>45931</v>
      </c>
      <c r="L249" t="str">
        <f t="shared" si="15"/>
        <v>Q4-2025</v>
      </c>
    </row>
    <row r="250" spans="1:12">
      <c r="A250" s="6">
        <v>45938</v>
      </c>
      <c r="B250" t="s">
        <v>24</v>
      </c>
      <c r="C250" t="s">
        <v>25</v>
      </c>
      <c r="D250" s="2">
        <v>15947.83549520477</v>
      </c>
      <c r="E250" s="2">
        <v>16074.562770061129</v>
      </c>
      <c r="F250" s="2">
        <v>15820.1181635136</v>
      </c>
      <c r="G250" s="2">
        <v>15852.7900390625</v>
      </c>
      <c r="H250" s="3">
        <v>306518</v>
      </c>
      <c r="I250" s="4">
        <f t="shared" si="12"/>
        <v>-0.8</v>
      </c>
      <c r="J250" s="2">
        <f t="shared" si="13"/>
        <v>221.77</v>
      </c>
      <c r="K250" s="7">
        <f t="shared" si="14"/>
        <v>45931</v>
      </c>
      <c r="L250" t="str">
        <f t="shared" si="15"/>
        <v>Q4-2025</v>
      </c>
    </row>
    <row r="251" spans="1:12">
      <c r="A251" s="6">
        <v>45938</v>
      </c>
      <c r="B251" t="s">
        <v>26</v>
      </c>
      <c r="C251" t="s">
        <v>27</v>
      </c>
      <c r="D251" s="2">
        <v>689.18307686660955</v>
      </c>
      <c r="E251" s="2">
        <v>696.22464090183905</v>
      </c>
      <c r="F251" s="2">
        <v>673.41386206887285</v>
      </c>
      <c r="G251" s="2">
        <v>675.94287109375</v>
      </c>
      <c r="H251" s="3">
        <v>16568975</v>
      </c>
      <c r="I251" s="4">
        <f t="shared" si="12"/>
        <v>-2.29</v>
      </c>
      <c r="J251" s="2">
        <f t="shared" si="13"/>
        <v>20.28</v>
      </c>
      <c r="K251" s="7">
        <f t="shared" si="14"/>
        <v>45931</v>
      </c>
      <c r="L251" t="str">
        <f t="shared" si="15"/>
        <v>Q4-2025</v>
      </c>
    </row>
    <row r="252" spans="1:12">
      <c r="A252" s="6">
        <v>45938</v>
      </c>
      <c r="B252" t="s">
        <v>28</v>
      </c>
      <c r="C252" t="s">
        <v>29</v>
      </c>
      <c r="D252" s="2">
        <v>1630.11126159999</v>
      </c>
      <c r="E252" s="2">
        <v>1640.0207525519661</v>
      </c>
      <c r="F252" s="2">
        <v>1614.256076076829</v>
      </c>
      <c r="G252" s="2">
        <v>1616.83251953125</v>
      </c>
      <c r="H252" s="3">
        <v>1846507</v>
      </c>
      <c r="I252" s="4">
        <f t="shared" si="12"/>
        <v>-0.97</v>
      </c>
      <c r="J252" s="2">
        <f t="shared" si="13"/>
        <v>23.19</v>
      </c>
      <c r="K252" s="7">
        <f t="shared" si="14"/>
        <v>45931</v>
      </c>
      <c r="L252" t="str">
        <f t="shared" si="15"/>
        <v>Q4-2025</v>
      </c>
    </row>
    <row r="253" spans="1:12">
      <c r="A253" s="6">
        <v>45938</v>
      </c>
      <c r="B253" t="s">
        <v>30</v>
      </c>
      <c r="C253" t="s">
        <v>31</v>
      </c>
      <c r="D253" s="2">
        <v>2336.0549055856782</v>
      </c>
      <c r="E253" s="2">
        <v>2345.3594343916711</v>
      </c>
      <c r="F253" s="2">
        <v>2296.4607546435468</v>
      </c>
      <c r="G253" s="2">
        <v>2304.87451171875</v>
      </c>
      <c r="H253" s="3">
        <v>701799</v>
      </c>
      <c r="I253" s="4">
        <f t="shared" si="12"/>
        <v>-1.69</v>
      </c>
      <c r="J253" s="2">
        <f t="shared" si="13"/>
        <v>40.479999999999997</v>
      </c>
      <c r="K253" s="7">
        <f t="shared" si="14"/>
        <v>45931</v>
      </c>
      <c r="L253" t="str">
        <f t="shared" si="15"/>
        <v>Q4-2025</v>
      </c>
    </row>
    <row r="254" spans="1:12">
      <c r="A254" s="6">
        <v>45938</v>
      </c>
      <c r="B254" t="s">
        <v>32</v>
      </c>
      <c r="C254" t="s">
        <v>33</v>
      </c>
      <c r="D254" s="2">
        <v>2466.3285483686691</v>
      </c>
      <c r="E254" s="2">
        <v>2480.0794841222182</v>
      </c>
      <c r="F254" s="2">
        <v>2441.8716228402009</v>
      </c>
      <c r="G254" s="2">
        <v>2455.62255859375</v>
      </c>
      <c r="H254" s="3">
        <v>1225128</v>
      </c>
      <c r="I254" s="4">
        <f t="shared" si="12"/>
        <v>-0.99</v>
      </c>
      <c r="J254" s="2">
        <f t="shared" si="13"/>
        <v>24.46</v>
      </c>
      <c r="K254" s="7">
        <f t="shared" si="14"/>
        <v>45931</v>
      </c>
      <c r="L254" t="str">
        <f t="shared" si="15"/>
        <v>Q4-2025</v>
      </c>
    </row>
    <row r="255" spans="1:12">
      <c r="A255" s="6">
        <v>45938</v>
      </c>
      <c r="B255" t="s">
        <v>34</v>
      </c>
      <c r="C255" t="s">
        <v>35</v>
      </c>
      <c r="D255" s="2">
        <v>3693.9201850384038</v>
      </c>
      <c r="E255" s="2">
        <v>3723.629998859089</v>
      </c>
      <c r="F255" s="2">
        <v>3679.0652781280619</v>
      </c>
      <c r="G255" s="2">
        <v>3693.72216796875</v>
      </c>
      <c r="H255" s="3">
        <v>1424633</v>
      </c>
      <c r="I255" s="4">
        <f t="shared" si="12"/>
        <v>-0.4</v>
      </c>
      <c r="J255" s="2">
        <f t="shared" si="13"/>
        <v>29.91</v>
      </c>
      <c r="K255" s="7">
        <f t="shared" si="14"/>
        <v>45931</v>
      </c>
      <c r="L255" t="str">
        <f t="shared" si="15"/>
        <v>Q4-2025</v>
      </c>
    </row>
    <row r="256" spans="1:12">
      <c r="A256" s="6">
        <v>45938</v>
      </c>
      <c r="B256" t="s">
        <v>36</v>
      </c>
      <c r="C256" t="s">
        <v>37</v>
      </c>
      <c r="D256" s="2">
        <v>1179.1905708552169</v>
      </c>
      <c r="E256" s="2">
        <v>1193.879315975699</v>
      </c>
      <c r="F256" s="2">
        <v>1173.1951945553251</v>
      </c>
      <c r="G256" s="2">
        <v>1179.690185546875</v>
      </c>
      <c r="H256" s="3">
        <v>5160430</v>
      </c>
      <c r="I256" s="4">
        <f t="shared" si="12"/>
        <v>-0.51</v>
      </c>
      <c r="J256" s="2">
        <f t="shared" si="13"/>
        <v>14.19</v>
      </c>
      <c r="K256" s="7">
        <f t="shared" si="14"/>
        <v>45931</v>
      </c>
      <c r="L256" t="str">
        <f t="shared" si="15"/>
        <v>Q4-2025</v>
      </c>
    </row>
    <row r="257" spans="1:12">
      <c r="A257" s="6">
        <v>45939</v>
      </c>
      <c r="B257" t="s">
        <v>8</v>
      </c>
      <c r="C257" t="s">
        <v>9</v>
      </c>
      <c r="D257" s="2">
        <v>1367.6764245537629</v>
      </c>
      <c r="E257" s="2">
        <v>1373.648810687185</v>
      </c>
      <c r="F257" s="2">
        <v>1362.798951576433</v>
      </c>
      <c r="G257" s="2">
        <v>1371.458984375</v>
      </c>
      <c r="H257" s="3">
        <v>8826633</v>
      </c>
      <c r="I257" s="4">
        <f t="shared" si="12"/>
        <v>-0.36</v>
      </c>
      <c r="J257" s="2">
        <f t="shared" si="13"/>
        <v>2.19</v>
      </c>
      <c r="K257" s="7">
        <f t="shared" si="14"/>
        <v>45931</v>
      </c>
      <c r="L257" t="str">
        <f t="shared" si="15"/>
        <v>Q4-2025</v>
      </c>
    </row>
    <row r="258" spans="1:12">
      <c r="A258" s="6">
        <v>45939</v>
      </c>
      <c r="B258" t="s">
        <v>10</v>
      </c>
      <c r="C258" t="s">
        <v>11</v>
      </c>
      <c r="D258" s="2">
        <v>2913.0701354299908</v>
      </c>
      <c r="E258" s="2">
        <v>2943.7946721253629</v>
      </c>
      <c r="F258" s="2">
        <v>2899.6281506257651</v>
      </c>
      <c r="G258" s="2">
        <v>2939.666015625</v>
      </c>
      <c r="H258" s="3">
        <v>3211304</v>
      </c>
      <c r="I258" s="4">
        <f t="shared" ref="I258:I321" si="16">ROUND(((F258-D258)/D258)*100, 2)</f>
        <v>-0.46</v>
      </c>
      <c r="J258" s="2">
        <f t="shared" ref="J258:J321" si="17">ROUND(E258-G258, 2)</f>
        <v>4.13</v>
      </c>
      <c r="K258" s="7">
        <f t="shared" ref="K258:K321" si="18">DATE(YEAR(A258),MONTH(A258),1)</f>
        <v>45931</v>
      </c>
      <c r="L258" t="str">
        <f t="shared" ref="L258:L321" si="19">"Q"&amp;INT((MONTH(A258)-1)/3)+1&amp;"-"&amp;YEAR(A258)</f>
        <v>Q4-2025</v>
      </c>
    </row>
    <row r="259" spans="1:12">
      <c r="A259" s="6">
        <v>45939</v>
      </c>
      <c r="B259" t="s">
        <v>12</v>
      </c>
      <c r="C259" t="s">
        <v>13</v>
      </c>
      <c r="D259" s="2">
        <v>1448.0185870707539</v>
      </c>
      <c r="E259" s="2">
        <v>1459.587310802345</v>
      </c>
      <c r="F259" s="2">
        <v>1433.5576824062659</v>
      </c>
      <c r="G259" s="2">
        <v>1455.056274414062</v>
      </c>
      <c r="H259" s="3">
        <v>7028753</v>
      </c>
      <c r="I259" s="4">
        <f t="shared" si="16"/>
        <v>-1</v>
      </c>
      <c r="J259" s="2">
        <f t="shared" si="17"/>
        <v>4.53</v>
      </c>
      <c r="K259" s="7">
        <f t="shared" si="18"/>
        <v>45931</v>
      </c>
      <c r="L259" t="str">
        <f t="shared" si="19"/>
        <v>Q4-2025</v>
      </c>
    </row>
    <row r="260" spans="1:12">
      <c r="A260" s="6">
        <v>45939</v>
      </c>
      <c r="B260" t="s">
        <v>14</v>
      </c>
      <c r="C260" t="s">
        <v>15</v>
      </c>
      <c r="D260" s="2">
        <v>958.64453641951809</v>
      </c>
      <c r="E260" s="2">
        <v>963.07131980985969</v>
      </c>
      <c r="F260" s="2">
        <v>954.36533649235832</v>
      </c>
      <c r="G260" s="2">
        <v>961.20220947265625</v>
      </c>
      <c r="H260" s="3">
        <v>15370950</v>
      </c>
      <c r="I260" s="4">
        <f t="shared" si="16"/>
        <v>-0.45</v>
      </c>
      <c r="J260" s="2">
        <f t="shared" si="17"/>
        <v>1.87</v>
      </c>
      <c r="K260" s="7">
        <f t="shared" si="18"/>
        <v>45931</v>
      </c>
      <c r="L260" t="str">
        <f t="shared" si="19"/>
        <v>Q4-2025</v>
      </c>
    </row>
    <row r="261" spans="1:12">
      <c r="A261" s="6">
        <v>45939</v>
      </c>
      <c r="B261" t="s">
        <v>16</v>
      </c>
      <c r="C261" t="s">
        <v>17</v>
      </c>
      <c r="D261" s="2">
        <v>1358.3484255020639</v>
      </c>
      <c r="E261" s="2">
        <v>1367.173924045517</v>
      </c>
      <c r="F261" s="2">
        <v>1353.687645197864</v>
      </c>
      <c r="G261" s="2">
        <v>1364.69482421875</v>
      </c>
      <c r="H261" s="3">
        <v>7909575</v>
      </c>
      <c r="I261" s="4">
        <f t="shared" si="16"/>
        <v>-0.34</v>
      </c>
      <c r="J261" s="2">
        <f t="shared" si="17"/>
        <v>2.48</v>
      </c>
      <c r="K261" s="7">
        <f t="shared" si="18"/>
        <v>45931</v>
      </c>
      <c r="L261" t="str">
        <f t="shared" si="19"/>
        <v>Q4-2025</v>
      </c>
    </row>
    <row r="262" spans="1:12">
      <c r="A262" s="6">
        <v>45939</v>
      </c>
      <c r="B262" t="s">
        <v>18</v>
      </c>
      <c r="C262" t="s">
        <v>19</v>
      </c>
      <c r="D262" s="2">
        <v>235.16356780872849</v>
      </c>
      <c r="E262" s="2">
        <v>237.87191256275671</v>
      </c>
      <c r="F262" s="2">
        <v>234.36359163149089</v>
      </c>
      <c r="G262" s="2">
        <v>237.48637390136719</v>
      </c>
      <c r="H262" s="3">
        <v>4629760</v>
      </c>
      <c r="I262" s="4">
        <f t="shared" si="16"/>
        <v>-0.34</v>
      </c>
      <c r="J262" s="2">
        <f t="shared" si="17"/>
        <v>0.39</v>
      </c>
      <c r="K262" s="7">
        <f t="shared" si="18"/>
        <v>45931</v>
      </c>
      <c r="L262" t="str">
        <f t="shared" si="19"/>
        <v>Q4-2025</v>
      </c>
    </row>
    <row r="263" spans="1:12">
      <c r="A263" s="6">
        <v>45939</v>
      </c>
      <c r="B263" t="s">
        <v>20</v>
      </c>
      <c r="C263" t="s">
        <v>21</v>
      </c>
      <c r="D263" s="2">
        <v>1390.2397293382289</v>
      </c>
      <c r="E263" s="2">
        <v>1426.4977264850279</v>
      </c>
      <c r="F263" s="2">
        <v>1389.570103711726</v>
      </c>
      <c r="G263" s="2">
        <v>1422.097045898438</v>
      </c>
      <c r="H263" s="3">
        <v>2681316</v>
      </c>
      <c r="I263" s="4">
        <f t="shared" si="16"/>
        <v>-0.05</v>
      </c>
      <c r="J263" s="2">
        <f t="shared" si="17"/>
        <v>4.4000000000000004</v>
      </c>
      <c r="K263" s="7">
        <f t="shared" si="18"/>
        <v>45931</v>
      </c>
      <c r="L263" t="str">
        <f t="shared" si="19"/>
        <v>Q4-2025</v>
      </c>
    </row>
    <row r="264" spans="1:12">
      <c r="A264" s="6">
        <v>45939</v>
      </c>
      <c r="B264" t="s">
        <v>22</v>
      </c>
      <c r="C264" t="s">
        <v>23</v>
      </c>
      <c r="D264" s="2">
        <v>1016.749823498077</v>
      </c>
      <c r="E264" s="2">
        <v>1022.713165571379</v>
      </c>
      <c r="F264" s="2">
        <v>1008.749018348846</v>
      </c>
      <c r="G264" s="2">
        <v>1017.843078613281</v>
      </c>
      <c r="H264" s="3">
        <v>4444154</v>
      </c>
      <c r="I264" s="4">
        <f t="shared" si="16"/>
        <v>-0.79</v>
      </c>
      <c r="J264" s="2">
        <f t="shared" si="17"/>
        <v>4.87</v>
      </c>
      <c r="K264" s="7">
        <f t="shared" si="18"/>
        <v>45931</v>
      </c>
      <c r="L264" t="str">
        <f t="shared" si="19"/>
        <v>Q4-2025</v>
      </c>
    </row>
    <row r="265" spans="1:12">
      <c r="A265" s="6">
        <v>45939</v>
      </c>
      <c r="B265" t="s">
        <v>24</v>
      </c>
      <c r="C265" t="s">
        <v>25</v>
      </c>
      <c r="D265" s="2">
        <v>15910.213425183771</v>
      </c>
      <c r="E265" s="2">
        <v>15915.16370938575</v>
      </c>
      <c r="F265" s="2">
        <v>15695.37109081756</v>
      </c>
      <c r="G265" s="2">
        <v>15826.05859375</v>
      </c>
      <c r="H265" s="3">
        <v>300499</v>
      </c>
      <c r="I265" s="4">
        <f t="shared" si="16"/>
        <v>-1.35</v>
      </c>
      <c r="J265" s="2">
        <f t="shared" si="17"/>
        <v>89.11</v>
      </c>
      <c r="K265" s="7">
        <f t="shared" si="18"/>
        <v>45931</v>
      </c>
      <c r="L265" t="str">
        <f t="shared" si="19"/>
        <v>Q4-2025</v>
      </c>
    </row>
    <row r="266" spans="1:12">
      <c r="A266" s="6">
        <v>45939</v>
      </c>
      <c r="B266" t="s">
        <v>26</v>
      </c>
      <c r="C266" t="s">
        <v>27</v>
      </c>
      <c r="D266" s="2">
        <v>678.96772626438405</v>
      </c>
      <c r="E266" s="2">
        <v>679.36445965110943</v>
      </c>
      <c r="F266" s="2">
        <v>663.29772601699085</v>
      </c>
      <c r="G266" s="2">
        <v>675.49652099609375</v>
      </c>
      <c r="H266" s="3">
        <v>16202851</v>
      </c>
      <c r="I266" s="4">
        <f t="shared" si="16"/>
        <v>-2.31</v>
      </c>
      <c r="J266" s="2">
        <f t="shared" si="17"/>
        <v>3.87</v>
      </c>
      <c r="K266" s="7">
        <f t="shared" si="18"/>
        <v>45931</v>
      </c>
      <c r="L266" t="str">
        <f t="shared" si="19"/>
        <v>Q4-2025</v>
      </c>
    </row>
    <row r="267" spans="1:12">
      <c r="A267" s="6">
        <v>45939</v>
      </c>
      <c r="B267" t="s">
        <v>28</v>
      </c>
      <c r="C267" t="s">
        <v>29</v>
      </c>
      <c r="D267" s="2">
        <v>1630.111201380907</v>
      </c>
      <c r="E267" s="2">
        <v>1647.2546684807021</v>
      </c>
      <c r="F267" s="2">
        <v>1617.6252674357629</v>
      </c>
      <c r="G267" s="2">
        <v>1643.489013671875</v>
      </c>
      <c r="H267" s="3">
        <v>2197566</v>
      </c>
      <c r="I267" s="4">
        <f t="shared" si="16"/>
        <v>-0.77</v>
      </c>
      <c r="J267" s="2">
        <f t="shared" si="17"/>
        <v>3.77</v>
      </c>
      <c r="K267" s="7">
        <f t="shared" si="18"/>
        <v>45931</v>
      </c>
      <c r="L267" t="str">
        <f t="shared" si="19"/>
        <v>Q4-2025</v>
      </c>
    </row>
    <row r="268" spans="1:12">
      <c r="A268" s="6">
        <v>45939</v>
      </c>
      <c r="B268" t="s">
        <v>30</v>
      </c>
      <c r="C268" t="s">
        <v>31</v>
      </c>
      <c r="D268" s="2">
        <v>2304.8745875346158</v>
      </c>
      <c r="E268" s="2">
        <v>2317.2477601110309</v>
      </c>
      <c r="F268" s="2">
        <v>2300.22232297859</v>
      </c>
      <c r="G268" s="2">
        <v>2312.6943359375</v>
      </c>
      <c r="H268" s="3">
        <v>587567</v>
      </c>
      <c r="I268" s="4">
        <f t="shared" si="16"/>
        <v>-0.2</v>
      </c>
      <c r="J268" s="2">
        <f t="shared" si="17"/>
        <v>4.55</v>
      </c>
      <c r="K268" s="7">
        <f t="shared" si="18"/>
        <v>45931</v>
      </c>
      <c r="L268" t="str">
        <f t="shared" si="19"/>
        <v>Q4-2025</v>
      </c>
    </row>
    <row r="269" spans="1:12">
      <c r="A269" s="6">
        <v>45939</v>
      </c>
      <c r="B269" t="s">
        <v>32</v>
      </c>
      <c r="C269" t="s">
        <v>33</v>
      </c>
      <c r="D269" s="2">
        <v>2456.5065020766888</v>
      </c>
      <c r="E269" s="2">
        <v>2478.115115849454</v>
      </c>
      <c r="F269" s="2">
        <v>2453.8545838003988</v>
      </c>
      <c r="G269" s="2">
        <v>2472.811279296875</v>
      </c>
      <c r="H269" s="3">
        <v>1259173</v>
      </c>
      <c r="I269" s="4">
        <f t="shared" si="16"/>
        <v>-0.11</v>
      </c>
      <c r="J269" s="2">
        <f t="shared" si="17"/>
        <v>5.3</v>
      </c>
      <c r="K269" s="7">
        <f t="shared" si="18"/>
        <v>45931</v>
      </c>
      <c r="L269" t="str">
        <f t="shared" si="19"/>
        <v>Q4-2025</v>
      </c>
    </row>
    <row r="270" spans="1:12">
      <c r="A270" s="6">
        <v>45939</v>
      </c>
      <c r="B270" t="s">
        <v>34</v>
      </c>
      <c r="C270" t="s">
        <v>35</v>
      </c>
      <c r="D270" s="2">
        <v>3699.3669909006899</v>
      </c>
      <c r="E270" s="2">
        <v>3759.6778163536528</v>
      </c>
      <c r="F270" s="2">
        <v>3694.0193211149699</v>
      </c>
      <c r="G270" s="2">
        <v>3732.740966796875</v>
      </c>
      <c r="H270" s="3">
        <v>1827249</v>
      </c>
      <c r="I270" s="4">
        <f t="shared" si="16"/>
        <v>-0.14000000000000001</v>
      </c>
      <c r="J270" s="2">
        <f t="shared" si="17"/>
        <v>26.94</v>
      </c>
      <c r="K270" s="7">
        <f t="shared" si="18"/>
        <v>45931</v>
      </c>
      <c r="L270" t="str">
        <f t="shared" si="19"/>
        <v>Q4-2025</v>
      </c>
    </row>
    <row r="271" spans="1:12">
      <c r="A271" s="6">
        <v>45939</v>
      </c>
      <c r="B271" t="s">
        <v>36</v>
      </c>
      <c r="C271" t="s">
        <v>37</v>
      </c>
      <c r="D271" s="2">
        <v>1177.092172913211</v>
      </c>
      <c r="E271" s="2">
        <v>1186.3850546477579</v>
      </c>
      <c r="F271" s="2">
        <v>1162.2036312205039</v>
      </c>
      <c r="G271" s="2">
        <v>1166.500366210938</v>
      </c>
      <c r="H271" s="3">
        <v>7194651</v>
      </c>
      <c r="I271" s="4">
        <f t="shared" si="16"/>
        <v>-1.26</v>
      </c>
      <c r="J271" s="2">
        <f t="shared" si="17"/>
        <v>19.88</v>
      </c>
      <c r="K271" s="7">
        <f t="shared" si="18"/>
        <v>45931</v>
      </c>
      <c r="L271" t="str">
        <f t="shared" si="19"/>
        <v>Q4-2025</v>
      </c>
    </row>
    <row r="272" spans="1:12">
      <c r="A272" s="6">
        <v>45940</v>
      </c>
      <c r="B272" t="s">
        <v>8</v>
      </c>
      <c r="C272" t="s">
        <v>9</v>
      </c>
      <c r="D272" s="2">
        <v>1371.45898859096</v>
      </c>
      <c r="E272" s="2">
        <v>1381.611996445587</v>
      </c>
      <c r="F272" s="2">
        <v>1368.7713419175541</v>
      </c>
      <c r="G272" s="2">
        <v>1375.340942382812</v>
      </c>
      <c r="H272" s="3">
        <v>6373084</v>
      </c>
      <c r="I272" s="4">
        <f t="shared" si="16"/>
        <v>-0.2</v>
      </c>
      <c r="J272" s="2">
        <f t="shared" si="17"/>
        <v>6.27</v>
      </c>
      <c r="K272" s="7">
        <f t="shared" si="18"/>
        <v>45931</v>
      </c>
      <c r="L272" t="str">
        <f t="shared" si="19"/>
        <v>Q4-2025</v>
      </c>
    </row>
    <row r="273" spans="1:12">
      <c r="A273" s="6">
        <v>45940</v>
      </c>
      <c r="B273" t="s">
        <v>10</v>
      </c>
      <c r="C273" t="s">
        <v>11</v>
      </c>
      <c r="D273" s="2">
        <v>2928.432196055488</v>
      </c>
      <c r="E273" s="2">
        <v>2947.6350301279831</v>
      </c>
      <c r="F273" s="2">
        <v>2887.0499948654228</v>
      </c>
      <c r="G273" s="2">
        <v>2907.59716796875</v>
      </c>
      <c r="H273" s="3">
        <v>8817365</v>
      </c>
      <c r="I273" s="4">
        <f t="shared" si="16"/>
        <v>-1.41</v>
      </c>
      <c r="J273" s="2">
        <f t="shared" si="17"/>
        <v>40.04</v>
      </c>
      <c r="K273" s="7">
        <f t="shared" si="18"/>
        <v>45931</v>
      </c>
      <c r="L273" t="str">
        <f t="shared" si="19"/>
        <v>Q4-2025</v>
      </c>
    </row>
    <row r="274" spans="1:12">
      <c r="A274" s="6">
        <v>45940</v>
      </c>
      <c r="B274" t="s">
        <v>12</v>
      </c>
      <c r="C274" t="s">
        <v>13</v>
      </c>
      <c r="D274" s="2">
        <v>1455.7310370996561</v>
      </c>
      <c r="E274" s="2">
        <v>1467.0104954131989</v>
      </c>
      <c r="F274" s="2">
        <v>1444.933608930849</v>
      </c>
      <c r="G274" s="2">
        <v>1460.454956054688</v>
      </c>
      <c r="H274" s="3">
        <v>3738353</v>
      </c>
      <c r="I274" s="4">
        <f t="shared" si="16"/>
        <v>-0.74</v>
      </c>
      <c r="J274" s="2">
        <f t="shared" si="17"/>
        <v>6.56</v>
      </c>
      <c r="K274" s="7">
        <f t="shared" si="18"/>
        <v>45931</v>
      </c>
      <c r="L274" t="str">
        <f t="shared" si="19"/>
        <v>Q4-2025</v>
      </c>
    </row>
    <row r="275" spans="1:12">
      <c r="A275" s="6">
        <v>45940</v>
      </c>
      <c r="B275" t="s">
        <v>14</v>
      </c>
      <c r="C275" t="s">
        <v>15</v>
      </c>
      <c r="D275" s="2">
        <v>963.07131935118673</v>
      </c>
      <c r="E275" s="2">
        <v>970.15418478077845</v>
      </c>
      <c r="F275" s="2">
        <v>962.18593865670312</v>
      </c>
      <c r="G275" s="2">
        <v>964.9404296875</v>
      </c>
      <c r="H275" s="3">
        <v>13757080</v>
      </c>
      <c r="I275" s="4">
        <f t="shared" si="16"/>
        <v>-0.09</v>
      </c>
      <c r="J275" s="2">
        <f t="shared" si="17"/>
        <v>5.21</v>
      </c>
      <c r="K275" s="7">
        <f t="shared" si="18"/>
        <v>45931</v>
      </c>
      <c r="L275" t="str">
        <f t="shared" si="19"/>
        <v>Q4-2025</v>
      </c>
    </row>
    <row r="276" spans="1:12">
      <c r="A276" s="6">
        <v>45940</v>
      </c>
      <c r="B276" t="s">
        <v>16</v>
      </c>
      <c r="C276" t="s">
        <v>17</v>
      </c>
      <c r="D276" s="2">
        <v>1358.844342174694</v>
      </c>
      <c r="E276" s="2">
        <v>1373.4214017735969</v>
      </c>
      <c r="F276" s="2">
        <v>1358.844342174694</v>
      </c>
      <c r="G276" s="2">
        <v>1368.7607421875</v>
      </c>
      <c r="H276" s="3">
        <v>7673816</v>
      </c>
      <c r="I276" s="4">
        <f t="shared" si="16"/>
        <v>0</v>
      </c>
      <c r="J276" s="2">
        <f t="shared" si="17"/>
        <v>4.66</v>
      </c>
      <c r="K276" s="7">
        <f t="shared" si="18"/>
        <v>45931</v>
      </c>
      <c r="L276" t="str">
        <f t="shared" si="19"/>
        <v>Q4-2025</v>
      </c>
    </row>
    <row r="277" spans="1:12">
      <c r="A277" s="6">
        <v>45940</v>
      </c>
      <c r="B277" t="s">
        <v>18</v>
      </c>
      <c r="C277" t="s">
        <v>19</v>
      </c>
      <c r="D277" s="2">
        <v>239.02851172567699</v>
      </c>
      <c r="E277" s="2">
        <v>242.16094181885629</v>
      </c>
      <c r="F277" s="2">
        <v>237.34181859858049</v>
      </c>
      <c r="G277" s="2">
        <v>239.70318603515619</v>
      </c>
      <c r="H277" s="3">
        <v>7070200</v>
      </c>
      <c r="I277" s="4">
        <f t="shared" si="16"/>
        <v>-0.71</v>
      </c>
      <c r="J277" s="2">
        <f t="shared" si="17"/>
        <v>2.46</v>
      </c>
      <c r="K277" s="7">
        <f t="shared" si="18"/>
        <v>45931</v>
      </c>
      <c r="L277" t="str">
        <f t="shared" si="19"/>
        <v>Q4-2025</v>
      </c>
    </row>
    <row r="278" spans="1:12">
      <c r="A278" s="6">
        <v>45940</v>
      </c>
      <c r="B278" t="s">
        <v>20</v>
      </c>
      <c r="C278" t="s">
        <v>21</v>
      </c>
      <c r="D278" s="2">
        <v>1426.402116750643</v>
      </c>
      <c r="E278" s="2">
        <v>1433.577177700093</v>
      </c>
      <c r="F278" s="2">
        <v>1410.043001142215</v>
      </c>
      <c r="G278" s="2">
        <v>1430.707153320312</v>
      </c>
      <c r="H278" s="3">
        <v>2129445</v>
      </c>
      <c r="I278" s="4">
        <f t="shared" si="16"/>
        <v>-1.1499999999999999</v>
      </c>
      <c r="J278" s="2">
        <f t="shared" si="17"/>
        <v>2.87</v>
      </c>
      <c r="K278" s="7">
        <f t="shared" si="18"/>
        <v>45931</v>
      </c>
      <c r="L278" t="str">
        <f t="shared" si="19"/>
        <v>Q4-2025</v>
      </c>
    </row>
    <row r="279" spans="1:12">
      <c r="A279" s="6">
        <v>45940</v>
      </c>
      <c r="B279" t="s">
        <v>22</v>
      </c>
      <c r="C279" t="s">
        <v>23</v>
      </c>
      <c r="D279" s="2">
        <v>1011.8797350138919</v>
      </c>
      <c r="E279" s="2">
        <v>1021.2223285128759</v>
      </c>
      <c r="F279" s="2">
        <v>1010.786479900336</v>
      </c>
      <c r="G279" s="2">
        <v>1017.594604492188</v>
      </c>
      <c r="H279" s="3">
        <v>3714548</v>
      </c>
      <c r="I279" s="4">
        <f t="shared" si="16"/>
        <v>-0.11</v>
      </c>
      <c r="J279" s="2">
        <f t="shared" si="17"/>
        <v>3.63</v>
      </c>
      <c r="K279" s="7">
        <f t="shared" si="18"/>
        <v>45931</v>
      </c>
      <c r="L279" t="str">
        <f t="shared" si="19"/>
        <v>Q4-2025</v>
      </c>
    </row>
    <row r="280" spans="1:12">
      <c r="A280" s="6">
        <v>45940</v>
      </c>
      <c r="B280" t="s">
        <v>24</v>
      </c>
      <c r="C280" t="s">
        <v>25</v>
      </c>
      <c r="D280" s="2">
        <v>15821.108216213879</v>
      </c>
      <c r="E280" s="2">
        <v>16152.77725579033</v>
      </c>
      <c r="F280" s="2">
        <v>15752.794294629481</v>
      </c>
      <c r="G280" s="2">
        <v>16103.2744140625</v>
      </c>
      <c r="H280" s="3">
        <v>423031</v>
      </c>
      <c r="I280" s="4">
        <f t="shared" si="16"/>
        <v>-0.43</v>
      </c>
      <c r="J280" s="2">
        <f t="shared" si="17"/>
        <v>49.5</v>
      </c>
      <c r="K280" s="7">
        <f t="shared" si="18"/>
        <v>45931</v>
      </c>
      <c r="L280" t="str">
        <f t="shared" si="19"/>
        <v>Q4-2025</v>
      </c>
    </row>
    <row r="281" spans="1:12">
      <c r="A281" s="6">
        <v>45940</v>
      </c>
      <c r="B281" t="s">
        <v>26</v>
      </c>
      <c r="C281" t="s">
        <v>27</v>
      </c>
      <c r="D281" s="2">
        <v>679.16610536802352</v>
      </c>
      <c r="E281" s="2">
        <v>682.93483047871507</v>
      </c>
      <c r="F281" s="2">
        <v>661.41340584847069</v>
      </c>
      <c r="G281" s="2">
        <v>673.3642578125</v>
      </c>
      <c r="H281" s="3">
        <v>16069904</v>
      </c>
      <c r="I281" s="4">
        <f t="shared" si="16"/>
        <v>-2.61</v>
      </c>
      <c r="J281" s="2">
        <f t="shared" si="17"/>
        <v>9.57</v>
      </c>
      <c r="K281" s="7">
        <f t="shared" si="18"/>
        <v>45931</v>
      </c>
      <c r="L281" t="str">
        <f t="shared" si="19"/>
        <v>Q4-2025</v>
      </c>
    </row>
    <row r="282" spans="1:12">
      <c r="A282" s="6">
        <v>45940</v>
      </c>
      <c r="B282" t="s">
        <v>28</v>
      </c>
      <c r="C282" t="s">
        <v>29</v>
      </c>
      <c r="D282" s="2">
        <v>1640.020619866448</v>
      </c>
      <c r="E282" s="2">
        <v>1661.425094397898</v>
      </c>
      <c r="F282" s="2">
        <v>1634.074925776298</v>
      </c>
      <c r="G282" s="2">
        <v>1655.776733398438</v>
      </c>
      <c r="H282" s="3">
        <v>1454056</v>
      </c>
      <c r="I282" s="4">
        <f t="shared" si="16"/>
        <v>-0.36</v>
      </c>
      <c r="J282" s="2">
        <f t="shared" si="17"/>
        <v>5.65</v>
      </c>
      <c r="K282" s="7">
        <f t="shared" si="18"/>
        <v>45931</v>
      </c>
      <c r="L282" t="str">
        <f t="shared" si="19"/>
        <v>Q4-2025</v>
      </c>
    </row>
    <row r="283" spans="1:12">
      <c r="A283" s="6">
        <v>45940</v>
      </c>
      <c r="B283" t="s">
        <v>30</v>
      </c>
      <c r="C283" t="s">
        <v>31</v>
      </c>
      <c r="D283" s="2">
        <v>2315.1689522763259</v>
      </c>
      <c r="E283" s="2">
        <v>2333.877334063101</v>
      </c>
      <c r="F283" s="2">
        <v>2312.8924818709588</v>
      </c>
      <c r="G283" s="2">
        <v>2316.455810546875</v>
      </c>
      <c r="H283" s="3">
        <v>1117236</v>
      </c>
      <c r="I283" s="4">
        <f t="shared" si="16"/>
        <v>-0.1</v>
      </c>
      <c r="J283" s="2">
        <f t="shared" si="17"/>
        <v>17.420000000000002</v>
      </c>
      <c r="K283" s="7">
        <f t="shared" si="18"/>
        <v>45931</v>
      </c>
      <c r="L283" t="str">
        <f t="shared" si="19"/>
        <v>Q4-2025</v>
      </c>
    </row>
    <row r="284" spans="1:12">
      <c r="A284" s="6">
        <v>45940</v>
      </c>
      <c r="B284" t="s">
        <v>32</v>
      </c>
      <c r="C284" t="s">
        <v>33</v>
      </c>
      <c r="D284" s="2">
        <v>2465.3464877788729</v>
      </c>
      <c r="E284" s="2">
        <v>2489.8034147865228</v>
      </c>
      <c r="F284" s="2">
        <v>2461.9087536325678</v>
      </c>
      <c r="G284" s="2">
        <v>2483.91015625</v>
      </c>
      <c r="H284" s="3">
        <v>1018875</v>
      </c>
      <c r="I284" s="4">
        <f t="shared" si="16"/>
        <v>-0.14000000000000001</v>
      </c>
      <c r="J284" s="2">
        <f t="shared" si="17"/>
        <v>5.89</v>
      </c>
      <c r="K284" s="7">
        <f t="shared" si="18"/>
        <v>45931</v>
      </c>
      <c r="L284" t="str">
        <f t="shared" si="19"/>
        <v>Q4-2025</v>
      </c>
    </row>
    <row r="285" spans="1:12">
      <c r="A285" s="6">
        <v>45940</v>
      </c>
      <c r="B285" t="s">
        <v>34</v>
      </c>
      <c r="C285" t="s">
        <v>35</v>
      </c>
      <c r="D285" s="2">
        <v>3728.581490385608</v>
      </c>
      <c r="E285" s="2">
        <v>3762.2526114143229</v>
      </c>
      <c r="F285" s="2">
        <v>3723.629854940209</v>
      </c>
      <c r="G285" s="2">
        <v>3747.397705078125</v>
      </c>
      <c r="H285" s="3">
        <v>1129678</v>
      </c>
      <c r="I285" s="4">
        <f t="shared" si="16"/>
        <v>-0.13</v>
      </c>
      <c r="J285" s="2">
        <f t="shared" si="17"/>
        <v>14.85</v>
      </c>
      <c r="K285" s="7">
        <f t="shared" si="18"/>
        <v>45931</v>
      </c>
      <c r="L285" t="str">
        <f t="shared" si="19"/>
        <v>Q4-2025</v>
      </c>
    </row>
    <row r="286" spans="1:12">
      <c r="A286" s="6">
        <v>45940</v>
      </c>
      <c r="B286" t="s">
        <v>36</v>
      </c>
      <c r="C286" t="s">
        <v>37</v>
      </c>
      <c r="D286" s="2">
        <v>1167.0998880332729</v>
      </c>
      <c r="E286" s="2">
        <v>1190.7815749845479</v>
      </c>
      <c r="F286" s="2">
        <v>1164.301997045437</v>
      </c>
      <c r="G286" s="2">
        <v>1179.490356445312</v>
      </c>
      <c r="H286" s="3">
        <v>6933035</v>
      </c>
      <c r="I286" s="4">
        <f t="shared" si="16"/>
        <v>-0.24</v>
      </c>
      <c r="J286" s="2">
        <f t="shared" si="17"/>
        <v>11.29</v>
      </c>
      <c r="K286" s="7">
        <f t="shared" si="18"/>
        <v>45931</v>
      </c>
      <c r="L286" t="str">
        <f t="shared" si="19"/>
        <v>Q4-2025</v>
      </c>
    </row>
    <row r="287" spans="1:12">
      <c r="A287" s="6">
        <v>45943</v>
      </c>
      <c r="B287" t="s">
        <v>8</v>
      </c>
      <c r="C287" t="s">
        <v>9</v>
      </c>
      <c r="D287" s="2">
        <v>1370.56315498352</v>
      </c>
      <c r="E287" s="2">
        <v>1371.359400260232</v>
      </c>
      <c r="F287" s="2">
        <v>1361.505059967041</v>
      </c>
      <c r="G287" s="2">
        <v>1368.671875</v>
      </c>
      <c r="H287" s="3">
        <v>7600682</v>
      </c>
      <c r="I287" s="4">
        <f t="shared" si="16"/>
        <v>-0.66</v>
      </c>
      <c r="J287" s="2">
        <f t="shared" si="17"/>
        <v>2.69</v>
      </c>
      <c r="K287" s="7">
        <f t="shared" si="18"/>
        <v>45931</v>
      </c>
      <c r="L287" t="str">
        <f t="shared" si="19"/>
        <v>Q4-2025</v>
      </c>
    </row>
    <row r="288" spans="1:12">
      <c r="A288" s="6">
        <v>45943</v>
      </c>
      <c r="B288" t="s">
        <v>10</v>
      </c>
      <c r="C288" t="s">
        <v>11</v>
      </c>
      <c r="D288" s="2">
        <v>2906.3489877118641</v>
      </c>
      <c r="E288" s="2">
        <v>2914.5101923354359</v>
      </c>
      <c r="F288" s="2">
        <v>2878.696859281843</v>
      </c>
      <c r="G288" s="2">
        <v>2887.338134765625</v>
      </c>
      <c r="H288" s="3">
        <v>2866865</v>
      </c>
      <c r="I288" s="4">
        <f t="shared" si="16"/>
        <v>-0.95</v>
      </c>
      <c r="J288" s="2">
        <f t="shared" si="17"/>
        <v>27.17</v>
      </c>
      <c r="K288" s="7">
        <f t="shared" si="18"/>
        <v>45931</v>
      </c>
      <c r="L288" t="str">
        <f t="shared" si="19"/>
        <v>Q4-2025</v>
      </c>
    </row>
    <row r="289" spans="1:12">
      <c r="A289" s="6">
        <v>45943</v>
      </c>
      <c r="B289" t="s">
        <v>12</v>
      </c>
      <c r="C289" t="s">
        <v>13</v>
      </c>
      <c r="D289" s="2">
        <v>1443.1982662450721</v>
      </c>
      <c r="E289" s="2">
        <v>1450.6214834671309</v>
      </c>
      <c r="F289" s="2">
        <v>1430.0870697276371</v>
      </c>
      <c r="G289" s="2">
        <v>1439.534790039062</v>
      </c>
      <c r="H289" s="3">
        <v>5859355</v>
      </c>
      <c r="I289" s="4">
        <f t="shared" si="16"/>
        <v>-0.91</v>
      </c>
      <c r="J289" s="2">
        <f t="shared" si="17"/>
        <v>11.09</v>
      </c>
      <c r="K289" s="7">
        <f t="shared" si="18"/>
        <v>45931</v>
      </c>
      <c r="L289" t="str">
        <f t="shared" si="19"/>
        <v>Q4-2025</v>
      </c>
    </row>
    <row r="290" spans="1:12">
      <c r="A290" s="6">
        <v>45943</v>
      </c>
      <c r="B290" t="s">
        <v>14</v>
      </c>
      <c r="C290" t="s">
        <v>15</v>
      </c>
      <c r="D290" s="2">
        <v>958.44779973442041</v>
      </c>
      <c r="E290" s="2">
        <v>965.03880049237932</v>
      </c>
      <c r="F290" s="2">
        <v>956.18523351538511</v>
      </c>
      <c r="G290" s="2">
        <v>961.1038818359375</v>
      </c>
      <c r="H290" s="3">
        <v>18634254</v>
      </c>
      <c r="I290" s="4">
        <f t="shared" si="16"/>
        <v>-0.24</v>
      </c>
      <c r="J290" s="2">
        <f t="shared" si="17"/>
        <v>3.93</v>
      </c>
      <c r="K290" s="7">
        <f t="shared" si="18"/>
        <v>45931</v>
      </c>
      <c r="L290" t="str">
        <f t="shared" si="19"/>
        <v>Q4-2025</v>
      </c>
    </row>
    <row r="291" spans="1:12">
      <c r="A291" s="6">
        <v>45943</v>
      </c>
      <c r="B291" t="s">
        <v>16</v>
      </c>
      <c r="C291" t="s">
        <v>17</v>
      </c>
      <c r="D291" s="2">
        <v>1361.620783990362</v>
      </c>
      <c r="E291" s="2">
        <v>1374.809643676077</v>
      </c>
      <c r="F291" s="2">
        <v>1361.620783990362</v>
      </c>
      <c r="G291" s="2">
        <v>1367.8681640625</v>
      </c>
      <c r="H291" s="3">
        <v>8923018</v>
      </c>
      <c r="I291" s="4">
        <f t="shared" si="16"/>
        <v>0</v>
      </c>
      <c r="J291" s="2">
        <f t="shared" si="17"/>
        <v>6.94</v>
      </c>
      <c r="K291" s="7">
        <f t="shared" si="18"/>
        <v>45931</v>
      </c>
      <c r="L291" t="str">
        <f t="shared" si="19"/>
        <v>Q4-2025</v>
      </c>
    </row>
    <row r="292" spans="1:12">
      <c r="A292" s="6">
        <v>45943</v>
      </c>
      <c r="B292" t="s">
        <v>18</v>
      </c>
      <c r="C292" t="s">
        <v>19</v>
      </c>
      <c r="D292" s="2">
        <v>237.15867892104919</v>
      </c>
      <c r="E292" s="2">
        <v>238.73935067809791</v>
      </c>
      <c r="F292" s="2">
        <v>235.66474784844181</v>
      </c>
      <c r="G292" s="2">
        <v>236.2623291015625</v>
      </c>
      <c r="H292" s="3">
        <v>6717589</v>
      </c>
      <c r="I292" s="4">
        <f t="shared" si="16"/>
        <v>-0.63</v>
      </c>
      <c r="J292" s="2">
        <f t="shared" si="17"/>
        <v>2.48</v>
      </c>
      <c r="K292" s="7">
        <f t="shared" si="18"/>
        <v>45931</v>
      </c>
      <c r="L292" t="str">
        <f t="shared" si="19"/>
        <v>Q4-2025</v>
      </c>
    </row>
    <row r="293" spans="1:12">
      <c r="A293" s="6">
        <v>45943</v>
      </c>
      <c r="B293" t="s">
        <v>20</v>
      </c>
      <c r="C293" t="s">
        <v>21</v>
      </c>
      <c r="D293" s="2">
        <v>1425.445325940894</v>
      </c>
      <c r="E293" s="2">
        <v>1437.1167107560991</v>
      </c>
      <c r="F293" s="2">
        <v>1412.53021728304</v>
      </c>
      <c r="G293" s="2">
        <v>1429.941650390625</v>
      </c>
      <c r="H293" s="3">
        <v>1820492</v>
      </c>
      <c r="I293" s="4">
        <f t="shared" si="16"/>
        <v>-0.91</v>
      </c>
      <c r="J293" s="2">
        <f t="shared" si="17"/>
        <v>7.18</v>
      </c>
      <c r="K293" s="7">
        <f t="shared" si="18"/>
        <v>45931</v>
      </c>
      <c r="L293" t="str">
        <f t="shared" si="19"/>
        <v>Q4-2025</v>
      </c>
    </row>
    <row r="294" spans="1:12">
      <c r="A294" s="6">
        <v>45943</v>
      </c>
      <c r="B294" t="s">
        <v>22</v>
      </c>
      <c r="C294" t="s">
        <v>23</v>
      </c>
      <c r="D294" s="2">
        <v>1017.594562312652</v>
      </c>
      <c r="E294" s="2">
        <v>1033.6459149686521</v>
      </c>
      <c r="F294" s="2">
        <v>1015.2589443658439</v>
      </c>
      <c r="G294" s="2">
        <v>1030.415771484375</v>
      </c>
      <c r="H294" s="3">
        <v>7684523</v>
      </c>
      <c r="I294" s="4">
        <f t="shared" si="16"/>
        <v>-0.23</v>
      </c>
      <c r="J294" s="2">
        <f t="shared" si="17"/>
        <v>3.23</v>
      </c>
      <c r="K294" s="7">
        <f t="shared" si="18"/>
        <v>45931</v>
      </c>
      <c r="L294" t="str">
        <f t="shared" si="19"/>
        <v>Q4-2025</v>
      </c>
    </row>
    <row r="295" spans="1:12">
      <c r="A295" s="6">
        <v>45943</v>
      </c>
      <c r="B295" t="s">
        <v>24</v>
      </c>
      <c r="C295" t="s">
        <v>25</v>
      </c>
      <c r="D295" s="2">
        <v>16102.283913994061</v>
      </c>
      <c r="E295" s="2">
        <v>16268.61345762115</v>
      </c>
      <c r="F295" s="2">
        <v>16056.74130085807</v>
      </c>
      <c r="G295" s="2">
        <v>16160.697265625</v>
      </c>
      <c r="H295" s="3">
        <v>337617</v>
      </c>
      <c r="I295" s="4">
        <f t="shared" si="16"/>
        <v>-0.28000000000000003</v>
      </c>
      <c r="J295" s="2">
        <f t="shared" si="17"/>
        <v>107.92</v>
      </c>
      <c r="K295" s="7">
        <f t="shared" si="18"/>
        <v>45931</v>
      </c>
      <c r="L295" t="str">
        <f t="shared" si="19"/>
        <v>Q4-2025</v>
      </c>
    </row>
    <row r="296" spans="1:12">
      <c r="A296" s="6">
        <v>45943</v>
      </c>
      <c r="B296" t="s">
        <v>26</v>
      </c>
      <c r="C296" t="s">
        <v>27</v>
      </c>
      <c r="D296" s="2">
        <v>673.41382085343355</v>
      </c>
      <c r="E296" s="2">
        <v>673.81055423945497</v>
      </c>
      <c r="F296" s="2">
        <v>652.68574236064433</v>
      </c>
      <c r="G296" s="2">
        <v>655.31396484375</v>
      </c>
      <c r="H296" s="3">
        <v>33288645</v>
      </c>
      <c r="I296" s="4">
        <f t="shared" si="16"/>
        <v>-3.08</v>
      </c>
      <c r="J296" s="2">
        <f t="shared" si="17"/>
        <v>18.5</v>
      </c>
      <c r="K296" s="7">
        <f t="shared" si="18"/>
        <v>45931</v>
      </c>
      <c r="L296" t="str">
        <f t="shared" si="19"/>
        <v>Q4-2025</v>
      </c>
    </row>
    <row r="297" spans="1:12">
      <c r="A297" s="6">
        <v>45943</v>
      </c>
      <c r="B297" t="s">
        <v>28</v>
      </c>
      <c r="C297" t="s">
        <v>29</v>
      </c>
      <c r="D297" s="2">
        <v>1647.4528148203481</v>
      </c>
      <c r="E297" s="2">
        <v>1659.839678089674</v>
      </c>
      <c r="F297" s="2">
        <v>1640.8135044941739</v>
      </c>
      <c r="G297" s="2">
        <v>1653.299438476562</v>
      </c>
      <c r="H297" s="3">
        <v>1375179</v>
      </c>
      <c r="I297" s="4">
        <f t="shared" si="16"/>
        <v>-0.4</v>
      </c>
      <c r="J297" s="2">
        <f t="shared" si="17"/>
        <v>6.54</v>
      </c>
      <c r="K297" s="7">
        <f t="shared" si="18"/>
        <v>45931</v>
      </c>
      <c r="L297" t="str">
        <f t="shared" si="19"/>
        <v>Q4-2025</v>
      </c>
    </row>
    <row r="298" spans="1:12">
      <c r="A298" s="6">
        <v>45943</v>
      </c>
      <c r="B298" t="s">
        <v>30</v>
      </c>
      <c r="C298" t="s">
        <v>31</v>
      </c>
      <c r="D298" s="2">
        <v>2316.4557099050239</v>
      </c>
      <c r="E298" s="2">
        <v>2342.5879940440082</v>
      </c>
      <c r="F298" s="2">
        <v>2313.2882262206508</v>
      </c>
      <c r="G298" s="2">
        <v>2318.732421875</v>
      </c>
      <c r="H298" s="3">
        <v>667732</v>
      </c>
      <c r="I298" s="4">
        <f t="shared" si="16"/>
        <v>-0.14000000000000001</v>
      </c>
      <c r="J298" s="2">
        <f t="shared" si="17"/>
        <v>23.86</v>
      </c>
      <c r="K298" s="7">
        <f t="shared" si="18"/>
        <v>45931</v>
      </c>
      <c r="L298" t="str">
        <f t="shared" si="19"/>
        <v>Q4-2025</v>
      </c>
    </row>
    <row r="299" spans="1:12">
      <c r="A299" s="6">
        <v>45943</v>
      </c>
      <c r="B299" t="s">
        <v>32</v>
      </c>
      <c r="C299" t="s">
        <v>33</v>
      </c>
      <c r="D299" s="2">
        <v>2474.382632786429</v>
      </c>
      <c r="E299" s="2">
        <v>2486.562176966981</v>
      </c>
      <c r="F299" s="2">
        <v>2441.1838969065152</v>
      </c>
      <c r="G299" s="2">
        <v>2448.452392578125</v>
      </c>
      <c r="H299" s="3">
        <v>1114750</v>
      </c>
      <c r="I299" s="4">
        <f t="shared" si="16"/>
        <v>-1.34</v>
      </c>
      <c r="J299" s="2">
        <f t="shared" si="17"/>
        <v>38.11</v>
      </c>
      <c r="K299" s="7">
        <f t="shared" si="18"/>
        <v>45931</v>
      </c>
      <c r="L299" t="str">
        <f t="shared" si="19"/>
        <v>Q4-2025</v>
      </c>
    </row>
    <row r="300" spans="1:12">
      <c r="A300" s="6">
        <v>45943</v>
      </c>
      <c r="B300" t="s">
        <v>34</v>
      </c>
      <c r="C300" t="s">
        <v>35</v>
      </c>
      <c r="D300" s="2">
        <v>3743.43652071727</v>
      </c>
      <c r="E300" s="2">
        <v>3747.3978292048018</v>
      </c>
      <c r="F300" s="2">
        <v>3708.77507145137</v>
      </c>
      <c r="G300" s="2">
        <v>3733.0380859375</v>
      </c>
      <c r="H300" s="3">
        <v>1191248</v>
      </c>
      <c r="I300" s="4">
        <f t="shared" si="16"/>
        <v>-0.93</v>
      </c>
      <c r="J300" s="2">
        <f t="shared" si="17"/>
        <v>14.36</v>
      </c>
      <c r="K300" s="7">
        <f t="shared" si="18"/>
        <v>45931</v>
      </c>
      <c r="L300" t="str">
        <f t="shared" si="19"/>
        <v>Q4-2025</v>
      </c>
    </row>
    <row r="301" spans="1:12">
      <c r="A301" s="6">
        <v>45943</v>
      </c>
      <c r="B301" t="s">
        <v>36</v>
      </c>
      <c r="C301" t="s">
        <v>37</v>
      </c>
      <c r="D301" s="2">
        <v>1170.097585755781</v>
      </c>
      <c r="E301" s="2">
        <v>1192.6801449968109</v>
      </c>
      <c r="F301" s="2">
        <v>1166.6002829802519</v>
      </c>
      <c r="G301" s="2">
        <v>1188.683227539062</v>
      </c>
      <c r="H301" s="3">
        <v>4138448</v>
      </c>
      <c r="I301" s="4">
        <f t="shared" si="16"/>
        <v>-0.3</v>
      </c>
      <c r="J301" s="2">
        <f t="shared" si="17"/>
        <v>4</v>
      </c>
      <c r="K301" s="7">
        <f t="shared" si="18"/>
        <v>45931</v>
      </c>
      <c r="L301" t="str">
        <f t="shared" si="19"/>
        <v>Q4-2025</v>
      </c>
    </row>
    <row r="302" spans="1:12">
      <c r="A302" s="6">
        <v>45944</v>
      </c>
      <c r="B302" t="s">
        <v>8</v>
      </c>
      <c r="C302" t="s">
        <v>9</v>
      </c>
      <c r="D302" s="2">
        <v>1373.6488553790209</v>
      </c>
      <c r="E302" s="2">
        <v>1381.6120371493339</v>
      </c>
      <c r="F302" s="2">
        <v>1363.7943936365559</v>
      </c>
      <c r="G302" s="2">
        <v>1369.567749023438</v>
      </c>
      <c r="H302" s="3">
        <v>9768174</v>
      </c>
      <c r="I302" s="4">
        <f t="shared" si="16"/>
        <v>-0.72</v>
      </c>
      <c r="J302" s="2">
        <f t="shared" si="17"/>
        <v>12.04</v>
      </c>
      <c r="K302" s="7">
        <f t="shared" si="18"/>
        <v>45931</v>
      </c>
      <c r="L302" t="str">
        <f t="shared" si="19"/>
        <v>Q4-2025</v>
      </c>
    </row>
    <row r="303" spans="1:12">
      <c r="A303" s="6">
        <v>45944</v>
      </c>
      <c r="B303" t="s">
        <v>10</v>
      </c>
      <c r="C303" t="s">
        <v>11</v>
      </c>
      <c r="D303" s="2">
        <v>2900.588173459837</v>
      </c>
      <c r="E303" s="2">
        <v>2906.5410053185492</v>
      </c>
      <c r="F303" s="2">
        <v>2837.6988899902508</v>
      </c>
      <c r="G303" s="2">
        <v>2842.3076171875</v>
      </c>
      <c r="H303" s="3">
        <v>3611416</v>
      </c>
      <c r="I303" s="4">
        <f t="shared" si="16"/>
        <v>-2.17</v>
      </c>
      <c r="J303" s="2">
        <f t="shared" si="17"/>
        <v>64.23</v>
      </c>
      <c r="K303" s="7">
        <f t="shared" si="18"/>
        <v>45931</v>
      </c>
      <c r="L303" t="str">
        <f t="shared" si="19"/>
        <v>Q4-2025</v>
      </c>
    </row>
    <row r="304" spans="1:12">
      <c r="A304" s="6">
        <v>45944</v>
      </c>
      <c r="B304" t="s">
        <v>12</v>
      </c>
      <c r="C304" t="s">
        <v>13</v>
      </c>
      <c r="D304" s="2">
        <v>1445.126441130591</v>
      </c>
      <c r="E304" s="2">
        <v>1459.972993815594</v>
      </c>
      <c r="F304" s="2">
        <v>1433.075686951717</v>
      </c>
      <c r="G304" s="2">
        <v>1436.353515625</v>
      </c>
      <c r="H304" s="3">
        <v>5600789</v>
      </c>
      <c r="I304" s="4">
        <f t="shared" si="16"/>
        <v>-0.83</v>
      </c>
      <c r="J304" s="2">
        <f t="shared" si="17"/>
        <v>23.62</v>
      </c>
      <c r="K304" s="7">
        <f t="shared" si="18"/>
        <v>45931</v>
      </c>
      <c r="L304" t="str">
        <f t="shared" si="19"/>
        <v>Q4-2025</v>
      </c>
    </row>
    <row r="305" spans="1:12">
      <c r="A305" s="6">
        <v>45944</v>
      </c>
      <c r="B305" t="s">
        <v>14</v>
      </c>
      <c r="C305" t="s">
        <v>15</v>
      </c>
      <c r="D305" s="2">
        <v>954.21777373187854</v>
      </c>
      <c r="E305" s="2">
        <v>964.49776072534689</v>
      </c>
      <c r="F305" s="2">
        <v>951.26658474095518</v>
      </c>
      <c r="G305" s="2">
        <v>961.25146484375</v>
      </c>
      <c r="H305" s="3">
        <v>22934382</v>
      </c>
      <c r="I305" s="4">
        <f t="shared" si="16"/>
        <v>-0.31</v>
      </c>
      <c r="J305" s="2">
        <f t="shared" si="17"/>
        <v>3.25</v>
      </c>
      <c r="K305" s="7">
        <f t="shared" si="18"/>
        <v>45931</v>
      </c>
      <c r="L305" t="str">
        <f t="shared" si="19"/>
        <v>Q4-2025</v>
      </c>
    </row>
    <row r="306" spans="1:12">
      <c r="A306" s="6">
        <v>45944</v>
      </c>
      <c r="B306" t="s">
        <v>16</v>
      </c>
      <c r="C306" t="s">
        <v>17</v>
      </c>
      <c r="D306" s="2">
        <v>1377.387868480856</v>
      </c>
      <c r="E306" s="2">
        <v>1377.387868480856</v>
      </c>
      <c r="F306" s="2">
        <v>1363.604049186747</v>
      </c>
      <c r="G306" s="2">
        <v>1372.52880859375</v>
      </c>
      <c r="H306" s="3">
        <v>10610855</v>
      </c>
      <c r="I306" s="4">
        <f t="shared" si="16"/>
        <v>-1</v>
      </c>
      <c r="J306" s="2">
        <f t="shared" si="17"/>
        <v>4.8600000000000003</v>
      </c>
      <c r="K306" s="7">
        <f t="shared" si="18"/>
        <v>45931</v>
      </c>
      <c r="L306" t="str">
        <f t="shared" si="19"/>
        <v>Q4-2025</v>
      </c>
    </row>
    <row r="307" spans="1:12">
      <c r="A307" s="6">
        <v>45944</v>
      </c>
      <c r="B307" t="s">
        <v>18</v>
      </c>
      <c r="C307" t="s">
        <v>19</v>
      </c>
      <c r="D307" s="2">
        <v>236.90808810336301</v>
      </c>
      <c r="E307" s="2">
        <v>241.10071626242089</v>
      </c>
      <c r="F307" s="2">
        <v>236.2430467805369</v>
      </c>
      <c r="G307" s="2">
        <v>239.43330383300781</v>
      </c>
      <c r="H307" s="3">
        <v>7888607</v>
      </c>
      <c r="I307" s="4">
        <f t="shared" si="16"/>
        <v>-0.28000000000000003</v>
      </c>
      <c r="J307" s="2">
        <f t="shared" si="17"/>
        <v>1.67</v>
      </c>
      <c r="K307" s="7">
        <f t="shared" si="18"/>
        <v>45931</v>
      </c>
      <c r="L307" t="str">
        <f t="shared" si="19"/>
        <v>Q4-2025</v>
      </c>
    </row>
    <row r="308" spans="1:12">
      <c r="A308" s="6">
        <v>45944</v>
      </c>
      <c r="B308" t="s">
        <v>20</v>
      </c>
      <c r="C308" t="s">
        <v>21</v>
      </c>
      <c r="D308" s="2">
        <v>1449.744945271399</v>
      </c>
      <c r="E308" s="2">
        <v>1468.495747089647</v>
      </c>
      <c r="F308" s="2">
        <v>1425.636671406578</v>
      </c>
      <c r="G308" s="2">
        <v>1430.611450195312</v>
      </c>
      <c r="H308" s="3">
        <v>5802489</v>
      </c>
      <c r="I308" s="4">
        <f t="shared" si="16"/>
        <v>-1.66</v>
      </c>
      <c r="J308" s="2">
        <f t="shared" si="17"/>
        <v>37.880000000000003</v>
      </c>
      <c r="K308" s="7">
        <f t="shared" si="18"/>
        <v>45931</v>
      </c>
      <c r="L308" t="str">
        <f t="shared" si="19"/>
        <v>Q4-2025</v>
      </c>
    </row>
    <row r="309" spans="1:12">
      <c r="A309" s="6">
        <v>45944</v>
      </c>
      <c r="B309" t="s">
        <v>22</v>
      </c>
      <c r="C309" t="s">
        <v>23</v>
      </c>
      <c r="D309" s="2">
        <v>1033.645928668011</v>
      </c>
      <c r="E309" s="2">
        <v>1035.733074066768</v>
      </c>
      <c r="F309" s="2">
        <v>1005.170946848939</v>
      </c>
      <c r="G309" s="2">
        <v>1012.92333984375</v>
      </c>
      <c r="H309" s="3">
        <v>7668358</v>
      </c>
      <c r="I309" s="4">
        <f t="shared" si="16"/>
        <v>-2.75</v>
      </c>
      <c r="J309" s="2">
        <f t="shared" si="17"/>
        <v>22.81</v>
      </c>
      <c r="K309" s="7">
        <f t="shared" si="18"/>
        <v>45931</v>
      </c>
      <c r="L309" t="str">
        <f t="shared" si="19"/>
        <v>Q4-2025</v>
      </c>
    </row>
    <row r="310" spans="1:12">
      <c r="A310" s="6">
        <v>45944</v>
      </c>
      <c r="B310" t="s">
        <v>24</v>
      </c>
      <c r="C310" t="s">
        <v>25</v>
      </c>
      <c r="D310" s="2">
        <v>16187.42853095116</v>
      </c>
      <c r="E310" s="2">
        <v>16187.42853095116</v>
      </c>
      <c r="F310" s="2">
        <v>15960.705525838761</v>
      </c>
      <c r="G310" s="2">
        <v>16099.3134765625</v>
      </c>
      <c r="H310" s="3">
        <v>307925</v>
      </c>
      <c r="I310" s="4">
        <f t="shared" si="16"/>
        <v>-1.4</v>
      </c>
      <c r="J310" s="2">
        <f t="shared" si="17"/>
        <v>88.12</v>
      </c>
      <c r="K310" s="7">
        <f t="shared" si="18"/>
        <v>45931</v>
      </c>
      <c r="L310" t="str">
        <f t="shared" si="19"/>
        <v>Q4-2025</v>
      </c>
    </row>
    <row r="311" spans="1:12">
      <c r="A311" s="6">
        <v>45944</v>
      </c>
      <c r="B311" t="s">
        <v>26</v>
      </c>
      <c r="C311" t="s">
        <v>27</v>
      </c>
      <c r="D311" s="2">
        <v>396.70917956682871</v>
      </c>
      <c r="E311" s="2">
        <v>418.08187450938817</v>
      </c>
      <c r="F311" s="2">
        <v>373.20414857089071</v>
      </c>
      <c r="G311" s="2">
        <v>392.19662475585938</v>
      </c>
      <c r="H311" s="3">
        <v>52267874</v>
      </c>
      <c r="I311" s="4">
        <f t="shared" si="16"/>
        <v>-5.93</v>
      </c>
      <c r="J311" s="2">
        <f t="shared" si="17"/>
        <v>25.89</v>
      </c>
      <c r="K311" s="7">
        <f t="shared" si="18"/>
        <v>45931</v>
      </c>
      <c r="L311" t="str">
        <f t="shared" si="19"/>
        <v>Q4-2025</v>
      </c>
    </row>
    <row r="312" spans="1:12">
      <c r="A312" s="6">
        <v>45944</v>
      </c>
      <c r="B312" t="s">
        <v>28</v>
      </c>
      <c r="C312" t="s">
        <v>29</v>
      </c>
      <c r="D312" s="2">
        <v>1652.506503609744</v>
      </c>
      <c r="E312" s="2">
        <v>1654.785734661999</v>
      </c>
      <c r="F312" s="2">
        <v>1631.3001711323041</v>
      </c>
      <c r="G312" s="2">
        <v>1639.426025390625</v>
      </c>
      <c r="H312" s="3">
        <v>2108287</v>
      </c>
      <c r="I312" s="4">
        <f t="shared" si="16"/>
        <v>-1.28</v>
      </c>
      <c r="J312" s="2">
        <f t="shared" si="17"/>
        <v>15.36</v>
      </c>
      <c r="K312" s="7">
        <f t="shared" si="18"/>
        <v>45931</v>
      </c>
      <c r="L312" t="str">
        <f t="shared" si="19"/>
        <v>Q4-2025</v>
      </c>
    </row>
    <row r="313" spans="1:12">
      <c r="A313" s="6">
        <v>45944</v>
      </c>
      <c r="B313" t="s">
        <v>30</v>
      </c>
      <c r="C313" t="s">
        <v>31</v>
      </c>
      <c r="D313" s="2">
        <v>2318.6335776566279</v>
      </c>
      <c r="E313" s="2">
        <v>2331.1058329185512</v>
      </c>
      <c r="F313" s="2">
        <v>2284.582701645867</v>
      </c>
      <c r="G313" s="2">
        <v>2294.580322265625</v>
      </c>
      <c r="H313" s="3">
        <v>353345</v>
      </c>
      <c r="I313" s="4">
        <f t="shared" si="16"/>
        <v>-1.47</v>
      </c>
      <c r="J313" s="2">
        <f t="shared" si="17"/>
        <v>36.53</v>
      </c>
      <c r="K313" s="7">
        <f t="shared" si="18"/>
        <v>45931</v>
      </c>
      <c r="L313" t="str">
        <f t="shared" si="19"/>
        <v>Q4-2025</v>
      </c>
    </row>
    <row r="314" spans="1:12">
      <c r="A314" s="6">
        <v>45944</v>
      </c>
      <c r="B314" t="s">
        <v>32</v>
      </c>
      <c r="C314" t="s">
        <v>33</v>
      </c>
      <c r="D314" s="2">
        <v>2448.6488488471691</v>
      </c>
      <c r="E314" s="2">
        <v>2464.5605984614458</v>
      </c>
      <c r="F314" s="2">
        <v>2438.1392527301482</v>
      </c>
      <c r="G314" s="2">
        <v>2457.783447265625</v>
      </c>
      <c r="H314" s="3">
        <v>1461017</v>
      </c>
      <c r="I314" s="4">
        <f t="shared" si="16"/>
        <v>-0.43</v>
      </c>
      <c r="J314" s="2">
        <f t="shared" si="17"/>
        <v>6.78</v>
      </c>
      <c r="K314" s="7">
        <f t="shared" si="18"/>
        <v>45931</v>
      </c>
      <c r="L314" t="str">
        <f t="shared" si="19"/>
        <v>Q4-2025</v>
      </c>
    </row>
    <row r="315" spans="1:12">
      <c r="A315" s="6">
        <v>45944</v>
      </c>
      <c r="B315" t="s">
        <v>34</v>
      </c>
      <c r="C315" t="s">
        <v>35</v>
      </c>
      <c r="D315" s="2">
        <v>3738.4847805450122</v>
      </c>
      <c r="E315" s="2">
        <v>3750.1706886122001</v>
      </c>
      <c r="F315" s="2">
        <v>3694.1180783697491</v>
      </c>
      <c r="G315" s="2">
        <v>3708.081787109375</v>
      </c>
      <c r="H315" s="3">
        <v>1364583</v>
      </c>
      <c r="I315" s="4">
        <f t="shared" si="16"/>
        <v>-1.19</v>
      </c>
      <c r="J315" s="2">
        <f t="shared" si="17"/>
        <v>42.09</v>
      </c>
      <c r="K315" s="7">
        <f t="shared" si="18"/>
        <v>45931</v>
      </c>
      <c r="L315" t="str">
        <f t="shared" si="19"/>
        <v>Q4-2025</v>
      </c>
    </row>
    <row r="316" spans="1:12">
      <c r="A316" s="6">
        <v>45944</v>
      </c>
      <c r="B316" t="s">
        <v>36</v>
      </c>
      <c r="C316" t="s">
        <v>37</v>
      </c>
      <c r="D316" s="2">
        <v>1190.881629244145</v>
      </c>
      <c r="E316" s="2">
        <v>1190.881629244145</v>
      </c>
      <c r="F316" s="2">
        <v>1165.70097556886</v>
      </c>
      <c r="G316" s="2">
        <v>1175.893188476562</v>
      </c>
      <c r="H316" s="3">
        <v>5742538</v>
      </c>
      <c r="I316" s="4">
        <f t="shared" si="16"/>
        <v>-2.11</v>
      </c>
      <c r="J316" s="2">
        <f t="shared" si="17"/>
        <v>14.99</v>
      </c>
      <c r="K316" s="7">
        <f t="shared" si="18"/>
        <v>45931</v>
      </c>
      <c r="L316" t="str">
        <f t="shared" si="19"/>
        <v>Q4-2025</v>
      </c>
    </row>
    <row r="317" spans="1:12">
      <c r="A317" s="6">
        <v>45945</v>
      </c>
      <c r="B317" t="s">
        <v>8</v>
      </c>
      <c r="C317" t="s">
        <v>9</v>
      </c>
      <c r="D317" s="2">
        <v>1376.6350089791799</v>
      </c>
      <c r="E317" s="2">
        <v>1377.6304066718619</v>
      </c>
      <c r="F317" s="2">
        <v>1366.3823641411529</v>
      </c>
      <c r="G317" s="2">
        <v>1367.97509765625</v>
      </c>
      <c r="H317" s="3">
        <v>10882743</v>
      </c>
      <c r="I317" s="4">
        <f t="shared" si="16"/>
        <v>-0.74</v>
      </c>
      <c r="J317" s="2">
        <f t="shared" si="17"/>
        <v>9.66</v>
      </c>
      <c r="K317" s="7">
        <f t="shared" si="18"/>
        <v>45931</v>
      </c>
      <c r="L317" t="str">
        <f t="shared" si="19"/>
        <v>Q4-2025</v>
      </c>
    </row>
    <row r="318" spans="1:12">
      <c r="A318" s="6">
        <v>45945</v>
      </c>
      <c r="B318" t="s">
        <v>10</v>
      </c>
      <c r="C318" t="s">
        <v>11</v>
      </c>
      <c r="D318" s="2">
        <v>2863.220629364565</v>
      </c>
      <c r="E318" s="2">
        <v>2871.604971225815</v>
      </c>
      <c r="F318" s="2">
        <v>2843.946172081733</v>
      </c>
      <c r="G318" s="2">
        <v>2862.064208984375</v>
      </c>
      <c r="H318" s="3">
        <v>4282226</v>
      </c>
      <c r="I318" s="4">
        <f t="shared" si="16"/>
        <v>-0.67</v>
      </c>
      <c r="J318" s="2">
        <f t="shared" si="17"/>
        <v>9.5399999999999991</v>
      </c>
      <c r="K318" s="7">
        <f t="shared" si="18"/>
        <v>45931</v>
      </c>
      <c r="L318" t="str">
        <f t="shared" si="19"/>
        <v>Q4-2025</v>
      </c>
    </row>
    <row r="319" spans="1:12">
      <c r="A319" s="6">
        <v>45945</v>
      </c>
      <c r="B319" t="s">
        <v>12</v>
      </c>
      <c r="C319" t="s">
        <v>13</v>
      </c>
      <c r="D319" s="2">
        <v>1430.569218120133</v>
      </c>
      <c r="E319" s="2">
        <v>1435.1002548224251</v>
      </c>
      <c r="F319" s="2">
        <v>1414.7586043879569</v>
      </c>
      <c r="G319" s="2">
        <v>1421.41064453125</v>
      </c>
      <c r="H319" s="3">
        <v>6986098</v>
      </c>
      <c r="I319" s="4">
        <f t="shared" si="16"/>
        <v>-1.1100000000000001</v>
      </c>
      <c r="J319" s="2">
        <f t="shared" si="17"/>
        <v>13.69</v>
      </c>
      <c r="K319" s="7">
        <f t="shared" si="18"/>
        <v>45931</v>
      </c>
      <c r="L319" t="str">
        <f t="shared" si="19"/>
        <v>Q4-2025</v>
      </c>
    </row>
    <row r="320" spans="1:12">
      <c r="A320" s="6">
        <v>45945</v>
      </c>
      <c r="B320" t="s">
        <v>14</v>
      </c>
      <c r="C320" t="s">
        <v>15</v>
      </c>
      <c r="D320" s="2">
        <v>959.13643567665065</v>
      </c>
      <c r="E320" s="2">
        <v>968.87538350189755</v>
      </c>
      <c r="F320" s="2">
        <v>957.51325769174468</v>
      </c>
      <c r="G320" s="2">
        <v>962.33355712890625</v>
      </c>
      <c r="H320" s="3">
        <v>23310447</v>
      </c>
      <c r="I320" s="4">
        <f t="shared" si="16"/>
        <v>-0.17</v>
      </c>
      <c r="J320" s="2">
        <f t="shared" si="17"/>
        <v>6.54</v>
      </c>
      <c r="K320" s="7">
        <f t="shared" si="18"/>
        <v>45931</v>
      </c>
      <c r="L320" t="str">
        <f t="shared" si="19"/>
        <v>Q4-2025</v>
      </c>
    </row>
    <row r="321" spans="1:12">
      <c r="A321" s="6">
        <v>45945</v>
      </c>
      <c r="B321" t="s">
        <v>16</v>
      </c>
      <c r="C321" t="s">
        <v>17</v>
      </c>
      <c r="D321" s="2">
        <v>1374.9088107982641</v>
      </c>
      <c r="E321" s="2">
        <v>1388.692630514965</v>
      </c>
      <c r="F321" s="2">
        <v>1373.917170833751</v>
      </c>
      <c r="G321" s="2">
        <v>1386.709350585938</v>
      </c>
      <c r="H321" s="3">
        <v>8988550</v>
      </c>
      <c r="I321" s="4">
        <f t="shared" si="16"/>
        <v>-7.0000000000000007E-2</v>
      </c>
      <c r="J321" s="2">
        <f t="shared" si="17"/>
        <v>1.98</v>
      </c>
      <c r="K321" s="7">
        <f t="shared" si="18"/>
        <v>45931</v>
      </c>
      <c r="L321" t="str">
        <f t="shared" si="19"/>
        <v>Q4-2025</v>
      </c>
    </row>
    <row r="322" spans="1:12">
      <c r="A322" s="6">
        <v>45945</v>
      </c>
      <c r="B322" t="s">
        <v>18</v>
      </c>
      <c r="C322" t="s">
        <v>19</v>
      </c>
      <c r="D322" s="2">
        <v>240.9561596908066</v>
      </c>
      <c r="E322" s="2">
        <v>243.0091108775473</v>
      </c>
      <c r="F322" s="2">
        <v>239.54896924722169</v>
      </c>
      <c r="G322" s="2">
        <v>241.1585693359375</v>
      </c>
      <c r="H322" s="3">
        <v>13278925</v>
      </c>
      <c r="I322" s="4">
        <f t="shared" ref="I322:I385" si="20">ROUND(((F322-D322)/D322)*100, 2)</f>
        <v>-0.57999999999999996</v>
      </c>
      <c r="J322" s="2">
        <f t="shared" ref="J322:J385" si="21">ROUND(E322-G322, 2)</f>
        <v>1.85</v>
      </c>
      <c r="K322" s="7">
        <f t="shared" ref="K322:K385" si="22">DATE(YEAR(A322),MONTH(A322),1)</f>
        <v>45931</v>
      </c>
      <c r="L322" t="str">
        <f t="shared" ref="L322:L385" si="23">"Q"&amp;INT((MONTH(A322)-1)/3)+1&amp;"-"&amp;YEAR(A322)</f>
        <v>Q4-2025</v>
      </c>
    </row>
    <row r="323" spans="1:12">
      <c r="A323" s="6">
        <v>45945</v>
      </c>
      <c r="B323" t="s">
        <v>20</v>
      </c>
      <c r="C323" t="s">
        <v>21</v>
      </c>
      <c r="D323" s="2">
        <v>1433.0030698582759</v>
      </c>
      <c r="E323" s="2">
        <v>1444.004829010938</v>
      </c>
      <c r="F323" s="2">
        <v>1421.7142615803029</v>
      </c>
      <c r="G323" s="2">
        <v>1430.898315429688</v>
      </c>
      <c r="H323" s="3">
        <v>1710696</v>
      </c>
      <c r="I323" s="4">
        <f t="shared" si="20"/>
        <v>-0.79</v>
      </c>
      <c r="J323" s="2">
        <f t="shared" si="21"/>
        <v>13.11</v>
      </c>
      <c r="K323" s="7">
        <f t="shared" si="22"/>
        <v>45931</v>
      </c>
      <c r="L323" t="str">
        <f t="shared" si="23"/>
        <v>Q4-2025</v>
      </c>
    </row>
    <row r="324" spans="1:12">
      <c r="A324" s="6">
        <v>45945</v>
      </c>
      <c r="B324" t="s">
        <v>22</v>
      </c>
      <c r="C324" t="s">
        <v>23</v>
      </c>
      <c r="D324" s="2">
        <v>1019.731530315279</v>
      </c>
      <c r="E324" s="2">
        <v>1056.5054743909759</v>
      </c>
      <c r="F324" s="2">
        <v>1012.177987688956</v>
      </c>
      <c r="G324" s="2">
        <v>1053.424438476562</v>
      </c>
      <c r="H324" s="3">
        <v>10205158</v>
      </c>
      <c r="I324" s="4">
        <f t="shared" si="20"/>
        <v>-0.74</v>
      </c>
      <c r="J324" s="2">
        <f t="shared" si="21"/>
        <v>3.08</v>
      </c>
      <c r="K324" s="7">
        <f t="shared" si="22"/>
        <v>45931</v>
      </c>
      <c r="L324" t="str">
        <f t="shared" si="23"/>
        <v>Q4-2025</v>
      </c>
    </row>
    <row r="325" spans="1:12">
      <c r="A325" s="6">
        <v>45945</v>
      </c>
      <c r="B325" t="s">
        <v>24</v>
      </c>
      <c r="C325" t="s">
        <v>25</v>
      </c>
      <c r="D325" s="2">
        <v>16137.925779322421</v>
      </c>
      <c r="E325" s="2">
        <v>16217.13032302461</v>
      </c>
      <c r="F325" s="2">
        <v>16038.920099694669</v>
      </c>
      <c r="G325" s="2">
        <v>16050.80078125</v>
      </c>
      <c r="H325" s="3">
        <v>266435</v>
      </c>
      <c r="I325" s="4">
        <f t="shared" si="20"/>
        <v>-0.61</v>
      </c>
      <c r="J325" s="2">
        <f t="shared" si="21"/>
        <v>166.33</v>
      </c>
      <c r="K325" s="7">
        <f t="shared" si="22"/>
        <v>45931</v>
      </c>
      <c r="L325" t="str">
        <f t="shared" si="23"/>
        <v>Q4-2025</v>
      </c>
    </row>
    <row r="326" spans="1:12">
      <c r="A326" s="6">
        <v>45945</v>
      </c>
      <c r="B326" t="s">
        <v>26</v>
      </c>
      <c r="C326" t="s">
        <v>27</v>
      </c>
      <c r="D326" s="2">
        <v>399.68449564169009</v>
      </c>
      <c r="E326" s="2">
        <v>399.68449564169009</v>
      </c>
      <c r="F326" s="2">
        <v>384.80790151110608</v>
      </c>
      <c r="G326" s="2">
        <v>387.63446044921881</v>
      </c>
      <c r="H326" s="3">
        <v>26953559</v>
      </c>
      <c r="I326" s="4">
        <f t="shared" si="20"/>
        <v>-3.72</v>
      </c>
      <c r="J326" s="2">
        <f t="shared" si="21"/>
        <v>12.05</v>
      </c>
      <c r="K326" s="7">
        <f t="shared" si="22"/>
        <v>45931</v>
      </c>
      <c r="L326" t="str">
        <f t="shared" si="23"/>
        <v>Q4-2025</v>
      </c>
    </row>
    <row r="327" spans="1:12">
      <c r="A327" s="6">
        <v>45945</v>
      </c>
      <c r="B327" t="s">
        <v>28</v>
      </c>
      <c r="C327" t="s">
        <v>29</v>
      </c>
      <c r="D327" s="2">
        <v>1637.54318575715</v>
      </c>
      <c r="E327" s="2">
        <v>1653.596510810768</v>
      </c>
      <c r="F327" s="2">
        <v>1635.164884017423</v>
      </c>
      <c r="G327" s="2">
        <v>1640.11962890625</v>
      </c>
      <c r="H327" s="3">
        <v>2088737</v>
      </c>
      <c r="I327" s="4">
        <f t="shared" si="20"/>
        <v>-0.15</v>
      </c>
      <c r="J327" s="2">
        <f t="shared" si="21"/>
        <v>13.48</v>
      </c>
      <c r="K327" s="7">
        <f t="shared" si="22"/>
        <v>45931</v>
      </c>
      <c r="L327" t="str">
        <f t="shared" si="23"/>
        <v>Q4-2025</v>
      </c>
    </row>
    <row r="328" spans="1:12">
      <c r="A328" s="6">
        <v>45945</v>
      </c>
      <c r="B328" t="s">
        <v>30</v>
      </c>
      <c r="C328" t="s">
        <v>31</v>
      </c>
      <c r="D328" s="2">
        <v>2306.359208750453</v>
      </c>
      <c r="E328" s="2">
        <v>2359.8113105841549</v>
      </c>
      <c r="F328" s="2">
        <v>2301.4099400621481</v>
      </c>
      <c r="G328" s="2">
        <v>2351.001708984375</v>
      </c>
      <c r="H328" s="3">
        <v>753640</v>
      </c>
      <c r="I328" s="4">
        <f t="shared" si="20"/>
        <v>-0.21</v>
      </c>
      <c r="J328" s="2">
        <f t="shared" si="21"/>
        <v>8.81</v>
      </c>
      <c r="K328" s="7">
        <f t="shared" si="22"/>
        <v>45931</v>
      </c>
      <c r="L328" t="str">
        <f t="shared" si="23"/>
        <v>Q4-2025</v>
      </c>
    </row>
    <row r="329" spans="1:12">
      <c r="A329" s="6">
        <v>45945</v>
      </c>
      <c r="B329" t="s">
        <v>32</v>
      </c>
      <c r="C329" t="s">
        <v>33</v>
      </c>
      <c r="D329" s="2">
        <v>2458.0781358428399</v>
      </c>
      <c r="E329" s="2">
        <v>2486.7586116449802</v>
      </c>
      <c r="F329" s="2">
        <v>2458.0781358428399</v>
      </c>
      <c r="G329" s="2">
        <v>2474.186279296875</v>
      </c>
      <c r="H329" s="3">
        <v>881070</v>
      </c>
      <c r="I329" s="4">
        <f t="shared" si="20"/>
        <v>0</v>
      </c>
      <c r="J329" s="2">
        <f t="shared" si="21"/>
        <v>12.57</v>
      </c>
      <c r="K329" s="7">
        <f t="shared" si="22"/>
        <v>45931</v>
      </c>
      <c r="L329" t="str">
        <f t="shared" si="23"/>
        <v>Q4-2025</v>
      </c>
    </row>
    <row r="330" spans="1:12">
      <c r="A330" s="6">
        <v>45945</v>
      </c>
      <c r="B330" t="s">
        <v>34</v>
      </c>
      <c r="C330" t="s">
        <v>35</v>
      </c>
      <c r="D330" s="2">
        <v>3710.755608261642</v>
      </c>
      <c r="E330" s="2">
        <v>3806.7182066235509</v>
      </c>
      <c r="F330" s="2">
        <v>3708.0817734729931</v>
      </c>
      <c r="G330" s="2">
        <v>3791.665283203125</v>
      </c>
      <c r="H330" s="3">
        <v>2575918</v>
      </c>
      <c r="I330" s="4">
        <f t="shared" si="20"/>
        <v>-7.0000000000000007E-2</v>
      </c>
      <c r="J330" s="2">
        <f t="shared" si="21"/>
        <v>15.05</v>
      </c>
      <c r="K330" s="7">
        <f t="shared" si="22"/>
        <v>45931</v>
      </c>
      <c r="L330" t="str">
        <f t="shared" si="23"/>
        <v>Q4-2025</v>
      </c>
    </row>
    <row r="331" spans="1:12">
      <c r="A331" s="6">
        <v>45945</v>
      </c>
      <c r="B331" t="s">
        <v>36</v>
      </c>
      <c r="C331" t="s">
        <v>37</v>
      </c>
      <c r="D331" s="2">
        <v>1179.090617900606</v>
      </c>
      <c r="E331" s="2">
        <v>1180.7892589833571</v>
      </c>
      <c r="F331" s="2">
        <v>1163.102948505343</v>
      </c>
      <c r="G331" s="2">
        <v>1168.698608398438</v>
      </c>
      <c r="H331" s="3">
        <v>6328142</v>
      </c>
      <c r="I331" s="4">
        <f t="shared" si="20"/>
        <v>-1.36</v>
      </c>
      <c r="J331" s="2">
        <f t="shared" si="21"/>
        <v>12.09</v>
      </c>
      <c r="K331" s="7">
        <f t="shared" si="22"/>
        <v>45931</v>
      </c>
      <c r="L331" t="str">
        <f t="shared" si="23"/>
        <v>Q4-2025</v>
      </c>
    </row>
    <row r="332" spans="1:12">
      <c r="A332" s="6">
        <v>45946</v>
      </c>
      <c r="B332" t="s">
        <v>8</v>
      </c>
      <c r="C332" t="s">
        <v>9</v>
      </c>
      <c r="D332" s="2">
        <v>1368.7713249510271</v>
      </c>
      <c r="E332" s="2">
        <v>1394.0544503152109</v>
      </c>
      <c r="F332" s="2">
        <v>1368.6718094847661</v>
      </c>
      <c r="G332" s="2">
        <v>1391.864624023438</v>
      </c>
      <c r="H332" s="3">
        <v>12315932</v>
      </c>
      <c r="I332" s="4">
        <f t="shared" si="20"/>
        <v>-0.01</v>
      </c>
      <c r="J332" s="2">
        <f t="shared" si="21"/>
        <v>2.19</v>
      </c>
      <c r="K332" s="7">
        <f t="shared" si="22"/>
        <v>45931</v>
      </c>
      <c r="L332" t="str">
        <f t="shared" si="23"/>
        <v>Q4-2025</v>
      </c>
    </row>
    <row r="333" spans="1:12">
      <c r="A333" s="6">
        <v>45946</v>
      </c>
      <c r="B333" t="s">
        <v>10</v>
      </c>
      <c r="C333" t="s">
        <v>11</v>
      </c>
      <c r="D333" s="2">
        <v>2862.1603711548541</v>
      </c>
      <c r="E333" s="2">
        <v>2867.075451757139</v>
      </c>
      <c r="F333" s="2">
        <v>2836.3327872451341</v>
      </c>
      <c r="G333" s="2">
        <v>2862.931396484375</v>
      </c>
      <c r="H333" s="3">
        <v>3251495</v>
      </c>
      <c r="I333" s="4">
        <f t="shared" si="20"/>
        <v>-0.9</v>
      </c>
      <c r="J333" s="2">
        <f t="shared" si="21"/>
        <v>4.1399999999999997</v>
      </c>
      <c r="K333" s="7">
        <f t="shared" si="22"/>
        <v>45931</v>
      </c>
      <c r="L333" t="str">
        <f t="shared" si="23"/>
        <v>Q4-2025</v>
      </c>
    </row>
    <row r="334" spans="1:12">
      <c r="A334" s="6">
        <v>45946</v>
      </c>
      <c r="B334" t="s">
        <v>12</v>
      </c>
      <c r="C334" t="s">
        <v>13</v>
      </c>
      <c r="D334" s="2">
        <v>1420.928514374262</v>
      </c>
      <c r="E334" s="2">
        <v>1421.5069270236049</v>
      </c>
      <c r="F334" s="2">
        <v>1408.0100826842829</v>
      </c>
      <c r="G334" s="2">
        <v>1418.61474609375</v>
      </c>
      <c r="H334" s="3">
        <v>8005748</v>
      </c>
      <c r="I334" s="4">
        <f t="shared" si="20"/>
        <v>-0.91</v>
      </c>
      <c r="J334" s="2">
        <f t="shared" si="21"/>
        <v>2.89</v>
      </c>
      <c r="K334" s="7">
        <f t="shared" si="22"/>
        <v>45931</v>
      </c>
      <c r="L334" t="str">
        <f t="shared" si="23"/>
        <v>Q4-2025</v>
      </c>
    </row>
    <row r="335" spans="1:12">
      <c r="A335" s="6">
        <v>45946</v>
      </c>
      <c r="B335" t="s">
        <v>14</v>
      </c>
      <c r="C335" t="s">
        <v>15</v>
      </c>
      <c r="D335" s="2">
        <v>966.66198076035232</v>
      </c>
      <c r="E335" s="2">
        <v>980.38496157374595</v>
      </c>
      <c r="F335" s="2">
        <v>965.53066762708977</v>
      </c>
      <c r="G335" s="2">
        <v>978.17156982421875</v>
      </c>
      <c r="H335" s="3">
        <v>22936566</v>
      </c>
      <c r="I335" s="4">
        <f t="shared" si="20"/>
        <v>-0.12</v>
      </c>
      <c r="J335" s="2">
        <f t="shared" si="21"/>
        <v>2.21</v>
      </c>
      <c r="K335" s="7">
        <f t="shared" si="22"/>
        <v>45931</v>
      </c>
      <c r="L335" t="str">
        <f t="shared" si="23"/>
        <v>Q4-2025</v>
      </c>
    </row>
    <row r="336" spans="1:12">
      <c r="A336" s="6">
        <v>45946</v>
      </c>
      <c r="B336" t="s">
        <v>16</v>
      </c>
      <c r="C336" t="s">
        <v>17</v>
      </c>
      <c r="D336" s="2">
        <v>1389.287635646356</v>
      </c>
      <c r="E336" s="2">
        <v>1407.0380158006919</v>
      </c>
      <c r="F336" s="2">
        <v>1387.701035861289</v>
      </c>
      <c r="G336" s="2">
        <v>1405.451416015625</v>
      </c>
      <c r="H336" s="3">
        <v>12185032</v>
      </c>
      <c r="I336" s="4">
        <f t="shared" si="20"/>
        <v>-0.11</v>
      </c>
      <c r="J336" s="2">
        <f t="shared" si="21"/>
        <v>1.59</v>
      </c>
      <c r="K336" s="7">
        <f t="shared" si="22"/>
        <v>45931</v>
      </c>
      <c r="L336" t="str">
        <f t="shared" si="23"/>
        <v>Q4-2025</v>
      </c>
    </row>
    <row r="337" spans="1:12">
      <c r="A337" s="6">
        <v>45946</v>
      </c>
      <c r="B337" t="s">
        <v>18</v>
      </c>
      <c r="C337" t="s">
        <v>19</v>
      </c>
      <c r="D337" s="2">
        <v>241.34168090575861</v>
      </c>
      <c r="E337" s="2">
        <v>244.8789302315804</v>
      </c>
      <c r="F337" s="2">
        <v>239.7995703254374</v>
      </c>
      <c r="G337" s="2">
        <v>244.6283264160156</v>
      </c>
      <c r="H337" s="3">
        <v>10661302</v>
      </c>
      <c r="I337" s="4">
        <f t="shared" si="20"/>
        <v>-0.64</v>
      </c>
      <c r="J337" s="2">
        <f t="shared" si="21"/>
        <v>0.25</v>
      </c>
      <c r="K337" s="7">
        <f t="shared" si="22"/>
        <v>45931</v>
      </c>
      <c r="L337" t="str">
        <f t="shared" si="23"/>
        <v>Q4-2025</v>
      </c>
    </row>
    <row r="338" spans="1:12">
      <c r="A338" s="6">
        <v>45946</v>
      </c>
      <c r="B338" t="s">
        <v>20</v>
      </c>
      <c r="C338" t="s">
        <v>21</v>
      </c>
      <c r="D338" s="2">
        <v>1434.916417882732</v>
      </c>
      <c r="E338" s="2">
        <v>1454.049912042695</v>
      </c>
      <c r="F338" s="2">
        <v>1433.0987125812189</v>
      </c>
      <c r="G338" s="2">
        <v>1449.362182617188</v>
      </c>
      <c r="H338" s="3">
        <v>2021043</v>
      </c>
      <c r="I338" s="4">
        <f t="shared" si="20"/>
        <v>-0.13</v>
      </c>
      <c r="J338" s="2">
        <f t="shared" si="21"/>
        <v>4.6900000000000004</v>
      </c>
      <c r="K338" s="7">
        <f t="shared" si="22"/>
        <v>45931</v>
      </c>
      <c r="L338" t="str">
        <f t="shared" si="23"/>
        <v>Q4-2025</v>
      </c>
    </row>
    <row r="339" spans="1:12">
      <c r="A339" s="6">
        <v>45946</v>
      </c>
      <c r="B339" t="s">
        <v>22</v>
      </c>
      <c r="C339" t="s">
        <v>23</v>
      </c>
      <c r="D339" s="2">
        <v>1055.5115586239881</v>
      </c>
      <c r="E339" s="2">
        <v>1074.4948401686149</v>
      </c>
      <c r="F339" s="2">
        <v>1052.38077973605</v>
      </c>
      <c r="G339" s="2">
        <v>1059.238647460938</v>
      </c>
      <c r="H339" s="3">
        <v>9901992</v>
      </c>
      <c r="I339" s="4">
        <f t="shared" si="20"/>
        <v>-0.3</v>
      </c>
      <c r="J339" s="2">
        <f t="shared" si="21"/>
        <v>15.26</v>
      </c>
      <c r="K339" s="7">
        <f t="shared" si="22"/>
        <v>45931</v>
      </c>
      <c r="L339" t="str">
        <f t="shared" si="23"/>
        <v>Q4-2025</v>
      </c>
    </row>
    <row r="340" spans="1:12">
      <c r="A340" s="6">
        <v>45946</v>
      </c>
      <c r="B340" t="s">
        <v>24</v>
      </c>
      <c r="C340" t="s">
        <v>25</v>
      </c>
      <c r="D340" s="2">
        <v>16084.46333366728</v>
      </c>
      <c r="E340" s="2">
        <v>16169.6082214363</v>
      </c>
      <c r="F340" s="2">
        <v>16038.920719279209</v>
      </c>
      <c r="G340" s="2">
        <v>16135.9462890625</v>
      </c>
      <c r="H340" s="3">
        <v>265727</v>
      </c>
      <c r="I340" s="4">
        <f t="shared" si="20"/>
        <v>-0.28000000000000003</v>
      </c>
      <c r="J340" s="2">
        <f t="shared" si="21"/>
        <v>33.659999999999997</v>
      </c>
      <c r="K340" s="7">
        <f t="shared" si="22"/>
        <v>45931</v>
      </c>
      <c r="L340" t="str">
        <f t="shared" si="23"/>
        <v>Q4-2025</v>
      </c>
    </row>
    <row r="341" spans="1:12">
      <c r="A341" s="6">
        <v>45946</v>
      </c>
      <c r="B341" t="s">
        <v>26</v>
      </c>
      <c r="C341" t="s">
        <v>27</v>
      </c>
      <c r="D341" s="2">
        <v>392.19662268260572</v>
      </c>
      <c r="E341" s="2">
        <v>397.15548740097722</v>
      </c>
      <c r="F341" s="2">
        <v>386.34513810172069</v>
      </c>
      <c r="G341" s="2">
        <v>393.53549194335938</v>
      </c>
      <c r="H341" s="3">
        <v>21983752</v>
      </c>
      <c r="I341" s="4">
        <f t="shared" si="20"/>
        <v>-1.49</v>
      </c>
      <c r="J341" s="2">
        <f t="shared" si="21"/>
        <v>3.62</v>
      </c>
      <c r="K341" s="7">
        <f t="shared" si="22"/>
        <v>45931</v>
      </c>
      <c r="L341" t="str">
        <f t="shared" si="23"/>
        <v>Q4-2025</v>
      </c>
    </row>
    <row r="342" spans="1:12">
      <c r="A342" s="6">
        <v>45946</v>
      </c>
      <c r="B342" t="s">
        <v>28</v>
      </c>
      <c r="C342" t="s">
        <v>29</v>
      </c>
      <c r="D342" s="2">
        <v>1639.029751750631</v>
      </c>
      <c r="E342" s="2">
        <v>1647.849222612756</v>
      </c>
      <c r="F342" s="2">
        <v>1628.3274534739339</v>
      </c>
      <c r="G342" s="2">
        <v>1643.984497070312</v>
      </c>
      <c r="H342" s="3">
        <v>2895957</v>
      </c>
      <c r="I342" s="4">
        <f t="shared" si="20"/>
        <v>-0.65</v>
      </c>
      <c r="J342" s="2">
        <f t="shared" si="21"/>
        <v>3.86</v>
      </c>
      <c r="K342" s="7">
        <f t="shared" si="22"/>
        <v>45931</v>
      </c>
      <c r="L342" t="str">
        <f t="shared" si="23"/>
        <v>Q4-2025</v>
      </c>
    </row>
    <row r="343" spans="1:12">
      <c r="A343" s="6">
        <v>45946</v>
      </c>
      <c r="B343" t="s">
        <v>30</v>
      </c>
      <c r="C343" t="s">
        <v>31</v>
      </c>
      <c r="D343" s="2">
        <v>2352.882319596366</v>
      </c>
      <c r="E343" s="2">
        <v>2396.2379613654671</v>
      </c>
      <c r="F343" s="2">
        <v>2342.8847002435741</v>
      </c>
      <c r="G343" s="2">
        <v>2385.25048828125</v>
      </c>
      <c r="H343" s="3">
        <v>715890</v>
      </c>
      <c r="I343" s="4">
        <f t="shared" si="20"/>
        <v>-0.42</v>
      </c>
      <c r="J343" s="2">
        <f t="shared" si="21"/>
        <v>10.99</v>
      </c>
      <c r="K343" s="7">
        <f t="shared" si="22"/>
        <v>45931</v>
      </c>
      <c r="L343" t="str">
        <f t="shared" si="23"/>
        <v>Q4-2025</v>
      </c>
    </row>
    <row r="344" spans="1:12">
      <c r="A344" s="6">
        <v>45946</v>
      </c>
      <c r="B344" t="s">
        <v>32</v>
      </c>
      <c r="C344" t="s">
        <v>33</v>
      </c>
      <c r="D344" s="2">
        <v>2473.0076593520139</v>
      </c>
      <c r="E344" s="2">
        <v>2522.8056437611331</v>
      </c>
      <c r="F344" s="2">
        <v>2462.4980633993669</v>
      </c>
      <c r="G344" s="2">
        <v>2515.93017578125</v>
      </c>
      <c r="H344" s="3">
        <v>1446646</v>
      </c>
      <c r="I344" s="4">
        <f t="shared" si="20"/>
        <v>-0.42</v>
      </c>
      <c r="J344" s="2">
        <f t="shared" si="21"/>
        <v>6.88</v>
      </c>
      <c r="K344" s="7">
        <f t="shared" si="22"/>
        <v>45931</v>
      </c>
      <c r="L344" t="str">
        <f t="shared" si="23"/>
        <v>Q4-2025</v>
      </c>
    </row>
    <row r="345" spans="1:12">
      <c r="A345" s="6">
        <v>45946</v>
      </c>
      <c r="B345" t="s">
        <v>34</v>
      </c>
      <c r="C345" t="s">
        <v>35</v>
      </c>
      <c r="D345" s="2">
        <v>3793.2500082842089</v>
      </c>
      <c r="E345" s="2">
        <v>3848.3120509754258</v>
      </c>
      <c r="F345" s="2">
        <v>3792.9528617930041</v>
      </c>
      <c r="G345" s="2">
        <v>3824.4453125</v>
      </c>
      <c r="H345" s="3">
        <v>2330283</v>
      </c>
      <c r="I345" s="4">
        <f t="shared" si="20"/>
        <v>-0.01</v>
      </c>
      <c r="J345" s="2">
        <f t="shared" si="21"/>
        <v>23.87</v>
      </c>
      <c r="K345" s="7">
        <f t="shared" si="22"/>
        <v>45931</v>
      </c>
      <c r="L345" t="str">
        <f t="shared" si="23"/>
        <v>Q4-2025</v>
      </c>
    </row>
    <row r="346" spans="1:12">
      <c r="A346" s="6">
        <v>45946</v>
      </c>
      <c r="B346" t="s">
        <v>36</v>
      </c>
      <c r="C346" t="s">
        <v>37</v>
      </c>
      <c r="D346" s="2">
        <v>1215.4626602690009</v>
      </c>
      <c r="E346" s="2">
        <v>1215.962274966417</v>
      </c>
      <c r="F346" s="2">
        <v>1184.3866504849721</v>
      </c>
      <c r="G346" s="2">
        <v>1195.378173828125</v>
      </c>
      <c r="H346" s="3">
        <v>17747171</v>
      </c>
      <c r="I346" s="4">
        <f t="shared" si="20"/>
        <v>-2.56</v>
      </c>
      <c r="J346" s="2">
        <f t="shared" si="21"/>
        <v>20.58</v>
      </c>
      <c r="K346" s="7">
        <f t="shared" si="22"/>
        <v>45931</v>
      </c>
      <c r="L346" t="str">
        <f t="shared" si="23"/>
        <v>Q4-2025</v>
      </c>
    </row>
    <row r="347" spans="1:12">
      <c r="A347" s="6">
        <v>45947</v>
      </c>
      <c r="B347" t="s">
        <v>8</v>
      </c>
      <c r="C347" t="s">
        <v>9</v>
      </c>
      <c r="D347" s="2">
        <v>1394.5522084059301</v>
      </c>
      <c r="E347" s="2">
        <v>1416.749626208087</v>
      </c>
      <c r="F347" s="2">
        <v>1392.660928432585</v>
      </c>
      <c r="G347" s="2">
        <v>1410.279541015625</v>
      </c>
      <c r="H347" s="3">
        <v>19335561</v>
      </c>
      <c r="I347" s="4">
        <f t="shared" si="20"/>
        <v>-0.14000000000000001</v>
      </c>
      <c r="J347" s="2">
        <f t="shared" si="21"/>
        <v>6.47</v>
      </c>
      <c r="K347" s="7">
        <f t="shared" si="22"/>
        <v>45931</v>
      </c>
      <c r="L347" t="str">
        <f t="shared" si="23"/>
        <v>Q4-2025</v>
      </c>
    </row>
    <row r="348" spans="1:12">
      <c r="A348" s="6">
        <v>45947</v>
      </c>
      <c r="B348" t="s">
        <v>10</v>
      </c>
      <c r="C348" t="s">
        <v>11</v>
      </c>
      <c r="D348" s="2">
        <v>2862.256831293319</v>
      </c>
      <c r="E348" s="2">
        <v>2880.3748677199019</v>
      </c>
      <c r="F348" s="2">
        <v>2848.1863837329988</v>
      </c>
      <c r="G348" s="2">
        <v>2854.73974609375</v>
      </c>
      <c r="H348" s="3">
        <v>4374683</v>
      </c>
      <c r="I348" s="4">
        <f t="shared" si="20"/>
        <v>-0.49</v>
      </c>
      <c r="J348" s="2">
        <f t="shared" si="21"/>
        <v>25.64</v>
      </c>
      <c r="K348" s="7">
        <f t="shared" si="22"/>
        <v>45931</v>
      </c>
      <c r="L348" t="str">
        <f t="shared" si="23"/>
        <v>Q4-2025</v>
      </c>
    </row>
    <row r="349" spans="1:12">
      <c r="A349" s="6">
        <v>45947</v>
      </c>
      <c r="B349" t="s">
        <v>12</v>
      </c>
      <c r="C349" t="s">
        <v>13</v>
      </c>
      <c r="D349" s="2">
        <v>1402.611453201012</v>
      </c>
      <c r="E349" s="2">
        <v>1405.9856644896411</v>
      </c>
      <c r="F349" s="2">
        <v>1382.46256796943</v>
      </c>
      <c r="G349" s="2">
        <v>1389.307373046875</v>
      </c>
      <c r="H349" s="3">
        <v>16959378</v>
      </c>
      <c r="I349" s="4">
        <f t="shared" si="20"/>
        <v>-1.44</v>
      </c>
      <c r="J349" s="2">
        <f t="shared" si="21"/>
        <v>16.68</v>
      </c>
      <c r="K349" s="7">
        <f t="shared" si="22"/>
        <v>45931</v>
      </c>
      <c r="L349" t="str">
        <f t="shared" si="23"/>
        <v>Q4-2025</v>
      </c>
    </row>
    <row r="350" spans="1:12">
      <c r="A350" s="6">
        <v>45947</v>
      </c>
      <c r="B350" t="s">
        <v>14</v>
      </c>
      <c r="C350" t="s">
        <v>15</v>
      </c>
      <c r="D350" s="2">
        <v>977.77810811576308</v>
      </c>
      <c r="E350" s="2">
        <v>992.5832274986775</v>
      </c>
      <c r="F350" s="2">
        <v>969.95744530594254</v>
      </c>
      <c r="G350" s="2">
        <v>986.2381591796875</v>
      </c>
      <c r="H350" s="3">
        <v>25210511</v>
      </c>
      <c r="I350" s="4">
        <f t="shared" si="20"/>
        <v>-0.8</v>
      </c>
      <c r="J350" s="2">
        <f t="shared" si="21"/>
        <v>6.35</v>
      </c>
      <c r="K350" s="7">
        <f t="shared" si="22"/>
        <v>45931</v>
      </c>
      <c r="L350" t="str">
        <f t="shared" si="23"/>
        <v>Q4-2025</v>
      </c>
    </row>
    <row r="351" spans="1:12">
      <c r="A351" s="6">
        <v>45947</v>
      </c>
      <c r="B351" t="s">
        <v>16</v>
      </c>
      <c r="C351" t="s">
        <v>17</v>
      </c>
      <c r="D351" s="2">
        <v>1400.195646611963</v>
      </c>
      <c r="E351" s="2">
        <v>1427.564885749375</v>
      </c>
      <c r="F351" s="2">
        <v>1399.104866847933</v>
      </c>
      <c r="G351" s="2">
        <v>1424.589965820312</v>
      </c>
      <c r="H351" s="3">
        <v>17037215</v>
      </c>
      <c r="I351" s="4">
        <f t="shared" si="20"/>
        <v>-0.08</v>
      </c>
      <c r="J351" s="2">
        <f t="shared" si="21"/>
        <v>2.97</v>
      </c>
      <c r="K351" s="7">
        <f t="shared" si="22"/>
        <v>45931</v>
      </c>
      <c r="L351" t="str">
        <f t="shared" si="23"/>
        <v>Q4-2025</v>
      </c>
    </row>
    <row r="352" spans="1:12">
      <c r="A352" s="6">
        <v>45947</v>
      </c>
      <c r="B352" t="s">
        <v>18</v>
      </c>
      <c r="C352" t="s">
        <v>19</v>
      </c>
      <c r="D352" s="2">
        <v>240.95615856523551</v>
      </c>
      <c r="E352" s="2">
        <v>240.95615856523551</v>
      </c>
      <c r="F352" s="2">
        <v>230.46010888640569</v>
      </c>
      <c r="G352" s="2">
        <v>232.18534851074219</v>
      </c>
      <c r="H352" s="3">
        <v>43802251</v>
      </c>
      <c r="I352" s="4">
        <f t="shared" si="20"/>
        <v>-4.3600000000000003</v>
      </c>
      <c r="J352" s="2">
        <f t="shared" si="21"/>
        <v>8.77</v>
      </c>
      <c r="K352" s="7">
        <f t="shared" si="22"/>
        <v>45931</v>
      </c>
      <c r="L352" t="str">
        <f t="shared" si="23"/>
        <v>Q4-2025</v>
      </c>
    </row>
    <row r="353" spans="1:12">
      <c r="A353" s="6">
        <v>45947</v>
      </c>
      <c r="B353" t="s">
        <v>20</v>
      </c>
      <c r="C353" t="s">
        <v>21</v>
      </c>
      <c r="D353" s="2">
        <v>1445.505118131902</v>
      </c>
      <c r="E353" s="2">
        <v>1447.7230850118269</v>
      </c>
      <c r="F353" s="2">
        <v>1426.4116745559741</v>
      </c>
      <c r="G353" s="2">
        <v>1433.161865234375</v>
      </c>
      <c r="H353" s="3">
        <v>3210161</v>
      </c>
      <c r="I353" s="4">
        <f t="shared" si="20"/>
        <v>-1.32</v>
      </c>
      <c r="J353" s="2">
        <f t="shared" si="21"/>
        <v>14.56</v>
      </c>
      <c r="K353" s="7">
        <f t="shared" si="22"/>
        <v>45931</v>
      </c>
      <c r="L353" t="str">
        <f t="shared" si="23"/>
        <v>Q4-2025</v>
      </c>
    </row>
    <row r="354" spans="1:12">
      <c r="A354" s="6">
        <v>45947</v>
      </c>
      <c r="B354" t="s">
        <v>22</v>
      </c>
      <c r="C354" t="s">
        <v>23</v>
      </c>
      <c r="D354" s="2">
        <v>1049.647547179201</v>
      </c>
      <c r="E354" s="2">
        <v>1069.873191012859</v>
      </c>
      <c r="F354" s="2">
        <v>1049.647547179201</v>
      </c>
      <c r="G354" s="2">
        <v>1063.56201171875</v>
      </c>
      <c r="H354" s="3">
        <v>5761670</v>
      </c>
      <c r="I354" s="4">
        <f t="shared" si="20"/>
        <v>0</v>
      </c>
      <c r="J354" s="2">
        <f t="shared" si="21"/>
        <v>6.31</v>
      </c>
      <c r="K354" s="7">
        <f t="shared" si="22"/>
        <v>45931</v>
      </c>
      <c r="L354" t="str">
        <f t="shared" si="23"/>
        <v>Q4-2025</v>
      </c>
    </row>
    <row r="355" spans="1:12">
      <c r="A355" s="6">
        <v>45947</v>
      </c>
      <c r="B355" t="s">
        <v>24</v>
      </c>
      <c r="C355" t="s">
        <v>25</v>
      </c>
      <c r="D355" s="2">
        <v>16135.94602272727</v>
      </c>
      <c r="E355" s="2">
        <v>16384.450284090912</v>
      </c>
      <c r="F355" s="2">
        <v>16135.94602272727</v>
      </c>
      <c r="G355" s="2">
        <v>16237.921875</v>
      </c>
      <c r="H355" s="3">
        <v>411608</v>
      </c>
      <c r="I355" s="4">
        <f t="shared" si="20"/>
        <v>0</v>
      </c>
      <c r="J355" s="2">
        <f t="shared" si="21"/>
        <v>146.53</v>
      </c>
      <c r="K355" s="7">
        <f t="shared" si="22"/>
        <v>45931</v>
      </c>
      <c r="L355" t="str">
        <f t="shared" si="23"/>
        <v>Q4-2025</v>
      </c>
    </row>
    <row r="356" spans="1:12">
      <c r="A356" s="6">
        <v>45947</v>
      </c>
      <c r="B356" t="s">
        <v>26</v>
      </c>
      <c r="C356" t="s">
        <v>27</v>
      </c>
      <c r="D356" s="2">
        <v>393.53549463331058</v>
      </c>
      <c r="E356" s="2">
        <v>399.18861255749852</v>
      </c>
      <c r="F356" s="2">
        <v>389.02293981535098</v>
      </c>
      <c r="G356" s="2">
        <v>393.337158203125</v>
      </c>
      <c r="H356" s="3">
        <v>16564547</v>
      </c>
      <c r="I356" s="4">
        <f t="shared" si="20"/>
        <v>-1.1499999999999999</v>
      </c>
      <c r="J356" s="2">
        <f t="shared" si="21"/>
        <v>5.85</v>
      </c>
      <c r="K356" s="7">
        <f t="shared" si="22"/>
        <v>45931</v>
      </c>
      <c r="L356" t="str">
        <f t="shared" si="23"/>
        <v>Q4-2025</v>
      </c>
    </row>
    <row r="357" spans="1:12">
      <c r="A357" s="6">
        <v>45947</v>
      </c>
      <c r="B357" t="s">
        <v>28</v>
      </c>
      <c r="C357" t="s">
        <v>29</v>
      </c>
      <c r="D357" s="2">
        <v>1643.1916072270781</v>
      </c>
      <c r="E357" s="2">
        <v>1676.6857322986591</v>
      </c>
      <c r="F357" s="2">
        <v>1641.7051837055369</v>
      </c>
      <c r="G357" s="2">
        <v>1663.902465820312</v>
      </c>
      <c r="H357" s="3">
        <v>1594147</v>
      </c>
      <c r="I357" s="4">
        <f t="shared" si="20"/>
        <v>-0.09</v>
      </c>
      <c r="J357" s="2">
        <f t="shared" si="21"/>
        <v>12.78</v>
      </c>
      <c r="K357" s="7">
        <f t="shared" si="22"/>
        <v>45931</v>
      </c>
      <c r="L357" t="str">
        <f t="shared" si="23"/>
        <v>Q4-2025</v>
      </c>
    </row>
    <row r="358" spans="1:12">
      <c r="A358" s="6">
        <v>45947</v>
      </c>
      <c r="B358" t="s">
        <v>30</v>
      </c>
      <c r="C358" t="s">
        <v>31</v>
      </c>
      <c r="D358" s="2">
        <v>2396.4358727832469</v>
      </c>
      <c r="E358" s="2">
        <v>2518.18788118983</v>
      </c>
      <c r="F358" s="2">
        <v>2396.4358727832469</v>
      </c>
      <c r="G358" s="2">
        <v>2482.355224609375</v>
      </c>
      <c r="H358" s="3">
        <v>3719960</v>
      </c>
      <c r="I358" s="4">
        <f t="shared" si="20"/>
        <v>0</v>
      </c>
      <c r="J358" s="2">
        <f t="shared" si="21"/>
        <v>35.83</v>
      </c>
      <c r="K358" s="7">
        <f t="shared" si="22"/>
        <v>45931</v>
      </c>
      <c r="L358" t="str">
        <f t="shared" si="23"/>
        <v>Q4-2025</v>
      </c>
    </row>
    <row r="359" spans="1:12">
      <c r="A359" s="6">
        <v>45947</v>
      </c>
      <c r="B359" t="s">
        <v>32</v>
      </c>
      <c r="C359" t="s">
        <v>33</v>
      </c>
      <c r="D359" s="2">
        <v>2519.8590312670099</v>
      </c>
      <c r="E359" s="2">
        <v>2568.4784123029549</v>
      </c>
      <c r="F359" s="2">
        <v>2514.4568778185708</v>
      </c>
      <c r="G359" s="2">
        <v>2557.37939453125</v>
      </c>
      <c r="H359" s="3">
        <v>2050690</v>
      </c>
      <c r="I359" s="4">
        <f t="shared" si="20"/>
        <v>-0.21</v>
      </c>
      <c r="J359" s="2">
        <f t="shared" si="21"/>
        <v>11.1</v>
      </c>
      <c r="K359" s="7">
        <f t="shared" si="22"/>
        <v>45931</v>
      </c>
      <c r="L359" t="str">
        <f t="shared" si="23"/>
        <v>Q4-2025</v>
      </c>
    </row>
    <row r="360" spans="1:12">
      <c r="A360" s="6">
        <v>45947</v>
      </c>
      <c r="B360" t="s">
        <v>34</v>
      </c>
      <c r="C360" t="s">
        <v>35</v>
      </c>
      <c r="D360" s="2">
        <v>3822.662798891683</v>
      </c>
      <c r="E360" s="2">
        <v>3832.070906816416</v>
      </c>
      <c r="F360" s="2">
        <v>3793.052113819158</v>
      </c>
      <c r="G360" s="2">
        <v>3802.261962890625</v>
      </c>
      <c r="H360" s="3">
        <v>1337364</v>
      </c>
      <c r="I360" s="4">
        <f t="shared" si="20"/>
        <v>-0.77</v>
      </c>
      <c r="J360" s="2">
        <f t="shared" si="21"/>
        <v>29.81</v>
      </c>
      <c r="K360" s="7">
        <f t="shared" si="22"/>
        <v>45931</v>
      </c>
      <c r="L360" t="str">
        <f t="shared" si="23"/>
        <v>Q4-2025</v>
      </c>
    </row>
    <row r="361" spans="1:12">
      <c r="A361" s="6">
        <v>45947</v>
      </c>
      <c r="B361" t="s">
        <v>36</v>
      </c>
      <c r="C361" t="s">
        <v>37</v>
      </c>
      <c r="D361" s="2">
        <v>1195.3781275062211</v>
      </c>
      <c r="E361" s="2">
        <v>1211.965310422418</v>
      </c>
      <c r="F361" s="2">
        <v>1190.681676346755</v>
      </c>
      <c r="G361" s="2">
        <v>1199.275024414062</v>
      </c>
      <c r="H361" s="3">
        <v>6404414</v>
      </c>
      <c r="I361" s="4">
        <f t="shared" si="20"/>
        <v>-0.39</v>
      </c>
      <c r="J361" s="2">
        <f t="shared" si="21"/>
        <v>12.69</v>
      </c>
      <c r="K361" s="7">
        <f t="shared" si="22"/>
        <v>45931</v>
      </c>
      <c r="L361" t="str">
        <f t="shared" si="23"/>
        <v>Q4-2025</v>
      </c>
    </row>
    <row r="362" spans="1:12">
      <c r="A362" s="6">
        <v>45950</v>
      </c>
      <c r="B362" t="s">
        <v>8</v>
      </c>
      <c r="C362" t="s">
        <v>9</v>
      </c>
      <c r="D362" s="2">
        <v>1433.3726108781721</v>
      </c>
      <c r="E362" s="2">
        <v>1467.017099931352</v>
      </c>
      <c r="F362" s="2">
        <v>1426.7034952504041</v>
      </c>
      <c r="G362" s="2">
        <v>1460.04931640625</v>
      </c>
      <c r="H362" s="3">
        <v>24721978</v>
      </c>
      <c r="I362" s="4">
        <f t="shared" si="20"/>
        <v>-0.47</v>
      </c>
      <c r="J362" s="2">
        <f t="shared" si="21"/>
        <v>6.97</v>
      </c>
      <c r="K362" s="7">
        <f t="shared" si="22"/>
        <v>45931</v>
      </c>
      <c r="L362" t="str">
        <f t="shared" si="23"/>
        <v>Q4-2025</v>
      </c>
    </row>
    <row r="363" spans="1:12">
      <c r="A363" s="6">
        <v>45950</v>
      </c>
      <c r="B363" t="s">
        <v>10</v>
      </c>
      <c r="C363" t="s">
        <v>11</v>
      </c>
      <c r="D363" s="2">
        <v>2877.194374871005</v>
      </c>
      <c r="E363" s="2">
        <v>2913.3339793116888</v>
      </c>
      <c r="F363" s="2">
        <v>2870.4483153754099</v>
      </c>
      <c r="G363" s="2">
        <v>2905.81689453125</v>
      </c>
      <c r="H363" s="3">
        <v>3133039</v>
      </c>
      <c r="I363" s="4">
        <f t="shared" si="20"/>
        <v>-0.23</v>
      </c>
      <c r="J363" s="2">
        <f t="shared" si="21"/>
        <v>7.52</v>
      </c>
      <c r="K363" s="7">
        <f t="shared" si="22"/>
        <v>45931</v>
      </c>
      <c r="L363" t="str">
        <f t="shared" si="23"/>
        <v>Q4-2025</v>
      </c>
    </row>
    <row r="364" spans="1:12">
      <c r="A364" s="6">
        <v>45950</v>
      </c>
      <c r="B364" t="s">
        <v>12</v>
      </c>
      <c r="C364" t="s">
        <v>13</v>
      </c>
      <c r="D364" s="2">
        <v>1401.454447005091</v>
      </c>
      <c r="E364" s="2">
        <v>1414.2764963974259</v>
      </c>
      <c r="F364" s="2">
        <v>1397.887470876801</v>
      </c>
      <c r="G364" s="2">
        <v>1408.395751953125</v>
      </c>
      <c r="H364" s="3">
        <v>6994246</v>
      </c>
      <c r="I364" s="4">
        <f t="shared" si="20"/>
        <v>-0.25</v>
      </c>
      <c r="J364" s="2">
        <f t="shared" si="21"/>
        <v>5.88</v>
      </c>
      <c r="K364" s="7">
        <f t="shared" si="22"/>
        <v>45931</v>
      </c>
      <c r="L364" t="str">
        <f t="shared" si="23"/>
        <v>Q4-2025</v>
      </c>
    </row>
    <row r="365" spans="1:12">
      <c r="A365" s="6">
        <v>45950</v>
      </c>
      <c r="B365" t="s">
        <v>14</v>
      </c>
      <c r="C365" t="s">
        <v>15</v>
      </c>
      <c r="D365" s="2">
        <v>980.77844947519009</v>
      </c>
      <c r="E365" s="2">
        <v>1003.404231158168</v>
      </c>
      <c r="F365" s="2">
        <v>980.77844947519009</v>
      </c>
      <c r="G365" s="2">
        <v>986.63165283203125</v>
      </c>
      <c r="H365" s="3">
        <v>22195202</v>
      </c>
      <c r="I365" s="4">
        <f t="shared" si="20"/>
        <v>0</v>
      </c>
      <c r="J365" s="2">
        <f t="shared" si="21"/>
        <v>16.77</v>
      </c>
      <c r="K365" s="7">
        <f t="shared" si="22"/>
        <v>45931</v>
      </c>
      <c r="L365" t="str">
        <f t="shared" si="23"/>
        <v>Q4-2025</v>
      </c>
    </row>
    <row r="366" spans="1:12">
      <c r="A366" s="6">
        <v>45950</v>
      </c>
      <c r="B366" t="s">
        <v>16</v>
      </c>
      <c r="C366" t="s">
        <v>17</v>
      </c>
      <c r="D366" s="2">
        <v>1429.9448629937931</v>
      </c>
      <c r="E366" s="2">
        <v>1432.919782958412</v>
      </c>
      <c r="F366" s="2">
        <v>1377.586223196568</v>
      </c>
      <c r="G366" s="2">
        <v>1378.677124023438</v>
      </c>
      <c r="H366" s="3">
        <v>23330227</v>
      </c>
      <c r="I366" s="4">
        <f t="shared" si="20"/>
        <v>-3.66</v>
      </c>
      <c r="J366" s="2">
        <f t="shared" si="21"/>
        <v>54.24</v>
      </c>
      <c r="K366" s="7">
        <f t="shared" si="22"/>
        <v>45931</v>
      </c>
      <c r="L366" t="str">
        <f t="shared" si="23"/>
        <v>Q4-2025</v>
      </c>
    </row>
    <row r="367" spans="1:12">
      <c r="A367" s="6">
        <v>45950</v>
      </c>
      <c r="B367" t="s">
        <v>18</v>
      </c>
      <c r="C367" t="s">
        <v>19</v>
      </c>
      <c r="D367" s="2">
        <v>232.18534996856559</v>
      </c>
      <c r="E367" s="2">
        <v>233.1877358302969</v>
      </c>
      <c r="F367" s="2">
        <v>230.6143258054781</v>
      </c>
      <c r="G367" s="2">
        <v>232.5130615234375</v>
      </c>
      <c r="H367" s="3">
        <v>9871824</v>
      </c>
      <c r="I367" s="4">
        <f t="shared" si="20"/>
        <v>-0.68</v>
      </c>
      <c r="J367" s="2">
        <f t="shared" si="21"/>
        <v>0.67</v>
      </c>
      <c r="K367" s="7">
        <f t="shared" si="22"/>
        <v>45931</v>
      </c>
      <c r="L367" t="str">
        <f t="shared" si="23"/>
        <v>Q4-2025</v>
      </c>
    </row>
    <row r="368" spans="1:12">
      <c r="A368" s="6">
        <v>45950</v>
      </c>
      <c r="B368" t="s">
        <v>20</v>
      </c>
      <c r="C368" t="s">
        <v>21</v>
      </c>
      <c r="D368" s="2">
        <v>1436.7298482567201</v>
      </c>
      <c r="E368" s="2">
        <v>1456.0161067266031</v>
      </c>
      <c r="F368" s="2">
        <v>1435.9583508323331</v>
      </c>
      <c r="G368" s="2">
        <v>1442.033569335938</v>
      </c>
      <c r="H368" s="3">
        <v>2354881</v>
      </c>
      <c r="I368" s="4">
        <f t="shared" si="20"/>
        <v>-0.05</v>
      </c>
      <c r="J368" s="2">
        <f t="shared" si="21"/>
        <v>13.98</v>
      </c>
      <c r="K368" s="7">
        <f t="shared" si="22"/>
        <v>45931</v>
      </c>
      <c r="L368" t="str">
        <f t="shared" si="23"/>
        <v>Q4-2025</v>
      </c>
    </row>
    <row r="369" spans="1:12">
      <c r="A369" s="6">
        <v>45950</v>
      </c>
      <c r="B369" t="s">
        <v>22</v>
      </c>
      <c r="C369" t="s">
        <v>23</v>
      </c>
      <c r="D369" s="2">
        <v>1074.8924530057529</v>
      </c>
      <c r="E369" s="2">
        <v>1079.861904938281</v>
      </c>
      <c r="F369" s="2">
        <v>1065.6492238814469</v>
      </c>
      <c r="G369" s="2">
        <v>1074.3955078125</v>
      </c>
      <c r="H369" s="3">
        <v>5700858</v>
      </c>
      <c r="I369" s="4">
        <f t="shared" si="20"/>
        <v>-0.86</v>
      </c>
      <c r="J369" s="2">
        <f t="shared" si="21"/>
        <v>5.47</v>
      </c>
      <c r="K369" s="7">
        <f t="shared" si="22"/>
        <v>45931</v>
      </c>
      <c r="L369" t="str">
        <f t="shared" si="23"/>
        <v>Q4-2025</v>
      </c>
    </row>
    <row r="370" spans="1:12">
      <c r="A370" s="6">
        <v>45950</v>
      </c>
      <c r="B370" t="s">
        <v>24</v>
      </c>
      <c r="C370" t="s">
        <v>25</v>
      </c>
      <c r="D370" s="2">
        <v>16335.937678378439</v>
      </c>
      <c r="E370" s="2">
        <v>16353.75870130031</v>
      </c>
      <c r="F370" s="2">
        <v>16217.13085889932</v>
      </c>
      <c r="G370" s="2">
        <v>16260.693359375</v>
      </c>
      <c r="H370" s="3">
        <v>374246</v>
      </c>
      <c r="I370" s="4">
        <f t="shared" si="20"/>
        <v>-0.73</v>
      </c>
      <c r="J370" s="2">
        <f t="shared" si="21"/>
        <v>93.07</v>
      </c>
      <c r="K370" s="7">
        <f t="shared" si="22"/>
        <v>45931</v>
      </c>
      <c r="L370" t="str">
        <f t="shared" si="23"/>
        <v>Q4-2025</v>
      </c>
    </row>
    <row r="371" spans="1:12">
      <c r="A371" s="6">
        <v>45950</v>
      </c>
      <c r="B371" t="s">
        <v>26</v>
      </c>
      <c r="C371" t="s">
        <v>27</v>
      </c>
      <c r="D371" s="2">
        <v>396.75876245861542</v>
      </c>
      <c r="E371" s="2">
        <v>400.08120794397189</v>
      </c>
      <c r="F371" s="2">
        <v>393.33716388998681</v>
      </c>
      <c r="G371" s="2">
        <v>396.46124267578119</v>
      </c>
      <c r="H371" s="3">
        <v>10471672</v>
      </c>
      <c r="I371" s="4">
        <f t="shared" si="20"/>
        <v>-0.86</v>
      </c>
      <c r="J371" s="2">
        <f t="shared" si="21"/>
        <v>3.62</v>
      </c>
      <c r="K371" s="7">
        <f t="shared" si="22"/>
        <v>45931</v>
      </c>
      <c r="L371" t="str">
        <f t="shared" si="23"/>
        <v>Q4-2025</v>
      </c>
    </row>
    <row r="372" spans="1:12">
      <c r="A372" s="6">
        <v>45950</v>
      </c>
      <c r="B372" t="s">
        <v>28</v>
      </c>
      <c r="C372" t="s">
        <v>29</v>
      </c>
      <c r="D372" s="2">
        <v>1669.650065250675</v>
      </c>
      <c r="E372" s="2">
        <v>1681.5414537560409</v>
      </c>
      <c r="F372" s="2">
        <v>1667.569096455328</v>
      </c>
      <c r="G372" s="2">
        <v>1673.316528320312</v>
      </c>
      <c r="H372" s="3">
        <v>1647622</v>
      </c>
      <c r="I372" s="4">
        <f t="shared" si="20"/>
        <v>-0.12</v>
      </c>
      <c r="J372" s="2">
        <f t="shared" si="21"/>
        <v>8.2200000000000006</v>
      </c>
      <c r="K372" s="7">
        <f t="shared" si="22"/>
        <v>45931</v>
      </c>
      <c r="L372" t="str">
        <f t="shared" si="23"/>
        <v>Q4-2025</v>
      </c>
    </row>
    <row r="373" spans="1:12">
      <c r="A373" s="6">
        <v>45950</v>
      </c>
      <c r="B373" t="s">
        <v>30</v>
      </c>
      <c r="C373" t="s">
        <v>31</v>
      </c>
      <c r="D373" s="2">
        <v>2482.3554151180911</v>
      </c>
      <c r="E373" s="2">
        <v>2511.3581798742798</v>
      </c>
      <c r="F373" s="2">
        <v>2475.3273564524511</v>
      </c>
      <c r="G373" s="2">
        <v>2490.47216796875</v>
      </c>
      <c r="H373" s="3">
        <v>714986</v>
      </c>
      <c r="I373" s="4">
        <f t="shared" si="20"/>
        <v>-0.28000000000000003</v>
      </c>
      <c r="J373" s="2">
        <f t="shared" si="21"/>
        <v>20.89</v>
      </c>
      <c r="K373" s="7">
        <f t="shared" si="22"/>
        <v>45931</v>
      </c>
      <c r="L373" t="str">
        <f t="shared" si="23"/>
        <v>Q4-2025</v>
      </c>
    </row>
    <row r="374" spans="1:12">
      <c r="A374" s="6">
        <v>45950</v>
      </c>
      <c r="B374" t="s">
        <v>32</v>
      </c>
      <c r="C374" t="s">
        <v>33</v>
      </c>
      <c r="D374" s="2">
        <v>2562.5849857650501</v>
      </c>
      <c r="E374" s="2">
        <v>2578.0056293642419</v>
      </c>
      <c r="F374" s="2">
        <v>2539.6013757940032</v>
      </c>
      <c r="G374" s="2">
        <v>2548.24462890625</v>
      </c>
      <c r="H374" s="3">
        <v>1011485</v>
      </c>
      <c r="I374" s="4">
        <f t="shared" si="20"/>
        <v>-0.9</v>
      </c>
      <c r="J374" s="2">
        <f t="shared" si="21"/>
        <v>29.76</v>
      </c>
      <c r="K374" s="7">
        <f t="shared" si="22"/>
        <v>45931</v>
      </c>
      <c r="L374" t="str">
        <f t="shared" si="23"/>
        <v>Q4-2025</v>
      </c>
    </row>
    <row r="375" spans="1:12">
      <c r="A375" s="6">
        <v>45950</v>
      </c>
      <c r="B375" t="s">
        <v>34</v>
      </c>
      <c r="C375" t="s">
        <v>35</v>
      </c>
      <c r="D375" s="2">
        <v>3824.643294384854</v>
      </c>
      <c r="E375" s="2">
        <v>3849.995765083087</v>
      </c>
      <c r="F375" s="2">
        <v>3808.2037676662858</v>
      </c>
      <c r="G375" s="2">
        <v>3835.23974609375</v>
      </c>
      <c r="H375" s="3">
        <v>1223232</v>
      </c>
      <c r="I375" s="4">
        <f t="shared" si="20"/>
        <v>-0.43</v>
      </c>
      <c r="J375" s="2">
        <f t="shared" si="21"/>
        <v>14.76</v>
      </c>
      <c r="K375" s="7">
        <f t="shared" si="22"/>
        <v>45931</v>
      </c>
      <c r="L375" t="str">
        <f t="shared" si="23"/>
        <v>Q4-2025</v>
      </c>
    </row>
    <row r="376" spans="1:12">
      <c r="A376" s="6">
        <v>45950</v>
      </c>
      <c r="B376" t="s">
        <v>36</v>
      </c>
      <c r="C376" t="s">
        <v>37</v>
      </c>
      <c r="D376" s="2">
        <v>1206.9691490495479</v>
      </c>
      <c r="E376" s="2">
        <v>1230.7507342517281</v>
      </c>
      <c r="F376" s="2">
        <v>1206.0698182446729</v>
      </c>
      <c r="G376" s="2">
        <v>1225.05517578125</v>
      </c>
      <c r="H376" s="3">
        <v>7418616</v>
      </c>
      <c r="I376" s="4">
        <f t="shared" si="20"/>
        <v>-7.0000000000000007E-2</v>
      </c>
      <c r="J376" s="2">
        <f t="shared" si="21"/>
        <v>5.7</v>
      </c>
      <c r="K376" s="7">
        <f t="shared" si="22"/>
        <v>45931</v>
      </c>
      <c r="L376" t="str">
        <f t="shared" si="23"/>
        <v>Q4-2025</v>
      </c>
    </row>
    <row r="377" spans="1:12">
      <c r="A377" s="6">
        <v>45951</v>
      </c>
      <c r="B377" t="s">
        <v>8</v>
      </c>
      <c r="C377" t="s">
        <v>9</v>
      </c>
      <c r="D377" s="2">
        <v>1461.24382720935</v>
      </c>
      <c r="E377" s="2">
        <v>1467.2162134241021</v>
      </c>
      <c r="F377" s="2">
        <v>1453.2806455896809</v>
      </c>
      <c r="G377" s="2">
        <v>1458.456665039062</v>
      </c>
      <c r="H377" s="3">
        <v>2066169</v>
      </c>
      <c r="I377" s="4">
        <f t="shared" si="20"/>
        <v>-0.54</v>
      </c>
      <c r="J377" s="2">
        <f t="shared" si="21"/>
        <v>8.76</v>
      </c>
      <c r="K377" s="7">
        <f t="shared" si="22"/>
        <v>45931</v>
      </c>
      <c r="L377" t="str">
        <f t="shared" si="23"/>
        <v>Q4-2025</v>
      </c>
    </row>
    <row r="378" spans="1:12">
      <c r="A378" s="6">
        <v>45951</v>
      </c>
      <c r="B378" t="s">
        <v>10</v>
      </c>
      <c r="C378" t="s">
        <v>11</v>
      </c>
      <c r="D378" s="2">
        <v>2921.1402212125131</v>
      </c>
      <c r="E378" s="2">
        <v>2921.8147801037321</v>
      </c>
      <c r="F378" s="2">
        <v>2887.313457420898</v>
      </c>
      <c r="G378" s="2">
        <v>2897.625244140625</v>
      </c>
      <c r="H378" s="3">
        <v>310644</v>
      </c>
      <c r="I378" s="4">
        <f t="shared" si="20"/>
        <v>-1.1599999999999999</v>
      </c>
      <c r="J378" s="2">
        <f t="shared" si="21"/>
        <v>24.19</v>
      </c>
      <c r="K378" s="7">
        <f t="shared" si="22"/>
        <v>45931</v>
      </c>
      <c r="L378" t="str">
        <f t="shared" si="23"/>
        <v>Q4-2025</v>
      </c>
    </row>
    <row r="379" spans="1:12">
      <c r="A379" s="6">
        <v>45951</v>
      </c>
      <c r="B379" t="s">
        <v>12</v>
      </c>
      <c r="C379" t="s">
        <v>13</v>
      </c>
      <c r="D379" s="2">
        <v>1424.8811360663631</v>
      </c>
      <c r="E379" s="2">
        <v>1432.5936185349231</v>
      </c>
      <c r="F379" s="2">
        <v>1417.168653597804</v>
      </c>
      <c r="G379" s="2">
        <v>1419.482421875</v>
      </c>
      <c r="H379" s="3">
        <v>1698704</v>
      </c>
      <c r="I379" s="4">
        <f t="shared" si="20"/>
        <v>-0.54</v>
      </c>
      <c r="J379" s="2">
        <f t="shared" si="21"/>
        <v>13.11</v>
      </c>
      <c r="K379" s="7">
        <f t="shared" si="22"/>
        <v>45931</v>
      </c>
      <c r="L379" t="str">
        <f t="shared" si="23"/>
        <v>Q4-2025</v>
      </c>
    </row>
    <row r="380" spans="1:12">
      <c r="A380" s="6">
        <v>45951</v>
      </c>
      <c r="B380" t="s">
        <v>14</v>
      </c>
      <c r="C380" t="s">
        <v>15</v>
      </c>
      <c r="D380" s="2">
        <v>989.63202990740785</v>
      </c>
      <c r="E380" s="2">
        <v>993.56694851538964</v>
      </c>
      <c r="F380" s="2">
        <v>987.66457060341702</v>
      </c>
      <c r="G380" s="2">
        <v>991.30438232421875</v>
      </c>
      <c r="H380" s="3">
        <v>3471600</v>
      </c>
      <c r="I380" s="4">
        <f t="shared" si="20"/>
        <v>-0.2</v>
      </c>
      <c r="J380" s="2">
        <f t="shared" si="21"/>
        <v>2.2599999999999998</v>
      </c>
      <c r="K380" s="7">
        <f t="shared" si="22"/>
        <v>45931</v>
      </c>
      <c r="L380" t="str">
        <f t="shared" si="23"/>
        <v>Q4-2025</v>
      </c>
    </row>
    <row r="381" spans="1:12">
      <c r="A381" s="6">
        <v>45951</v>
      </c>
      <c r="B381" t="s">
        <v>16</v>
      </c>
      <c r="C381" t="s">
        <v>17</v>
      </c>
      <c r="D381" s="2">
        <v>1372.925511008234</v>
      </c>
      <c r="E381" s="2">
        <v>1375.999570643796</v>
      </c>
      <c r="F381" s="2">
        <v>1364.397431646745</v>
      </c>
      <c r="G381" s="2">
        <v>1370.446411132812</v>
      </c>
      <c r="H381" s="3">
        <v>3415560</v>
      </c>
      <c r="I381" s="4">
        <f t="shared" si="20"/>
        <v>-0.62</v>
      </c>
      <c r="J381" s="2">
        <f t="shared" si="21"/>
        <v>5.55</v>
      </c>
      <c r="K381" s="7">
        <f t="shared" si="22"/>
        <v>45931</v>
      </c>
      <c r="L381" t="str">
        <f t="shared" si="23"/>
        <v>Q4-2025</v>
      </c>
    </row>
    <row r="382" spans="1:12">
      <c r="A382" s="6">
        <v>45951</v>
      </c>
      <c r="B382" t="s">
        <v>18</v>
      </c>
      <c r="C382" t="s">
        <v>19</v>
      </c>
      <c r="D382" s="2">
        <v>232.28173043872371</v>
      </c>
      <c r="E382" s="2">
        <v>233.39977051320511</v>
      </c>
      <c r="F382" s="2">
        <v>231.6648832781126</v>
      </c>
      <c r="G382" s="2">
        <v>232.62870788574219</v>
      </c>
      <c r="H382" s="3">
        <v>2082336</v>
      </c>
      <c r="I382" s="4">
        <f t="shared" si="20"/>
        <v>-0.27</v>
      </c>
      <c r="J382" s="2">
        <f t="shared" si="21"/>
        <v>0.77</v>
      </c>
      <c r="K382" s="7">
        <f t="shared" si="22"/>
        <v>45931</v>
      </c>
      <c r="L382" t="str">
        <f t="shared" si="23"/>
        <v>Q4-2025</v>
      </c>
    </row>
    <row r="383" spans="1:12">
      <c r="A383" s="6">
        <v>45951</v>
      </c>
      <c r="B383" t="s">
        <v>20</v>
      </c>
      <c r="C383" t="s">
        <v>21</v>
      </c>
      <c r="D383" s="2">
        <v>1449.0729727630739</v>
      </c>
      <c r="E383" s="2">
        <v>1449.36231372366</v>
      </c>
      <c r="F383" s="2">
        <v>1428.1474295573789</v>
      </c>
      <c r="G383" s="2">
        <v>1432.968994140625</v>
      </c>
      <c r="H383" s="3">
        <v>274400</v>
      </c>
      <c r="I383" s="4">
        <f t="shared" si="20"/>
        <v>-1.44</v>
      </c>
      <c r="J383" s="2">
        <f t="shared" si="21"/>
        <v>16.39</v>
      </c>
      <c r="K383" s="7">
        <f t="shared" si="22"/>
        <v>45931</v>
      </c>
      <c r="L383" t="str">
        <f t="shared" si="23"/>
        <v>Q4-2025</v>
      </c>
    </row>
    <row r="384" spans="1:12">
      <c r="A384" s="6">
        <v>45951</v>
      </c>
      <c r="B384" t="s">
        <v>22</v>
      </c>
      <c r="C384" t="s">
        <v>23</v>
      </c>
      <c r="D384" s="2">
        <v>1078.2716161831149</v>
      </c>
      <c r="E384" s="2">
        <v>1082.3465421688049</v>
      </c>
      <c r="F384" s="2">
        <v>1074.39541972863</v>
      </c>
      <c r="G384" s="2">
        <v>1079.86181640625</v>
      </c>
      <c r="H384" s="3">
        <v>911624</v>
      </c>
      <c r="I384" s="4">
        <f t="shared" si="20"/>
        <v>-0.36</v>
      </c>
      <c r="J384" s="2">
        <f t="shared" si="21"/>
        <v>2.48</v>
      </c>
      <c r="K384" s="7">
        <f t="shared" si="22"/>
        <v>45931</v>
      </c>
      <c r="L384" t="str">
        <f t="shared" si="23"/>
        <v>Q4-2025</v>
      </c>
    </row>
    <row r="385" spans="1:12">
      <c r="A385" s="6">
        <v>45951</v>
      </c>
      <c r="B385" t="s">
        <v>24</v>
      </c>
      <c r="C385" t="s">
        <v>25</v>
      </c>
      <c r="D385" s="2">
        <v>16289.404918632499</v>
      </c>
      <c r="E385" s="2">
        <v>16312.17622557522</v>
      </c>
      <c r="F385" s="2">
        <v>16167.62792933013</v>
      </c>
      <c r="G385" s="2">
        <v>16232.9716796875</v>
      </c>
      <c r="H385" s="3">
        <v>28990</v>
      </c>
      <c r="I385" s="4">
        <f t="shared" si="20"/>
        <v>-0.75</v>
      </c>
      <c r="J385" s="2">
        <f t="shared" si="21"/>
        <v>79.2</v>
      </c>
      <c r="K385" s="7">
        <f t="shared" si="22"/>
        <v>45931</v>
      </c>
      <c r="L385" t="str">
        <f t="shared" si="23"/>
        <v>Q4-2025</v>
      </c>
    </row>
    <row r="386" spans="1:12">
      <c r="A386" s="6">
        <v>45951</v>
      </c>
      <c r="B386" t="s">
        <v>26</v>
      </c>
      <c r="C386" t="s">
        <v>27</v>
      </c>
      <c r="D386" s="2">
        <v>399.48614199588599</v>
      </c>
      <c r="E386" s="2">
        <v>400.08121183384901</v>
      </c>
      <c r="F386" s="2">
        <v>396.75876631618928</v>
      </c>
      <c r="G386" s="2">
        <v>398.54397583007813</v>
      </c>
      <c r="H386" s="3">
        <v>3449156</v>
      </c>
      <c r="I386" s="4">
        <f t="shared" ref="I386:I449" si="24">ROUND(((F386-D386)/D386)*100, 2)</f>
        <v>-0.68</v>
      </c>
      <c r="J386" s="2">
        <f t="shared" ref="J386:J449" si="25">ROUND(E386-G386, 2)</f>
        <v>1.54</v>
      </c>
      <c r="K386" s="7">
        <f t="shared" ref="K386:K449" si="26">DATE(YEAR(A386),MONTH(A386),1)</f>
        <v>45931</v>
      </c>
      <c r="L386" t="str">
        <f t="shared" ref="L386:L449" si="27">"Q"&amp;INT((MONTH(A386)-1)/3)+1&amp;"-"&amp;YEAR(A386)</f>
        <v>Q4-2025</v>
      </c>
    </row>
    <row r="387" spans="1:12">
      <c r="A387" s="6">
        <v>45951</v>
      </c>
      <c r="B387" t="s">
        <v>28</v>
      </c>
      <c r="C387" t="s">
        <v>29</v>
      </c>
      <c r="D387" s="2">
        <v>1674.7038663036551</v>
      </c>
      <c r="E387" s="2">
        <v>1680.6495605035491</v>
      </c>
      <c r="F387" s="2">
        <v>1668.75817210376</v>
      </c>
      <c r="G387" s="2">
        <v>1675.199340820312</v>
      </c>
      <c r="H387" s="3">
        <v>74296</v>
      </c>
      <c r="I387" s="4">
        <f t="shared" si="24"/>
        <v>-0.36</v>
      </c>
      <c r="J387" s="2">
        <f t="shared" si="25"/>
        <v>5.45</v>
      </c>
      <c r="K387" s="7">
        <f t="shared" si="26"/>
        <v>45931</v>
      </c>
      <c r="L387" t="str">
        <f t="shared" si="27"/>
        <v>Q4-2025</v>
      </c>
    </row>
    <row r="388" spans="1:12">
      <c r="A388" s="6">
        <v>45951</v>
      </c>
      <c r="B388" t="s">
        <v>30</v>
      </c>
      <c r="C388" t="s">
        <v>31</v>
      </c>
      <c r="D388" s="2">
        <v>2487.5026637509382</v>
      </c>
      <c r="E388" s="2">
        <v>2493.6397091369959</v>
      </c>
      <c r="F388" s="2">
        <v>2458.7969028083289</v>
      </c>
      <c r="G388" s="2">
        <v>2479.18798828125</v>
      </c>
      <c r="H388" s="3">
        <v>107942</v>
      </c>
      <c r="I388" s="4">
        <f t="shared" si="24"/>
        <v>-1.1499999999999999</v>
      </c>
      <c r="J388" s="2">
        <f t="shared" si="25"/>
        <v>14.45</v>
      </c>
      <c r="K388" s="7">
        <f t="shared" si="26"/>
        <v>45931</v>
      </c>
      <c r="L388" t="str">
        <f t="shared" si="27"/>
        <v>Q4-2025</v>
      </c>
    </row>
    <row r="389" spans="1:12">
      <c r="A389" s="6">
        <v>45951</v>
      </c>
      <c r="B389" t="s">
        <v>32</v>
      </c>
      <c r="C389" t="s">
        <v>33</v>
      </c>
      <c r="D389" s="2">
        <v>2547.8521480126942</v>
      </c>
      <c r="E389" s="2">
        <v>2560.3261641549138</v>
      </c>
      <c r="F389" s="2">
        <v>2539.110576962722</v>
      </c>
      <c r="G389" s="2">
        <v>2545.593017578125</v>
      </c>
      <c r="H389" s="3">
        <v>82020</v>
      </c>
      <c r="I389" s="4">
        <f t="shared" si="24"/>
        <v>-0.34</v>
      </c>
      <c r="J389" s="2">
        <f t="shared" si="25"/>
        <v>14.73</v>
      </c>
      <c r="K389" s="7">
        <f t="shared" si="26"/>
        <v>45931</v>
      </c>
      <c r="L389" t="str">
        <f t="shared" si="27"/>
        <v>Q4-2025</v>
      </c>
    </row>
    <row r="390" spans="1:12">
      <c r="A390" s="6">
        <v>45951</v>
      </c>
      <c r="B390" t="s">
        <v>34</v>
      </c>
      <c r="C390" t="s">
        <v>35</v>
      </c>
      <c r="D390" s="2">
        <v>3854.353135146298</v>
      </c>
      <c r="E390" s="2">
        <v>3857.3241164940468</v>
      </c>
      <c r="F390" s="2">
        <v>3839.69624547492</v>
      </c>
      <c r="G390" s="2">
        <v>3850.58984375</v>
      </c>
      <c r="H390" s="3">
        <v>260327</v>
      </c>
      <c r="I390" s="4">
        <f t="shared" si="24"/>
        <v>-0.38</v>
      </c>
      <c r="J390" s="2">
        <f t="shared" si="25"/>
        <v>6.73</v>
      </c>
      <c r="K390" s="7">
        <f t="shared" si="26"/>
        <v>45931</v>
      </c>
      <c r="L390" t="str">
        <f t="shared" si="27"/>
        <v>Q4-2025</v>
      </c>
    </row>
    <row r="391" spans="1:12">
      <c r="A391" s="6">
        <v>45951</v>
      </c>
      <c r="B391" t="s">
        <v>36</v>
      </c>
      <c r="C391" t="s">
        <v>37</v>
      </c>
      <c r="D391" s="2">
        <v>1224.8554197755111</v>
      </c>
      <c r="E391" s="2">
        <v>1237.845401683493</v>
      </c>
      <c r="F391" s="2">
        <v>1221.058299350372</v>
      </c>
      <c r="G391" s="2">
        <v>1236.346557617188</v>
      </c>
      <c r="H391" s="3">
        <v>1940248</v>
      </c>
      <c r="I391" s="4">
        <f t="shared" si="24"/>
        <v>-0.31</v>
      </c>
      <c r="J391" s="2">
        <f t="shared" si="25"/>
        <v>1.5</v>
      </c>
      <c r="K391" s="7">
        <f t="shared" si="26"/>
        <v>45931</v>
      </c>
      <c r="L391" t="str">
        <f t="shared" si="27"/>
        <v>Q4-2025</v>
      </c>
    </row>
    <row r="392" spans="1:12">
      <c r="A392" s="6">
        <v>45953</v>
      </c>
      <c r="B392" t="s">
        <v>8</v>
      </c>
      <c r="C392" t="s">
        <v>9</v>
      </c>
      <c r="D392" s="2">
        <v>1468.2115624957601</v>
      </c>
      <c r="E392" s="2">
        <v>1476.075228386421</v>
      </c>
      <c r="F392" s="2">
        <v>1437.9514490416041</v>
      </c>
      <c r="G392" s="2">
        <v>1441.734008789062</v>
      </c>
      <c r="H392" s="3">
        <v>18707090</v>
      </c>
      <c r="I392" s="4">
        <f t="shared" si="24"/>
        <v>-2.06</v>
      </c>
      <c r="J392" s="2">
        <f t="shared" si="25"/>
        <v>34.340000000000003</v>
      </c>
      <c r="K392" s="7">
        <f t="shared" si="26"/>
        <v>45931</v>
      </c>
      <c r="L392" t="str">
        <f t="shared" si="27"/>
        <v>Q4-2025</v>
      </c>
    </row>
    <row r="393" spans="1:12">
      <c r="A393" s="6">
        <v>45953</v>
      </c>
      <c r="B393" t="s">
        <v>10</v>
      </c>
      <c r="C393" t="s">
        <v>11</v>
      </c>
      <c r="D393" s="2">
        <v>2944.1734252464698</v>
      </c>
      <c r="E393" s="2">
        <v>2985.6135094643419</v>
      </c>
      <c r="F393" s="2">
        <v>2925.9591567619459</v>
      </c>
      <c r="G393" s="2">
        <v>2961.713134765625</v>
      </c>
      <c r="H393" s="3">
        <v>5564758</v>
      </c>
      <c r="I393" s="4">
        <f t="shared" si="24"/>
        <v>-0.62</v>
      </c>
      <c r="J393" s="2">
        <f t="shared" si="25"/>
        <v>23.9</v>
      </c>
      <c r="K393" s="7">
        <f t="shared" si="26"/>
        <v>45931</v>
      </c>
      <c r="L393" t="str">
        <f t="shared" si="27"/>
        <v>Q4-2025</v>
      </c>
    </row>
    <row r="394" spans="1:12">
      <c r="A394" s="6">
        <v>45953</v>
      </c>
      <c r="B394" t="s">
        <v>12</v>
      </c>
      <c r="C394" t="s">
        <v>13</v>
      </c>
      <c r="D394" s="2">
        <v>1455.7310466373281</v>
      </c>
      <c r="E394" s="2">
        <v>1490.4372172856349</v>
      </c>
      <c r="F394" s="2">
        <v>1451.8748054541829</v>
      </c>
      <c r="G394" s="2">
        <v>1473.566162109375</v>
      </c>
      <c r="H394" s="3">
        <v>20358624</v>
      </c>
      <c r="I394" s="4">
        <f t="shared" si="24"/>
        <v>-0.26</v>
      </c>
      <c r="J394" s="2">
        <f t="shared" si="25"/>
        <v>16.87</v>
      </c>
      <c r="K394" s="7">
        <f t="shared" si="26"/>
        <v>45931</v>
      </c>
      <c r="L394" t="str">
        <f t="shared" si="27"/>
        <v>Q4-2025</v>
      </c>
    </row>
    <row r="395" spans="1:12">
      <c r="A395" s="6">
        <v>45953</v>
      </c>
      <c r="B395" t="s">
        <v>14</v>
      </c>
      <c r="C395" t="s">
        <v>15</v>
      </c>
      <c r="D395" s="2">
        <v>999.4693402098319</v>
      </c>
      <c r="E395" s="2">
        <v>1003.896123704856</v>
      </c>
      <c r="F395" s="2">
        <v>989.63204355422329</v>
      </c>
      <c r="G395" s="2">
        <v>992.386474609375</v>
      </c>
      <c r="H395" s="3">
        <v>43526526</v>
      </c>
      <c r="I395" s="4">
        <f t="shared" si="24"/>
        <v>-0.98</v>
      </c>
      <c r="J395" s="2">
        <f t="shared" si="25"/>
        <v>11.51</v>
      </c>
      <c r="K395" s="7">
        <f t="shared" si="26"/>
        <v>45931</v>
      </c>
      <c r="L395" t="str">
        <f t="shared" si="27"/>
        <v>Q4-2025</v>
      </c>
    </row>
    <row r="396" spans="1:12">
      <c r="A396" s="6">
        <v>45953</v>
      </c>
      <c r="B396" t="s">
        <v>16</v>
      </c>
      <c r="C396" t="s">
        <v>17</v>
      </c>
      <c r="D396" s="2">
        <v>1373.421419191634</v>
      </c>
      <c r="E396" s="2">
        <v>1378.181339678069</v>
      </c>
      <c r="F396" s="2">
        <v>1348.729558636639</v>
      </c>
      <c r="G396" s="2">
        <v>1352.299438476562</v>
      </c>
      <c r="H396" s="3">
        <v>21124942</v>
      </c>
      <c r="I396" s="4">
        <f t="shared" si="24"/>
        <v>-1.8</v>
      </c>
      <c r="J396" s="2">
        <f t="shared" si="25"/>
        <v>25.88</v>
      </c>
      <c r="K396" s="7">
        <f t="shared" si="26"/>
        <v>45931</v>
      </c>
      <c r="L396" t="str">
        <f t="shared" si="27"/>
        <v>Q4-2025</v>
      </c>
    </row>
    <row r="397" spans="1:12">
      <c r="A397" s="6">
        <v>45953</v>
      </c>
      <c r="B397" t="s">
        <v>18</v>
      </c>
      <c r="C397" t="s">
        <v>19</v>
      </c>
      <c r="D397" s="2">
        <v>235.94426887525429</v>
      </c>
      <c r="E397" s="2">
        <v>238.83574272248339</v>
      </c>
      <c r="F397" s="2">
        <v>234.56599202720761</v>
      </c>
      <c r="G397" s="2">
        <v>235.46235656738281</v>
      </c>
      <c r="H397" s="3">
        <v>18964626</v>
      </c>
      <c r="I397" s="4">
        <f t="shared" si="24"/>
        <v>-0.57999999999999996</v>
      </c>
      <c r="J397" s="2">
        <f t="shared" si="25"/>
        <v>3.37</v>
      </c>
      <c r="K397" s="7">
        <f t="shared" si="26"/>
        <v>45931</v>
      </c>
      <c r="L397" t="str">
        <f t="shared" si="27"/>
        <v>Q4-2025</v>
      </c>
    </row>
    <row r="398" spans="1:12">
      <c r="A398" s="6">
        <v>45953</v>
      </c>
      <c r="B398" t="s">
        <v>20</v>
      </c>
      <c r="C398" t="s">
        <v>21</v>
      </c>
      <c r="D398" s="2">
        <v>1456.112506387283</v>
      </c>
      <c r="E398" s="2">
        <v>1492.2742408174311</v>
      </c>
      <c r="F398" s="2">
        <v>1451.7730982556659</v>
      </c>
      <c r="G398" s="2">
        <v>1469.516479492188</v>
      </c>
      <c r="H398" s="3">
        <v>5011470</v>
      </c>
      <c r="I398" s="4">
        <f t="shared" si="24"/>
        <v>-0.3</v>
      </c>
      <c r="J398" s="2">
        <f t="shared" si="25"/>
        <v>22.76</v>
      </c>
      <c r="K398" s="7">
        <f t="shared" si="26"/>
        <v>45931</v>
      </c>
      <c r="L398" t="str">
        <f t="shared" si="27"/>
        <v>Q4-2025</v>
      </c>
    </row>
    <row r="399" spans="1:12">
      <c r="A399" s="6">
        <v>45953</v>
      </c>
      <c r="B399" t="s">
        <v>22</v>
      </c>
      <c r="C399" t="s">
        <v>23</v>
      </c>
      <c r="D399" s="2">
        <v>1083.3404189115211</v>
      </c>
      <c r="E399" s="2">
        <v>1095.7640475687631</v>
      </c>
      <c r="F399" s="2">
        <v>1077.277712391686</v>
      </c>
      <c r="G399" s="2">
        <v>1087.465087890625</v>
      </c>
      <c r="H399" s="3">
        <v>11143407</v>
      </c>
      <c r="I399" s="4">
        <f t="shared" si="24"/>
        <v>-0.56000000000000005</v>
      </c>
      <c r="J399" s="2">
        <f t="shared" si="25"/>
        <v>8.3000000000000007</v>
      </c>
      <c r="K399" s="7">
        <f t="shared" si="26"/>
        <v>45931</v>
      </c>
      <c r="L399" t="str">
        <f t="shared" si="27"/>
        <v>Q4-2025</v>
      </c>
    </row>
    <row r="400" spans="1:12">
      <c r="A400" s="6">
        <v>45953</v>
      </c>
      <c r="B400" t="s">
        <v>24</v>
      </c>
      <c r="C400" t="s">
        <v>25</v>
      </c>
      <c r="D400" s="2">
        <v>16494.34613978718</v>
      </c>
      <c r="E400" s="2">
        <v>16494.34613978718</v>
      </c>
      <c r="F400" s="2">
        <v>16177.527966633999</v>
      </c>
      <c r="G400" s="2">
        <v>16230.0009765625</v>
      </c>
      <c r="H400" s="3">
        <v>481753</v>
      </c>
      <c r="I400" s="4">
        <f t="shared" si="24"/>
        <v>-1.92</v>
      </c>
      <c r="J400" s="2">
        <f t="shared" si="25"/>
        <v>264.35000000000002</v>
      </c>
      <c r="K400" s="7">
        <f t="shared" si="26"/>
        <v>45931</v>
      </c>
      <c r="L400" t="str">
        <f t="shared" si="27"/>
        <v>Q4-2025</v>
      </c>
    </row>
    <row r="401" spans="1:12">
      <c r="A401" s="6">
        <v>45953</v>
      </c>
      <c r="B401" t="s">
        <v>26</v>
      </c>
      <c r="C401" t="s">
        <v>27</v>
      </c>
      <c r="D401" s="2">
        <v>404.14746663500489</v>
      </c>
      <c r="E401" s="2">
        <v>405.5359426756641</v>
      </c>
      <c r="F401" s="2">
        <v>400.27955828370148</v>
      </c>
      <c r="G401" s="2">
        <v>402.51104736328119</v>
      </c>
      <c r="H401" s="3">
        <v>14126009</v>
      </c>
      <c r="I401" s="4">
        <f t="shared" si="24"/>
        <v>-0.96</v>
      </c>
      <c r="J401" s="2">
        <f t="shared" si="25"/>
        <v>3.02</v>
      </c>
      <c r="K401" s="7">
        <f t="shared" si="26"/>
        <v>45931</v>
      </c>
      <c r="L401" t="str">
        <f t="shared" si="27"/>
        <v>Q4-2025</v>
      </c>
    </row>
    <row r="402" spans="1:12">
      <c r="A402" s="6">
        <v>45953</v>
      </c>
      <c r="B402" t="s">
        <v>28</v>
      </c>
      <c r="C402" t="s">
        <v>29</v>
      </c>
      <c r="D402" s="2">
        <v>1689.5680420085409</v>
      </c>
      <c r="E402" s="2">
        <v>1696.5046849962589</v>
      </c>
      <c r="F402" s="2">
        <v>1666.974356462362</v>
      </c>
      <c r="G402" s="2">
        <v>1674.604736328125</v>
      </c>
      <c r="H402" s="3">
        <v>2687094</v>
      </c>
      <c r="I402" s="4">
        <f t="shared" si="24"/>
        <v>-1.34</v>
      </c>
      <c r="J402" s="2">
        <f t="shared" si="25"/>
        <v>21.9</v>
      </c>
      <c r="K402" s="7">
        <f t="shared" si="26"/>
        <v>45931</v>
      </c>
      <c r="L402" t="str">
        <f t="shared" si="27"/>
        <v>Q4-2025</v>
      </c>
    </row>
    <row r="403" spans="1:12">
      <c r="A403" s="6">
        <v>45953</v>
      </c>
      <c r="B403" t="s">
        <v>30</v>
      </c>
      <c r="C403" t="s">
        <v>31</v>
      </c>
      <c r="D403" s="2">
        <v>2493.342597184148</v>
      </c>
      <c r="E403" s="2">
        <v>2520.1677313672521</v>
      </c>
      <c r="F403" s="2">
        <v>2471.4669735792691</v>
      </c>
      <c r="G403" s="2">
        <v>2477.010009765625</v>
      </c>
      <c r="H403" s="3">
        <v>811738</v>
      </c>
      <c r="I403" s="4">
        <f t="shared" si="24"/>
        <v>-0.88</v>
      </c>
      <c r="J403" s="2">
        <f t="shared" si="25"/>
        <v>43.16</v>
      </c>
      <c r="K403" s="7">
        <f t="shared" si="26"/>
        <v>45931</v>
      </c>
      <c r="L403" t="str">
        <f t="shared" si="27"/>
        <v>Q4-2025</v>
      </c>
    </row>
    <row r="404" spans="1:12">
      <c r="A404" s="6">
        <v>45953</v>
      </c>
      <c r="B404" t="s">
        <v>32</v>
      </c>
      <c r="C404" t="s">
        <v>33</v>
      </c>
      <c r="D404" s="2">
        <v>2554.7274727823942</v>
      </c>
      <c r="E404" s="2">
        <v>2619.749708059458</v>
      </c>
      <c r="F404" s="2">
        <v>2549.9147410901492</v>
      </c>
      <c r="G404" s="2">
        <v>2555.31689453125</v>
      </c>
      <c r="H404" s="3">
        <v>3386744</v>
      </c>
      <c r="I404" s="4">
        <f t="shared" si="24"/>
        <v>-0.19</v>
      </c>
      <c r="J404" s="2">
        <f t="shared" si="25"/>
        <v>64.430000000000007</v>
      </c>
      <c r="K404" s="7">
        <f t="shared" si="26"/>
        <v>45931</v>
      </c>
      <c r="L404" t="str">
        <f t="shared" si="27"/>
        <v>Q4-2025</v>
      </c>
    </row>
    <row r="405" spans="1:12">
      <c r="A405" s="6">
        <v>45953</v>
      </c>
      <c r="B405" t="s">
        <v>34</v>
      </c>
      <c r="C405" t="s">
        <v>35</v>
      </c>
      <c r="D405" s="2">
        <v>3852.372581263654</v>
      </c>
      <c r="E405" s="2">
        <v>3927.8354611063678</v>
      </c>
      <c r="F405" s="2">
        <v>3852.372581263654</v>
      </c>
      <c r="G405" s="2">
        <v>3880.794921875</v>
      </c>
      <c r="H405" s="3">
        <v>2815778</v>
      </c>
      <c r="I405" s="4">
        <f t="shared" si="24"/>
        <v>0</v>
      </c>
      <c r="J405" s="2">
        <f t="shared" si="25"/>
        <v>47.04</v>
      </c>
      <c r="K405" s="7">
        <f t="shared" si="26"/>
        <v>45931</v>
      </c>
      <c r="L405" t="str">
        <f t="shared" si="27"/>
        <v>Q4-2025</v>
      </c>
    </row>
    <row r="406" spans="1:12">
      <c r="A406" s="6">
        <v>45953</v>
      </c>
      <c r="B406" t="s">
        <v>36</v>
      </c>
      <c r="C406" t="s">
        <v>37</v>
      </c>
      <c r="D406" s="2">
        <v>1245.0397715690999</v>
      </c>
      <c r="E406" s="2">
        <v>1275.1165506443419</v>
      </c>
      <c r="F406" s="2">
        <v>1240.343442409054</v>
      </c>
      <c r="G406" s="2">
        <v>1257.829956054688</v>
      </c>
      <c r="H406" s="3">
        <v>14611221</v>
      </c>
      <c r="I406" s="4">
        <f t="shared" si="24"/>
        <v>-0.38</v>
      </c>
      <c r="J406" s="2">
        <f t="shared" si="25"/>
        <v>17.29</v>
      </c>
      <c r="K406" s="7">
        <f t="shared" si="26"/>
        <v>45931</v>
      </c>
      <c r="L406" t="str">
        <f t="shared" si="27"/>
        <v>Q4-2025</v>
      </c>
    </row>
    <row r="407" spans="1:12">
      <c r="A407" s="6">
        <v>45954</v>
      </c>
      <c r="B407" t="s">
        <v>8</v>
      </c>
      <c r="C407" t="s">
        <v>9</v>
      </c>
      <c r="D407" s="2">
        <v>1443.3266994671069</v>
      </c>
      <c r="E407" s="2">
        <v>1453.0816457634619</v>
      </c>
      <c r="F407" s="2">
        <v>1434.3681199531729</v>
      </c>
      <c r="G407" s="2">
        <v>1444.919311523438</v>
      </c>
      <c r="H407" s="3">
        <v>9700837</v>
      </c>
      <c r="I407" s="4">
        <f t="shared" si="24"/>
        <v>-0.62</v>
      </c>
      <c r="J407" s="2">
        <f t="shared" si="25"/>
        <v>8.16</v>
      </c>
      <c r="K407" s="7">
        <f t="shared" si="26"/>
        <v>45931</v>
      </c>
      <c r="L407" t="str">
        <f t="shared" si="27"/>
        <v>Q4-2025</v>
      </c>
    </row>
    <row r="408" spans="1:12">
      <c r="A408" s="6">
        <v>45954</v>
      </c>
      <c r="B408" t="s">
        <v>10</v>
      </c>
      <c r="C408" t="s">
        <v>11</v>
      </c>
      <c r="D408" s="2">
        <v>2968.2662739630541</v>
      </c>
      <c r="E408" s="2">
        <v>2977.9035021252721</v>
      </c>
      <c r="F408" s="2">
        <v>2947.3535359078201</v>
      </c>
      <c r="G408" s="2">
        <v>2952.07568359375</v>
      </c>
      <c r="H408" s="3">
        <v>2684318</v>
      </c>
      <c r="I408" s="4">
        <f t="shared" si="24"/>
        <v>-0.7</v>
      </c>
      <c r="J408" s="2">
        <f t="shared" si="25"/>
        <v>25.83</v>
      </c>
      <c r="K408" s="7">
        <f t="shared" si="26"/>
        <v>45931</v>
      </c>
      <c r="L408" t="str">
        <f t="shared" si="27"/>
        <v>Q4-2025</v>
      </c>
    </row>
    <row r="409" spans="1:12">
      <c r="A409" s="6">
        <v>45954</v>
      </c>
      <c r="B409" t="s">
        <v>12</v>
      </c>
      <c r="C409" t="s">
        <v>13</v>
      </c>
      <c r="D409" s="2">
        <v>1484.1708637038651</v>
      </c>
      <c r="E409" s="2">
        <v>1487.5450748262831</v>
      </c>
      <c r="F409" s="2">
        <v>1463.4435668090071</v>
      </c>
      <c r="G409" s="2">
        <v>1470.57763671875</v>
      </c>
      <c r="H409" s="3">
        <v>8652257</v>
      </c>
      <c r="I409" s="4">
        <f t="shared" si="24"/>
        <v>-1.4</v>
      </c>
      <c r="J409" s="2">
        <f t="shared" si="25"/>
        <v>16.97</v>
      </c>
      <c r="K409" s="7">
        <f t="shared" si="26"/>
        <v>45931</v>
      </c>
      <c r="L409" t="str">
        <f t="shared" si="27"/>
        <v>Q4-2025</v>
      </c>
    </row>
    <row r="410" spans="1:12">
      <c r="A410" s="6">
        <v>45954</v>
      </c>
      <c r="B410" t="s">
        <v>14</v>
      </c>
      <c r="C410" t="s">
        <v>15</v>
      </c>
      <c r="D410" s="2">
        <v>994.55067019331955</v>
      </c>
      <c r="E410" s="2">
        <v>995.48522536364078</v>
      </c>
      <c r="F410" s="2">
        <v>975.17118419597091</v>
      </c>
      <c r="G410" s="2">
        <v>978.5650634765625</v>
      </c>
      <c r="H410" s="3">
        <v>17707768</v>
      </c>
      <c r="I410" s="4">
        <f t="shared" si="24"/>
        <v>-1.95</v>
      </c>
      <c r="J410" s="2">
        <f t="shared" si="25"/>
        <v>16.920000000000002</v>
      </c>
      <c r="K410" s="7">
        <f t="shared" si="26"/>
        <v>45931</v>
      </c>
      <c r="L410" t="str">
        <f t="shared" si="27"/>
        <v>Q4-2025</v>
      </c>
    </row>
    <row r="411" spans="1:12">
      <c r="A411" s="6">
        <v>45954</v>
      </c>
      <c r="B411" t="s">
        <v>16</v>
      </c>
      <c r="C411" t="s">
        <v>17</v>
      </c>
      <c r="D411" s="2">
        <v>1356.66265330236</v>
      </c>
      <c r="E411" s="2">
        <v>1370.0497932383421</v>
      </c>
      <c r="F411" s="2">
        <v>1356.66265330236</v>
      </c>
      <c r="G411" s="2">
        <v>1366.182373046875</v>
      </c>
      <c r="H411" s="3">
        <v>10570263</v>
      </c>
      <c r="I411" s="4">
        <f t="shared" si="24"/>
        <v>0</v>
      </c>
      <c r="J411" s="2">
        <f t="shared" si="25"/>
        <v>3.87</v>
      </c>
      <c r="K411" s="7">
        <f t="shared" si="26"/>
        <v>45931</v>
      </c>
      <c r="L411" t="str">
        <f t="shared" si="27"/>
        <v>Q4-2025</v>
      </c>
    </row>
    <row r="412" spans="1:12">
      <c r="A412" s="6">
        <v>45954</v>
      </c>
      <c r="B412" t="s">
        <v>18</v>
      </c>
      <c r="C412" t="s">
        <v>19</v>
      </c>
      <c r="D412" s="2">
        <v>236.1370237774741</v>
      </c>
      <c r="E412" s="2">
        <v>236.98519412007411</v>
      </c>
      <c r="F412" s="2">
        <v>233.39976548046019</v>
      </c>
      <c r="G412" s="2">
        <v>234.1900939941406</v>
      </c>
      <c r="H412" s="3">
        <v>6803979</v>
      </c>
      <c r="I412" s="4">
        <f t="shared" si="24"/>
        <v>-1.1599999999999999</v>
      </c>
      <c r="J412" s="2">
        <f t="shared" si="25"/>
        <v>2.8</v>
      </c>
      <c r="K412" s="7">
        <f t="shared" si="26"/>
        <v>45931</v>
      </c>
      <c r="L412" t="str">
        <f t="shared" si="27"/>
        <v>Q4-2025</v>
      </c>
    </row>
    <row r="413" spans="1:12">
      <c r="A413" s="6">
        <v>45954</v>
      </c>
      <c r="B413" t="s">
        <v>20</v>
      </c>
      <c r="C413" t="s">
        <v>21</v>
      </c>
      <c r="D413" s="2">
        <v>1470.577172339596</v>
      </c>
      <c r="E413" s="2">
        <v>1477.9059268360011</v>
      </c>
      <c r="F413" s="2">
        <v>1462.284104943295</v>
      </c>
      <c r="G413" s="2">
        <v>1469.420043945312</v>
      </c>
      <c r="H413" s="3">
        <v>1491451</v>
      </c>
      <c r="I413" s="4">
        <f t="shared" si="24"/>
        <v>-0.56000000000000005</v>
      </c>
      <c r="J413" s="2">
        <f t="shared" si="25"/>
        <v>8.49</v>
      </c>
      <c r="K413" s="7">
        <f t="shared" si="26"/>
        <v>45931</v>
      </c>
      <c r="L413" t="str">
        <f t="shared" si="27"/>
        <v>Q4-2025</v>
      </c>
    </row>
    <row r="414" spans="1:12">
      <c r="A414" s="6">
        <v>45954</v>
      </c>
      <c r="B414" t="s">
        <v>22</v>
      </c>
      <c r="C414" t="s">
        <v>23</v>
      </c>
      <c r="D414" s="2">
        <v>1086.8191299385969</v>
      </c>
      <c r="E414" s="2">
        <v>1091.887946608937</v>
      </c>
      <c r="F414" s="2">
        <v>1080.7564228887979</v>
      </c>
      <c r="G414" s="2">
        <v>1083.092041015625</v>
      </c>
      <c r="H414" s="3">
        <v>6440277</v>
      </c>
      <c r="I414" s="4">
        <f t="shared" si="24"/>
        <v>-0.56000000000000005</v>
      </c>
      <c r="J414" s="2">
        <f t="shared" si="25"/>
        <v>8.8000000000000007</v>
      </c>
      <c r="K414" s="7">
        <f t="shared" si="26"/>
        <v>45931</v>
      </c>
      <c r="L414" t="str">
        <f t="shared" si="27"/>
        <v>Q4-2025</v>
      </c>
    </row>
    <row r="415" spans="1:12">
      <c r="A415" s="6">
        <v>45954</v>
      </c>
      <c r="B415" t="s">
        <v>24</v>
      </c>
      <c r="C415" t="s">
        <v>25</v>
      </c>
      <c r="D415" s="2">
        <v>16229.011274214239</v>
      </c>
      <c r="E415" s="2">
        <v>16259.70303540876</v>
      </c>
      <c r="F415" s="2">
        <v>16038.920366170731</v>
      </c>
      <c r="G415" s="2">
        <v>16112.1845703125</v>
      </c>
      <c r="H415" s="3">
        <v>208520</v>
      </c>
      <c r="I415" s="4">
        <f t="shared" si="24"/>
        <v>-1.17</v>
      </c>
      <c r="J415" s="2">
        <f t="shared" si="25"/>
        <v>147.52000000000001</v>
      </c>
      <c r="K415" s="7">
        <f t="shared" si="26"/>
        <v>45931</v>
      </c>
      <c r="L415" t="str">
        <f t="shared" si="27"/>
        <v>Q4-2025</v>
      </c>
    </row>
    <row r="416" spans="1:12">
      <c r="A416" s="6">
        <v>45954</v>
      </c>
      <c r="B416" t="s">
        <v>26</v>
      </c>
      <c r="C416" t="s">
        <v>27</v>
      </c>
      <c r="D416" s="2">
        <v>403.60202068618241</v>
      </c>
      <c r="E416" s="2">
        <v>405.13925667712982</v>
      </c>
      <c r="F416" s="2">
        <v>397.70095943091559</v>
      </c>
      <c r="G416" s="2">
        <v>399.98202514648438</v>
      </c>
      <c r="H416" s="3">
        <v>6311744</v>
      </c>
      <c r="I416" s="4">
        <f t="shared" si="24"/>
        <v>-1.46</v>
      </c>
      <c r="J416" s="2">
        <f t="shared" si="25"/>
        <v>5.16</v>
      </c>
      <c r="K416" s="7">
        <f t="shared" si="26"/>
        <v>45931</v>
      </c>
      <c r="L416" t="str">
        <f t="shared" si="27"/>
        <v>Q4-2025</v>
      </c>
    </row>
    <row r="417" spans="1:12">
      <c r="A417" s="6">
        <v>45954</v>
      </c>
      <c r="B417" t="s">
        <v>28</v>
      </c>
      <c r="C417" t="s">
        <v>29</v>
      </c>
      <c r="D417" s="2">
        <v>1674.7037736467221</v>
      </c>
      <c r="E417" s="2">
        <v>1686.4960906838339</v>
      </c>
      <c r="F417" s="2">
        <v>1670.739977732766</v>
      </c>
      <c r="G417" s="2">
        <v>1683.622314453125</v>
      </c>
      <c r="H417" s="3">
        <v>994307</v>
      </c>
      <c r="I417" s="4">
        <f t="shared" si="24"/>
        <v>-0.24</v>
      </c>
      <c r="J417" s="2">
        <f t="shared" si="25"/>
        <v>2.87</v>
      </c>
      <c r="K417" s="7">
        <f t="shared" si="26"/>
        <v>45931</v>
      </c>
      <c r="L417" t="str">
        <f t="shared" si="27"/>
        <v>Q4-2025</v>
      </c>
    </row>
    <row r="418" spans="1:12">
      <c r="A418" s="6">
        <v>45954</v>
      </c>
      <c r="B418" t="s">
        <v>30</v>
      </c>
      <c r="C418" t="s">
        <v>31</v>
      </c>
      <c r="D418" s="2">
        <v>2469.6853737363799</v>
      </c>
      <c r="E418" s="2">
        <v>2481.2666155330171</v>
      </c>
      <c r="F418" s="2">
        <v>2461.07369351137</v>
      </c>
      <c r="G418" s="2">
        <v>2476.218505859375</v>
      </c>
      <c r="H418" s="3">
        <v>327596</v>
      </c>
      <c r="I418" s="4">
        <f t="shared" si="24"/>
        <v>-0.35</v>
      </c>
      <c r="J418" s="2">
        <f t="shared" si="25"/>
        <v>5.05</v>
      </c>
      <c r="K418" s="7">
        <f t="shared" si="26"/>
        <v>45931</v>
      </c>
      <c r="L418" t="str">
        <f t="shared" si="27"/>
        <v>Q4-2025</v>
      </c>
    </row>
    <row r="419" spans="1:12">
      <c r="A419" s="6">
        <v>45954</v>
      </c>
      <c r="B419" t="s">
        <v>32</v>
      </c>
      <c r="C419" t="s">
        <v>33</v>
      </c>
      <c r="D419" s="2">
        <v>2538.0297940056121</v>
      </c>
      <c r="E419" s="2">
        <v>2538.0297940056121</v>
      </c>
      <c r="F419" s="2">
        <v>2430.477834855606</v>
      </c>
      <c r="G419" s="2">
        <v>2471.63232421875</v>
      </c>
      <c r="H419" s="3">
        <v>3110800</v>
      </c>
      <c r="I419" s="4">
        <f t="shared" si="24"/>
        <v>-4.24</v>
      </c>
      <c r="J419" s="2">
        <f t="shared" si="25"/>
        <v>66.400000000000006</v>
      </c>
      <c r="K419" s="7">
        <f t="shared" si="26"/>
        <v>45931</v>
      </c>
      <c r="L419" t="str">
        <f t="shared" si="27"/>
        <v>Q4-2025</v>
      </c>
    </row>
    <row r="420" spans="1:12">
      <c r="A420" s="6">
        <v>45954</v>
      </c>
      <c r="B420" t="s">
        <v>34</v>
      </c>
      <c r="C420" t="s">
        <v>35</v>
      </c>
      <c r="D420" s="2">
        <v>3891.292299996539</v>
      </c>
      <c r="E420" s="2">
        <v>3901.7896221286942</v>
      </c>
      <c r="F420" s="2">
        <v>3859.7998500419212</v>
      </c>
      <c r="G420" s="2">
        <v>3867.128173828125</v>
      </c>
      <c r="H420" s="3">
        <v>1146636</v>
      </c>
      <c r="I420" s="4">
        <f t="shared" si="24"/>
        <v>-0.81</v>
      </c>
      <c r="J420" s="2">
        <f t="shared" si="25"/>
        <v>34.659999999999997</v>
      </c>
      <c r="K420" s="7">
        <f t="shared" si="26"/>
        <v>45931</v>
      </c>
      <c r="L420" t="str">
        <f t="shared" si="27"/>
        <v>Q4-2025</v>
      </c>
    </row>
    <row r="421" spans="1:12">
      <c r="A421" s="6">
        <v>45954</v>
      </c>
      <c r="B421" t="s">
        <v>36</v>
      </c>
      <c r="C421" t="s">
        <v>37</v>
      </c>
      <c r="D421" s="2">
        <v>1253.233441369618</v>
      </c>
      <c r="E421" s="2">
        <v>1255.0321030466471</v>
      </c>
      <c r="F421" s="2">
        <v>1239.144331487033</v>
      </c>
      <c r="G421" s="2">
        <v>1240.942993164062</v>
      </c>
      <c r="H421" s="3">
        <v>4882046</v>
      </c>
      <c r="I421" s="4">
        <f t="shared" si="24"/>
        <v>-1.1200000000000001</v>
      </c>
      <c r="J421" s="2">
        <f t="shared" si="25"/>
        <v>14.09</v>
      </c>
      <c r="K421" s="7">
        <f t="shared" si="26"/>
        <v>45931</v>
      </c>
      <c r="L421" t="str">
        <f t="shared" si="27"/>
        <v>Q4-2025</v>
      </c>
    </row>
    <row r="422" spans="1:12">
      <c r="A422" s="6">
        <v>45957</v>
      </c>
      <c r="B422" t="s">
        <v>8</v>
      </c>
      <c r="C422" t="s">
        <v>9</v>
      </c>
      <c r="D422" s="2">
        <v>1456.266786847925</v>
      </c>
      <c r="E422" s="2">
        <v>1478.1655355223299</v>
      </c>
      <c r="F422" s="2">
        <v>1451.2897985128329</v>
      </c>
      <c r="G422" s="2">
        <v>1477.269653320312</v>
      </c>
      <c r="H422" s="3">
        <v>14113867</v>
      </c>
      <c r="I422" s="4">
        <f t="shared" si="24"/>
        <v>-0.34</v>
      </c>
      <c r="J422" s="2">
        <f t="shared" si="25"/>
        <v>0.9</v>
      </c>
      <c r="K422" s="7">
        <f t="shared" si="26"/>
        <v>45931</v>
      </c>
      <c r="L422" t="str">
        <f t="shared" si="27"/>
        <v>Q4-2025</v>
      </c>
    </row>
    <row r="423" spans="1:12">
      <c r="A423" s="6">
        <v>45957</v>
      </c>
      <c r="B423" t="s">
        <v>10</v>
      </c>
      <c r="C423" t="s">
        <v>11</v>
      </c>
      <c r="D423" s="2">
        <v>2955.2558763824859</v>
      </c>
      <c r="E423" s="2">
        <v>2981.9509500743802</v>
      </c>
      <c r="F423" s="2">
        <v>2949.1843758702371</v>
      </c>
      <c r="G423" s="2">
        <v>2972.98828125</v>
      </c>
      <c r="H423" s="3">
        <v>1946312</v>
      </c>
      <c r="I423" s="4">
        <f t="shared" si="24"/>
        <v>-0.21</v>
      </c>
      <c r="J423" s="2">
        <f t="shared" si="25"/>
        <v>8.9600000000000009</v>
      </c>
      <c r="K423" s="7">
        <f t="shared" si="26"/>
        <v>45931</v>
      </c>
      <c r="L423" t="str">
        <f t="shared" si="27"/>
        <v>Q4-2025</v>
      </c>
    </row>
    <row r="424" spans="1:12">
      <c r="A424" s="6">
        <v>45957</v>
      </c>
      <c r="B424" t="s">
        <v>12</v>
      </c>
      <c r="C424" t="s">
        <v>13</v>
      </c>
      <c r="D424" s="2">
        <v>1478.0165606695541</v>
      </c>
      <c r="E424" s="2">
        <v>1483.204348709505</v>
      </c>
      <c r="F424" s="2">
        <v>1466.3685916918339</v>
      </c>
      <c r="G424" s="2">
        <v>1472.633056640625</v>
      </c>
      <c r="H424" s="3">
        <v>7273211</v>
      </c>
      <c r="I424" s="4">
        <f t="shared" si="24"/>
        <v>-0.79</v>
      </c>
      <c r="J424" s="2">
        <f t="shared" si="25"/>
        <v>10.57</v>
      </c>
      <c r="K424" s="7">
        <f t="shared" si="26"/>
        <v>45931</v>
      </c>
      <c r="L424" t="str">
        <f t="shared" si="27"/>
        <v>Q4-2025</v>
      </c>
    </row>
    <row r="425" spans="1:12">
      <c r="A425" s="6">
        <v>45957</v>
      </c>
      <c r="B425" t="s">
        <v>14</v>
      </c>
      <c r="C425" t="s">
        <v>15</v>
      </c>
      <c r="D425" s="2">
        <v>980.28658465599494</v>
      </c>
      <c r="E425" s="2">
        <v>992.63237960937556</v>
      </c>
      <c r="F425" s="2">
        <v>979.99147777289625</v>
      </c>
      <c r="G425" s="2">
        <v>986.63165283203125</v>
      </c>
      <c r="H425" s="3">
        <v>15700796</v>
      </c>
      <c r="I425" s="4">
        <f t="shared" si="24"/>
        <v>-0.03</v>
      </c>
      <c r="J425" s="2">
        <f t="shared" si="25"/>
        <v>6</v>
      </c>
      <c r="K425" s="7">
        <f t="shared" si="26"/>
        <v>45931</v>
      </c>
      <c r="L425" t="str">
        <f t="shared" si="27"/>
        <v>Q4-2025</v>
      </c>
    </row>
    <row r="426" spans="1:12">
      <c r="A426" s="6">
        <v>45957</v>
      </c>
      <c r="B426" t="s">
        <v>16</v>
      </c>
      <c r="C426" t="s">
        <v>17</v>
      </c>
      <c r="D426" s="2">
        <v>1370.545631992856</v>
      </c>
      <c r="E426" s="2">
        <v>1375.206412664237</v>
      </c>
      <c r="F426" s="2">
        <v>1362.5133721313009</v>
      </c>
      <c r="G426" s="2">
        <v>1366.083251953125</v>
      </c>
      <c r="H426" s="3">
        <v>11499836</v>
      </c>
      <c r="I426" s="4">
        <f t="shared" si="24"/>
        <v>-0.59</v>
      </c>
      <c r="J426" s="2">
        <f t="shared" si="25"/>
        <v>9.1199999999999992</v>
      </c>
      <c r="K426" s="7">
        <f t="shared" si="26"/>
        <v>45931</v>
      </c>
      <c r="L426" t="str">
        <f t="shared" si="27"/>
        <v>Q4-2025</v>
      </c>
    </row>
    <row r="427" spans="1:12">
      <c r="A427" s="6">
        <v>45957</v>
      </c>
      <c r="B427" t="s">
        <v>18</v>
      </c>
      <c r="C427" t="s">
        <v>19</v>
      </c>
      <c r="D427" s="2">
        <v>234.48889027997771</v>
      </c>
      <c r="E427" s="2">
        <v>236.84062475552139</v>
      </c>
      <c r="F427" s="2">
        <v>234.26721473060019</v>
      </c>
      <c r="G427" s="2">
        <v>235.08647155761719</v>
      </c>
      <c r="H427" s="3">
        <v>9550336</v>
      </c>
      <c r="I427" s="4">
        <f t="shared" si="24"/>
        <v>-0.09</v>
      </c>
      <c r="J427" s="2">
        <f t="shared" si="25"/>
        <v>1.75</v>
      </c>
      <c r="K427" s="7">
        <f t="shared" si="26"/>
        <v>45931</v>
      </c>
      <c r="L427" t="str">
        <f t="shared" si="27"/>
        <v>Q4-2025</v>
      </c>
    </row>
    <row r="428" spans="1:12">
      <c r="A428" s="6">
        <v>45957</v>
      </c>
      <c r="B428" t="s">
        <v>20</v>
      </c>
      <c r="C428" t="s">
        <v>21</v>
      </c>
      <c r="D428" s="2">
        <v>1476.748770202677</v>
      </c>
      <c r="E428" s="2">
        <v>1494.2028098142141</v>
      </c>
      <c r="F428" s="2">
        <v>1472.3129544907799</v>
      </c>
      <c r="G428" s="2">
        <v>1478.773803710938</v>
      </c>
      <c r="H428" s="3">
        <v>1394846</v>
      </c>
      <c r="I428" s="4">
        <f t="shared" si="24"/>
        <v>-0.3</v>
      </c>
      <c r="J428" s="2">
        <f t="shared" si="25"/>
        <v>15.43</v>
      </c>
      <c r="K428" s="7">
        <f t="shared" si="26"/>
        <v>45931</v>
      </c>
      <c r="L428" t="str">
        <f t="shared" si="27"/>
        <v>Q4-2025</v>
      </c>
    </row>
    <row r="429" spans="1:12">
      <c r="A429" s="6">
        <v>45957</v>
      </c>
      <c r="B429" t="s">
        <v>22</v>
      </c>
      <c r="C429" t="s">
        <v>23</v>
      </c>
      <c r="D429" s="2">
        <v>1084.284566828838</v>
      </c>
      <c r="E429" s="2">
        <v>1087.3159807528759</v>
      </c>
      <c r="F429" s="2">
        <v>1069.1774829021081</v>
      </c>
      <c r="G429" s="2">
        <v>1077.774658203125</v>
      </c>
      <c r="H429" s="3">
        <v>7366175</v>
      </c>
      <c r="I429" s="4">
        <f t="shared" si="24"/>
        <v>-1.39</v>
      </c>
      <c r="J429" s="2">
        <f t="shared" si="25"/>
        <v>9.5399999999999991</v>
      </c>
      <c r="K429" s="7">
        <f t="shared" si="26"/>
        <v>45931</v>
      </c>
      <c r="L429" t="str">
        <f t="shared" si="27"/>
        <v>Q4-2025</v>
      </c>
    </row>
    <row r="430" spans="1:12">
      <c r="A430" s="6">
        <v>45957</v>
      </c>
      <c r="B430" t="s">
        <v>24</v>
      </c>
      <c r="C430" t="s">
        <v>25</v>
      </c>
      <c r="D430" s="2">
        <v>16187.428622982519</v>
      </c>
      <c r="E430" s="2">
        <v>16246.832030773279</v>
      </c>
      <c r="F430" s="2">
        <v>16113.174363244059</v>
      </c>
      <c r="G430" s="2">
        <v>16225.05078125</v>
      </c>
      <c r="H430" s="3">
        <v>209829</v>
      </c>
      <c r="I430" s="4">
        <f t="shared" si="24"/>
        <v>-0.46</v>
      </c>
      <c r="J430" s="2">
        <f t="shared" si="25"/>
        <v>21.78</v>
      </c>
      <c r="K430" s="7">
        <f t="shared" si="26"/>
        <v>45931</v>
      </c>
      <c r="L430" t="str">
        <f t="shared" si="27"/>
        <v>Q4-2025</v>
      </c>
    </row>
    <row r="431" spans="1:12">
      <c r="A431" s="6">
        <v>45957</v>
      </c>
      <c r="B431" t="s">
        <v>26</v>
      </c>
      <c r="C431" t="s">
        <v>27</v>
      </c>
      <c r="D431" s="2">
        <v>400.67626895598988</v>
      </c>
      <c r="E431" s="2">
        <v>408.015382680595</v>
      </c>
      <c r="F431" s="2">
        <v>400.32914237265209</v>
      </c>
      <c r="G431" s="2">
        <v>406.67648315429688</v>
      </c>
      <c r="H431" s="3">
        <v>10699376</v>
      </c>
      <c r="I431" s="4">
        <f t="shared" si="24"/>
        <v>-0.09</v>
      </c>
      <c r="J431" s="2">
        <f t="shared" si="25"/>
        <v>1.34</v>
      </c>
      <c r="K431" s="7">
        <f t="shared" si="26"/>
        <v>45931</v>
      </c>
      <c r="L431" t="str">
        <f t="shared" si="27"/>
        <v>Q4-2025</v>
      </c>
    </row>
    <row r="432" spans="1:12">
      <c r="A432" s="6">
        <v>45957</v>
      </c>
      <c r="B432" t="s">
        <v>28</v>
      </c>
      <c r="C432" t="s">
        <v>29</v>
      </c>
      <c r="D432" s="2">
        <v>1685.6042871936229</v>
      </c>
      <c r="E432" s="2">
        <v>1693.0364048620249</v>
      </c>
      <c r="F432" s="2">
        <v>1674.703847946633</v>
      </c>
      <c r="G432" s="2">
        <v>1678.271240234375</v>
      </c>
      <c r="H432" s="3">
        <v>2067904</v>
      </c>
      <c r="I432" s="4">
        <f t="shared" si="24"/>
        <v>-0.65</v>
      </c>
      <c r="J432" s="2">
        <f t="shared" si="25"/>
        <v>14.77</v>
      </c>
      <c r="K432" s="7">
        <f t="shared" si="26"/>
        <v>45931</v>
      </c>
      <c r="L432" t="str">
        <f t="shared" si="27"/>
        <v>Q4-2025</v>
      </c>
    </row>
    <row r="433" spans="1:12">
      <c r="A433" s="6">
        <v>45957</v>
      </c>
      <c r="B433" t="s">
        <v>30</v>
      </c>
      <c r="C433" t="s">
        <v>31</v>
      </c>
      <c r="D433" s="2">
        <v>2476.2184587966722</v>
      </c>
      <c r="E433" s="2">
        <v>2504.330211141702</v>
      </c>
      <c r="F433" s="2">
        <v>2474.2387511198799</v>
      </c>
      <c r="G433" s="2">
        <v>2493.243896484375</v>
      </c>
      <c r="H433" s="3">
        <v>550089</v>
      </c>
      <c r="I433" s="4">
        <f t="shared" si="24"/>
        <v>-0.08</v>
      </c>
      <c r="J433" s="2">
        <f t="shared" si="25"/>
        <v>11.09</v>
      </c>
      <c r="K433" s="7">
        <f t="shared" si="26"/>
        <v>45931</v>
      </c>
      <c r="L433" t="str">
        <f t="shared" si="27"/>
        <v>Q4-2025</v>
      </c>
    </row>
    <row r="434" spans="1:12">
      <c r="A434" s="6">
        <v>45957</v>
      </c>
      <c r="B434" t="s">
        <v>32</v>
      </c>
      <c r="C434" t="s">
        <v>33</v>
      </c>
      <c r="D434" s="2">
        <v>2471.632278344247</v>
      </c>
      <c r="E434" s="2">
        <v>2480.0793772907618</v>
      </c>
      <c r="F434" s="2">
        <v>2461.4173938576828</v>
      </c>
      <c r="G434" s="2">
        <v>2467.1142578125</v>
      </c>
      <c r="H434" s="3">
        <v>2127832</v>
      </c>
      <c r="I434" s="4">
        <f t="shared" si="24"/>
        <v>-0.41</v>
      </c>
      <c r="J434" s="2">
        <f t="shared" si="25"/>
        <v>12.97</v>
      </c>
      <c r="K434" s="7">
        <f t="shared" si="26"/>
        <v>45931</v>
      </c>
      <c r="L434" t="str">
        <f t="shared" si="27"/>
        <v>Q4-2025</v>
      </c>
    </row>
    <row r="435" spans="1:12">
      <c r="A435" s="6">
        <v>45957</v>
      </c>
      <c r="B435" t="s">
        <v>34</v>
      </c>
      <c r="C435" t="s">
        <v>35</v>
      </c>
      <c r="D435" s="2">
        <v>3874.1597944485038</v>
      </c>
      <c r="E435" s="2">
        <v>3909.8115716980301</v>
      </c>
      <c r="F435" s="2">
        <v>3869.2081587194029</v>
      </c>
      <c r="G435" s="2">
        <v>3885.845703125</v>
      </c>
      <c r="H435" s="3">
        <v>1057688</v>
      </c>
      <c r="I435" s="4">
        <f t="shared" si="24"/>
        <v>-0.13</v>
      </c>
      <c r="J435" s="2">
        <f t="shared" si="25"/>
        <v>23.97</v>
      </c>
      <c r="K435" s="7">
        <f t="shared" si="26"/>
        <v>45931</v>
      </c>
      <c r="L435" t="str">
        <f t="shared" si="27"/>
        <v>Q4-2025</v>
      </c>
    </row>
    <row r="436" spans="1:12">
      <c r="A436" s="6">
        <v>45957</v>
      </c>
      <c r="B436" t="s">
        <v>36</v>
      </c>
      <c r="C436" t="s">
        <v>37</v>
      </c>
      <c r="D436" s="2">
        <v>1242.4418393134461</v>
      </c>
      <c r="E436" s="2">
        <v>1257.530178602663</v>
      </c>
      <c r="F436" s="2">
        <v>1241.6424070164869</v>
      </c>
      <c r="G436" s="2">
        <v>1253.133544921875</v>
      </c>
      <c r="H436" s="3">
        <v>6185072</v>
      </c>
      <c r="I436" s="4">
        <f t="shared" si="24"/>
        <v>-0.06</v>
      </c>
      <c r="J436" s="2">
        <f t="shared" si="25"/>
        <v>4.4000000000000004</v>
      </c>
      <c r="K436" s="7">
        <f t="shared" si="26"/>
        <v>45931</v>
      </c>
      <c r="L436" t="str">
        <f t="shared" si="27"/>
        <v>Q4-2025</v>
      </c>
    </row>
    <row r="437" spans="1:12">
      <c r="A437" s="6">
        <v>45958</v>
      </c>
      <c r="B437" t="s">
        <v>8</v>
      </c>
      <c r="C437" t="s">
        <v>9</v>
      </c>
      <c r="D437" s="2">
        <v>1477.2697225639299</v>
      </c>
      <c r="E437" s="2">
        <v>1485.133388803667</v>
      </c>
      <c r="F437" s="2">
        <v>1470.7996374250399</v>
      </c>
      <c r="G437" s="2">
        <v>1480.056884765625</v>
      </c>
      <c r="H437" s="3">
        <v>17631577</v>
      </c>
      <c r="I437" s="4">
        <f t="shared" si="24"/>
        <v>-0.44</v>
      </c>
      <c r="J437" s="2">
        <f t="shared" si="25"/>
        <v>5.08</v>
      </c>
      <c r="K437" s="7">
        <f t="shared" si="26"/>
        <v>45931</v>
      </c>
      <c r="L437" t="str">
        <f t="shared" si="27"/>
        <v>Q4-2025</v>
      </c>
    </row>
    <row r="438" spans="1:12">
      <c r="A438" s="6">
        <v>45958</v>
      </c>
      <c r="B438" t="s">
        <v>10</v>
      </c>
      <c r="C438" t="s">
        <v>11</v>
      </c>
      <c r="D438" s="2">
        <v>2964.4114953280432</v>
      </c>
      <c r="E438" s="2">
        <v>2978.0963127815548</v>
      </c>
      <c r="F438" s="2">
        <v>2929.9101701396821</v>
      </c>
      <c r="G438" s="2">
        <v>2946.968017578125</v>
      </c>
      <c r="H438" s="3">
        <v>3470737</v>
      </c>
      <c r="I438" s="4">
        <f t="shared" si="24"/>
        <v>-1.1599999999999999</v>
      </c>
      <c r="J438" s="2">
        <f t="shared" si="25"/>
        <v>31.13</v>
      </c>
      <c r="K438" s="7">
        <f t="shared" si="26"/>
        <v>45931</v>
      </c>
      <c r="L438" t="str">
        <f t="shared" si="27"/>
        <v>Q4-2025</v>
      </c>
    </row>
    <row r="439" spans="1:12">
      <c r="A439" s="6">
        <v>45958</v>
      </c>
      <c r="B439" t="s">
        <v>12</v>
      </c>
      <c r="C439" t="s">
        <v>13</v>
      </c>
      <c r="D439" s="2">
        <v>1467.9347848431601</v>
      </c>
      <c r="E439" s="2">
        <v>1474.590801738831</v>
      </c>
      <c r="F439" s="2">
        <v>1458.9296979699479</v>
      </c>
      <c r="G439" s="2">
        <v>1468.424194335938</v>
      </c>
      <c r="H439" s="3">
        <v>8211019</v>
      </c>
      <c r="I439" s="4">
        <f t="shared" si="24"/>
        <v>-0.61</v>
      </c>
      <c r="J439" s="2">
        <f t="shared" si="25"/>
        <v>6.17</v>
      </c>
      <c r="K439" s="7">
        <f t="shared" si="26"/>
        <v>45931</v>
      </c>
      <c r="L439" t="str">
        <f t="shared" si="27"/>
        <v>Q4-2025</v>
      </c>
    </row>
    <row r="440" spans="1:12">
      <c r="A440" s="6">
        <v>45958</v>
      </c>
      <c r="B440" t="s">
        <v>14</v>
      </c>
      <c r="C440" t="s">
        <v>15</v>
      </c>
      <c r="D440" s="2">
        <v>981.41789397409241</v>
      </c>
      <c r="E440" s="2">
        <v>991.59947167535074</v>
      </c>
      <c r="F440" s="2">
        <v>978.81098642556935</v>
      </c>
      <c r="G440" s="2">
        <v>987.22186279296875</v>
      </c>
      <c r="H440" s="3">
        <v>33904289</v>
      </c>
      <c r="I440" s="4">
        <f t="shared" si="24"/>
        <v>-0.27</v>
      </c>
      <c r="J440" s="2">
        <f t="shared" si="25"/>
        <v>4.38</v>
      </c>
      <c r="K440" s="7">
        <f t="shared" si="26"/>
        <v>45931</v>
      </c>
      <c r="L440" t="str">
        <f t="shared" si="27"/>
        <v>Q4-2025</v>
      </c>
    </row>
    <row r="441" spans="1:12">
      <c r="A441" s="6">
        <v>45958</v>
      </c>
      <c r="B441" t="s">
        <v>16</v>
      </c>
      <c r="C441" t="s">
        <v>17</v>
      </c>
      <c r="D441" s="2">
        <v>1361.521728041381</v>
      </c>
      <c r="E441" s="2">
        <v>1364.2983684777021</v>
      </c>
      <c r="F441" s="2">
        <v>1344.8621275230651</v>
      </c>
      <c r="G441" s="2">
        <v>1351.704467773438</v>
      </c>
      <c r="H441" s="3">
        <v>26477914</v>
      </c>
      <c r="I441" s="4">
        <f t="shared" si="24"/>
        <v>-1.22</v>
      </c>
      <c r="J441" s="2">
        <f t="shared" si="25"/>
        <v>12.59</v>
      </c>
      <c r="K441" s="7">
        <f t="shared" si="26"/>
        <v>45931</v>
      </c>
      <c r="L441" t="str">
        <f t="shared" si="27"/>
        <v>Q4-2025</v>
      </c>
    </row>
    <row r="442" spans="1:12">
      <c r="A442" s="6">
        <v>45958</v>
      </c>
      <c r="B442" t="s">
        <v>18</v>
      </c>
      <c r="C442" t="s">
        <v>19</v>
      </c>
      <c r="D442" s="2">
        <v>234.84551074491421</v>
      </c>
      <c r="E442" s="2">
        <v>235.84788188003009</v>
      </c>
      <c r="F442" s="2">
        <v>232.66725768852541</v>
      </c>
      <c r="G442" s="2">
        <v>233.61181640625</v>
      </c>
      <c r="H442" s="3">
        <v>8780789</v>
      </c>
      <c r="I442" s="4">
        <f t="shared" si="24"/>
        <v>-0.93</v>
      </c>
      <c r="J442" s="2">
        <f t="shared" si="25"/>
        <v>2.2400000000000002</v>
      </c>
      <c r="K442" s="7">
        <f t="shared" si="26"/>
        <v>45931</v>
      </c>
      <c r="L442" t="str">
        <f t="shared" si="27"/>
        <v>Q4-2025</v>
      </c>
    </row>
    <row r="443" spans="1:12">
      <c r="A443" s="6">
        <v>45958</v>
      </c>
      <c r="B443" t="s">
        <v>20</v>
      </c>
      <c r="C443" t="s">
        <v>21</v>
      </c>
      <c r="D443" s="2">
        <v>1480.220299585141</v>
      </c>
      <c r="E443" s="2">
        <v>1486.970489876408</v>
      </c>
      <c r="F443" s="2">
        <v>1458.041102913832</v>
      </c>
      <c r="G443" s="2">
        <v>1467.780639648438</v>
      </c>
      <c r="H443" s="3">
        <v>1936466</v>
      </c>
      <c r="I443" s="4">
        <f t="shared" si="24"/>
        <v>-1.5</v>
      </c>
      <c r="J443" s="2">
        <f t="shared" si="25"/>
        <v>19.190000000000001</v>
      </c>
      <c r="K443" s="7">
        <f t="shared" si="26"/>
        <v>45931</v>
      </c>
      <c r="L443" t="str">
        <f t="shared" si="27"/>
        <v>Q4-2025</v>
      </c>
    </row>
    <row r="444" spans="1:12">
      <c r="A444" s="6">
        <v>45958</v>
      </c>
      <c r="B444" t="s">
        <v>22</v>
      </c>
      <c r="C444" t="s">
        <v>23</v>
      </c>
      <c r="D444" s="2">
        <v>1071.4138474332181</v>
      </c>
      <c r="E444" s="2">
        <v>1085.7258934078029</v>
      </c>
      <c r="F444" s="2">
        <v>1056.555234535261</v>
      </c>
      <c r="G444" s="2">
        <v>1066.195922851562</v>
      </c>
      <c r="H444" s="3">
        <v>12324341</v>
      </c>
      <c r="I444" s="4">
        <f t="shared" si="24"/>
        <v>-1.39</v>
      </c>
      <c r="J444" s="2">
        <f t="shared" si="25"/>
        <v>19.53</v>
      </c>
      <c r="K444" s="7">
        <f t="shared" si="26"/>
        <v>45931</v>
      </c>
      <c r="L444" t="str">
        <f t="shared" si="27"/>
        <v>Q4-2025</v>
      </c>
    </row>
    <row r="445" spans="1:12">
      <c r="A445" s="6">
        <v>45958</v>
      </c>
      <c r="B445" t="s">
        <v>24</v>
      </c>
      <c r="C445" t="s">
        <v>25</v>
      </c>
      <c r="D445" s="2">
        <v>16235.941404334109</v>
      </c>
      <c r="E445" s="2">
        <v>16330.98685678951</v>
      </c>
      <c r="F445" s="2">
        <v>16099.31356642948</v>
      </c>
      <c r="G445" s="2">
        <v>16148.81640625</v>
      </c>
      <c r="H445" s="3">
        <v>383383</v>
      </c>
      <c r="I445" s="4">
        <f t="shared" si="24"/>
        <v>-0.84</v>
      </c>
      <c r="J445" s="2">
        <f t="shared" si="25"/>
        <v>182.17</v>
      </c>
      <c r="K445" s="7">
        <f t="shared" si="26"/>
        <v>45931</v>
      </c>
      <c r="L445" t="str">
        <f t="shared" si="27"/>
        <v>Q4-2025</v>
      </c>
    </row>
    <row r="446" spans="1:12">
      <c r="A446" s="6">
        <v>45958</v>
      </c>
      <c r="B446" t="s">
        <v>26</v>
      </c>
      <c r="C446" t="s">
        <v>27</v>
      </c>
      <c r="D446" s="2">
        <v>407.91619629456352</v>
      </c>
      <c r="E446" s="2">
        <v>410.74275521424812</v>
      </c>
      <c r="F446" s="2">
        <v>405.18882072173773</v>
      </c>
      <c r="G446" s="2">
        <v>408.11456298828119</v>
      </c>
      <c r="H446" s="3">
        <v>10332279</v>
      </c>
      <c r="I446" s="4">
        <f t="shared" si="24"/>
        <v>-0.67</v>
      </c>
      <c r="J446" s="2">
        <f t="shared" si="25"/>
        <v>2.63</v>
      </c>
      <c r="K446" s="7">
        <f t="shared" si="26"/>
        <v>45931</v>
      </c>
      <c r="L446" t="str">
        <f t="shared" si="27"/>
        <v>Q4-2025</v>
      </c>
    </row>
    <row r="447" spans="1:12">
      <c r="A447" s="6">
        <v>45958</v>
      </c>
      <c r="B447" t="s">
        <v>28</v>
      </c>
      <c r="C447" t="s">
        <v>29</v>
      </c>
      <c r="D447" s="2">
        <v>1676.685702013559</v>
      </c>
      <c r="E447" s="2">
        <v>1687.288807889521</v>
      </c>
      <c r="F447" s="2">
        <v>1664.0015064726661</v>
      </c>
      <c r="G447" s="2">
        <v>1671.73095703125</v>
      </c>
      <c r="H447" s="3">
        <v>2440939</v>
      </c>
      <c r="I447" s="4">
        <f t="shared" si="24"/>
        <v>-0.76</v>
      </c>
      <c r="J447" s="2">
        <f t="shared" si="25"/>
        <v>15.56</v>
      </c>
      <c r="K447" s="7">
        <f t="shared" si="26"/>
        <v>45931</v>
      </c>
      <c r="L447" t="str">
        <f t="shared" si="27"/>
        <v>Q4-2025</v>
      </c>
    </row>
    <row r="448" spans="1:12">
      <c r="A448" s="6">
        <v>45958</v>
      </c>
      <c r="B448" t="s">
        <v>30</v>
      </c>
      <c r="C448" t="s">
        <v>31</v>
      </c>
      <c r="D448" s="2">
        <v>2489.4822059889898</v>
      </c>
      <c r="E448" s="2">
        <v>2502.944313788174</v>
      </c>
      <c r="F448" s="2">
        <v>2466.715569512749</v>
      </c>
      <c r="G448" s="2">
        <v>2483.840087890625</v>
      </c>
      <c r="H448" s="3">
        <v>1103957</v>
      </c>
      <c r="I448" s="4">
        <f t="shared" si="24"/>
        <v>-0.91</v>
      </c>
      <c r="J448" s="2">
        <f t="shared" si="25"/>
        <v>19.100000000000001</v>
      </c>
      <c r="K448" s="7">
        <f t="shared" si="26"/>
        <v>45931</v>
      </c>
      <c r="L448" t="str">
        <f t="shared" si="27"/>
        <v>Q4-2025</v>
      </c>
    </row>
    <row r="449" spans="1:12">
      <c r="A449" s="6">
        <v>45958</v>
      </c>
      <c r="B449" t="s">
        <v>32</v>
      </c>
      <c r="C449" t="s">
        <v>33</v>
      </c>
      <c r="D449" s="2">
        <v>2474.1863226699879</v>
      </c>
      <c r="E449" s="2">
        <v>2481.0617908155568</v>
      </c>
      <c r="F449" s="2">
        <v>2437.7462455795489</v>
      </c>
      <c r="G449" s="2">
        <v>2452.676025390625</v>
      </c>
      <c r="H449" s="3">
        <v>2294976</v>
      </c>
      <c r="I449" s="4">
        <f t="shared" si="24"/>
        <v>-1.47</v>
      </c>
      <c r="J449" s="2">
        <f t="shared" si="25"/>
        <v>28.39</v>
      </c>
      <c r="K449" s="7">
        <f t="shared" si="26"/>
        <v>45931</v>
      </c>
      <c r="L449" t="str">
        <f t="shared" si="27"/>
        <v>Q4-2025</v>
      </c>
    </row>
    <row r="450" spans="1:12">
      <c r="A450" s="6">
        <v>45958</v>
      </c>
      <c r="B450" t="s">
        <v>34</v>
      </c>
      <c r="C450" t="s">
        <v>35</v>
      </c>
      <c r="D450" s="2">
        <v>3884.1620460240611</v>
      </c>
      <c r="E450" s="2">
        <v>3947.4438514977551</v>
      </c>
      <c r="F450" s="2">
        <v>3879.4084275510381</v>
      </c>
      <c r="G450" s="2">
        <v>3934.37158203125</v>
      </c>
      <c r="H450" s="3">
        <v>3391806</v>
      </c>
      <c r="I450" s="4">
        <f t="shared" ref="I450:I513" si="28">ROUND(((F450-D450)/D450)*100, 2)</f>
        <v>-0.12</v>
      </c>
      <c r="J450" s="2">
        <f t="shared" ref="J450:J513" si="29">ROUND(E450-G450, 2)</f>
        <v>13.07</v>
      </c>
      <c r="K450" s="7">
        <f t="shared" ref="K450:K513" si="30">DATE(YEAR(A450),MONTH(A450),1)</f>
        <v>45931</v>
      </c>
      <c r="L450" t="str">
        <f t="shared" ref="L450:L513" si="31">"Q"&amp;INT((MONTH(A450)-1)/3)+1&amp;"-"&amp;YEAR(A450)</f>
        <v>Q4-2025</v>
      </c>
    </row>
    <row r="451" spans="1:12">
      <c r="A451" s="6">
        <v>45958</v>
      </c>
      <c r="B451" t="s">
        <v>36</v>
      </c>
      <c r="C451" t="s">
        <v>37</v>
      </c>
      <c r="D451" s="2">
        <v>1248.0374700896889</v>
      </c>
      <c r="E451" s="2">
        <v>1257.9298651445749</v>
      </c>
      <c r="F451" s="2">
        <v>1235.6470016359051</v>
      </c>
      <c r="G451" s="2">
        <v>1245.339599609375</v>
      </c>
      <c r="H451" s="3">
        <v>8146777</v>
      </c>
      <c r="I451" s="4">
        <f t="shared" si="28"/>
        <v>-0.99</v>
      </c>
      <c r="J451" s="2">
        <f t="shared" si="29"/>
        <v>12.59</v>
      </c>
      <c r="K451" s="7">
        <f t="shared" si="30"/>
        <v>45931</v>
      </c>
      <c r="L451" t="str">
        <f t="shared" si="31"/>
        <v>Q4-2025</v>
      </c>
    </row>
    <row r="452" spans="1:12">
      <c r="A452" s="6">
        <v>45959</v>
      </c>
      <c r="B452" t="s">
        <v>8</v>
      </c>
      <c r="C452" t="s">
        <v>9</v>
      </c>
      <c r="D452" s="2">
        <v>1483.142501553674</v>
      </c>
      <c r="E452" s="2">
        <v>1501.35832718958</v>
      </c>
      <c r="F452" s="2">
        <v>1481.2512217130791</v>
      </c>
      <c r="G452" s="2">
        <v>1497.277099609375</v>
      </c>
      <c r="H452" s="3">
        <v>11884745</v>
      </c>
      <c r="I452" s="4">
        <f t="shared" si="28"/>
        <v>-0.13</v>
      </c>
      <c r="J452" s="2">
        <f t="shared" si="29"/>
        <v>4.08</v>
      </c>
      <c r="K452" s="7">
        <f t="shared" si="30"/>
        <v>45931</v>
      </c>
      <c r="L452" t="str">
        <f t="shared" si="31"/>
        <v>Q4-2025</v>
      </c>
    </row>
    <row r="453" spans="1:12">
      <c r="A453" s="6">
        <v>45959</v>
      </c>
      <c r="B453" t="s">
        <v>10</v>
      </c>
      <c r="C453" t="s">
        <v>11</v>
      </c>
      <c r="D453" s="2">
        <v>2946.968127858293</v>
      </c>
      <c r="E453" s="2">
        <v>2964.4116062609742</v>
      </c>
      <c r="F453" s="2">
        <v>2935.5963859963831</v>
      </c>
      <c r="G453" s="2">
        <v>2946.67919921875</v>
      </c>
      <c r="H453" s="3">
        <v>2895420</v>
      </c>
      <c r="I453" s="4">
        <f t="shared" si="28"/>
        <v>-0.39</v>
      </c>
      <c r="J453" s="2">
        <f t="shared" si="29"/>
        <v>17.73</v>
      </c>
      <c r="K453" s="7">
        <f t="shared" si="30"/>
        <v>45931</v>
      </c>
      <c r="L453" t="str">
        <f t="shared" si="31"/>
        <v>Q4-2025</v>
      </c>
    </row>
    <row r="454" spans="1:12">
      <c r="A454" s="6">
        <v>45959</v>
      </c>
      <c r="B454" t="s">
        <v>12</v>
      </c>
      <c r="C454" t="s">
        <v>13</v>
      </c>
      <c r="D454" s="2">
        <v>1468.4241778932901</v>
      </c>
      <c r="E454" s="2">
        <v>1488.000557385187</v>
      </c>
      <c r="F454" s="2">
        <v>1465.19414696797</v>
      </c>
      <c r="G454" s="2">
        <v>1478.408203125</v>
      </c>
      <c r="H454" s="3">
        <v>4884976</v>
      </c>
      <c r="I454" s="4">
        <f t="shared" si="28"/>
        <v>-0.22</v>
      </c>
      <c r="J454" s="2">
        <f t="shared" si="29"/>
        <v>9.59</v>
      </c>
      <c r="K454" s="7">
        <f t="shared" si="30"/>
        <v>45931</v>
      </c>
      <c r="L454" t="str">
        <f t="shared" si="31"/>
        <v>Q4-2025</v>
      </c>
    </row>
    <row r="455" spans="1:12">
      <c r="A455" s="6">
        <v>45959</v>
      </c>
      <c r="B455" t="s">
        <v>14</v>
      </c>
      <c r="C455" t="s">
        <v>15</v>
      </c>
      <c r="D455" s="2">
        <v>988.54994986140662</v>
      </c>
      <c r="E455" s="2">
        <v>996.02627118880139</v>
      </c>
      <c r="F455" s="2">
        <v>983.72965055684097</v>
      </c>
      <c r="G455" s="2">
        <v>991.451904296875</v>
      </c>
      <c r="H455" s="3">
        <v>17769445</v>
      </c>
      <c r="I455" s="4">
        <f t="shared" si="28"/>
        <v>-0.49</v>
      </c>
      <c r="J455" s="2">
        <f t="shared" si="29"/>
        <v>4.57</v>
      </c>
      <c r="K455" s="7">
        <f t="shared" si="30"/>
        <v>45931</v>
      </c>
      <c r="L455" t="str">
        <f t="shared" si="31"/>
        <v>Q4-2025</v>
      </c>
    </row>
    <row r="456" spans="1:12">
      <c r="A456" s="6">
        <v>45959</v>
      </c>
      <c r="B456" t="s">
        <v>16</v>
      </c>
      <c r="C456" t="s">
        <v>17</v>
      </c>
      <c r="D456" s="2">
        <v>1353.191921020162</v>
      </c>
      <c r="E456" s="2">
        <v>1360.2325408166009</v>
      </c>
      <c r="F456" s="2">
        <v>1347.043801434495</v>
      </c>
      <c r="G456" s="2">
        <v>1358.943481445312</v>
      </c>
      <c r="H456" s="3">
        <v>16129382</v>
      </c>
      <c r="I456" s="4">
        <f t="shared" si="28"/>
        <v>-0.45</v>
      </c>
      <c r="J456" s="2">
        <f t="shared" si="29"/>
        <v>1.29</v>
      </c>
      <c r="K456" s="7">
        <f t="shared" si="30"/>
        <v>45931</v>
      </c>
      <c r="L456" t="str">
        <f t="shared" si="31"/>
        <v>Q4-2025</v>
      </c>
    </row>
    <row r="457" spans="1:12">
      <c r="A457" s="6">
        <v>45959</v>
      </c>
      <c r="B457" t="s">
        <v>18</v>
      </c>
      <c r="C457" t="s">
        <v>19</v>
      </c>
      <c r="D457" s="2">
        <v>234.7876821872953</v>
      </c>
      <c r="E457" s="2">
        <v>234.7876821872953</v>
      </c>
      <c r="F457" s="2">
        <v>232.89857947017609</v>
      </c>
      <c r="G457" s="2">
        <v>233.51542663574219</v>
      </c>
      <c r="H457" s="3">
        <v>8776917</v>
      </c>
      <c r="I457" s="4">
        <f t="shared" si="28"/>
        <v>-0.8</v>
      </c>
      <c r="J457" s="2">
        <f t="shared" si="29"/>
        <v>1.27</v>
      </c>
      <c r="K457" s="7">
        <f t="shared" si="30"/>
        <v>45931</v>
      </c>
      <c r="L457" t="str">
        <f t="shared" si="31"/>
        <v>Q4-2025</v>
      </c>
    </row>
    <row r="458" spans="1:12">
      <c r="A458" s="6">
        <v>45959</v>
      </c>
      <c r="B458" t="s">
        <v>20</v>
      </c>
      <c r="C458" t="s">
        <v>21</v>
      </c>
      <c r="D458" s="2">
        <v>1475.3986987319199</v>
      </c>
      <c r="E458" s="2">
        <v>1503.3637721065779</v>
      </c>
      <c r="F458" s="2">
        <v>1467.684195732015</v>
      </c>
      <c r="G458" s="2">
        <v>1501.724487304688</v>
      </c>
      <c r="H458" s="3">
        <v>2596355</v>
      </c>
      <c r="I458" s="4">
        <f t="shared" si="28"/>
        <v>-0.52</v>
      </c>
      <c r="J458" s="2">
        <f t="shared" si="29"/>
        <v>1.64</v>
      </c>
      <c r="K458" s="7">
        <f t="shared" si="30"/>
        <v>45931</v>
      </c>
      <c r="L458" t="str">
        <f t="shared" si="31"/>
        <v>Q4-2025</v>
      </c>
    </row>
    <row r="459" spans="1:12">
      <c r="A459" s="6">
        <v>45959</v>
      </c>
      <c r="B459" t="s">
        <v>22</v>
      </c>
      <c r="C459" t="s">
        <v>23</v>
      </c>
      <c r="D459" s="2">
        <v>1065.450444584244</v>
      </c>
      <c r="E459" s="2">
        <v>1072.55678478084</v>
      </c>
      <c r="F459" s="2">
        <v>1054.7661234281991</v>
      </c>
      <c r="G459" s="2">
        <v>1056.455688476562</v>
      </c>
      <c r="H459" s="3">
        <v>5386803</v>
      </c>
      <c r="I459" s="4">
        <f t="shared" si="28"/>
        <v>-1</v>
      </c>
      <c r="J459" s="2">
        <f t="shared" si="29"/>
        <v>16.100000000000001</v>
      </c>
      <c r="K459" s="7">
        <f t="shared" si="30"/>
        <v>45931</v>
      </c>
      <c r="L459" t="str">
        <f t="shared" si="31"/>
        <v>Q4-2025</v>
      </c>
    </row>
    <row r="460" spans="1:12">
      <c r="A460" s="6">
        <v>45959</v>
      </c>
      <c r="B460" t="s">
        <v>24</v>
      </c>
      <c r="C460" t="s">
        <v>25</v>
      </c>
      <c r="D460" s="2">
        <v>16197.329725453899</v>
      </c>
      <c r="E460" s="2">
        <v>16264.653589838421</v>
      </c>
      <c r="F460" s="2">
        <v>15886.45188109005</v>
      </c>
      <c r="G460" s="2">
        <v>15977.537109375</v>
      </c>
      <c r="H460" s="3">
        <v>232815</v>
      </c>
      <c r="I460" s="4">
        <f t="shared" si="28"/>
        <v>-1.92</v>
      </c>
      <c r="J460" s="2">
        <f t="shared" si="29"/>
        <v>287.12</v>
      </c>
      <c r="K460" s="7">
        <f t="shared" si="30"/>
        <v>45931</v>
      </c>
      <c r="L460" t="str">
        <f t="shared" si="31"/>
        <v>Q4-2025</v>
      </c>
    </row>
    <row r="461" spans="1:12">
      <c r="A461" s="6">
        <v>45959</v>
      </c>
      <c r="B461" t="s">
        <v>26</v>
      </c>
      <c r="C461" t="s">
        <v>27</v>
      </c>
      <c r="D461" s="2">
        <v>409.10635318322409</v>
      </c>
      <c r="E461" s="2">
        <v>411.58578562675882</v>
      </c>
      <c r="F461" s="2">
        <v>403.70117834971472</v>
      </c>
      <c r="G461" s="2">
        <v>407.9658203125</v>
      </c>
      <c r="H461" s="3">
        <v>8485023</v>
      </c>
      <c r="I461" s="4">
        <f t="shared" si="28"/>
        <v>-1.32</v>
      </c>
      <c r="J461" s="2">
        <f t="shared" si="29"/>
        <v>3.62</v>
      </c>
      <c r="K461" s="7">
        <f t="shared" si="30"/>
        <v>45931</v>
      </c>
      <c r="L461" t="str">
        <f t="shared" si="31"/>
        <v>Q4-2025</v>
      </c>
    </row>
    <row r="462" spans="1:12">
      <c r="A462" s="6">
        <v>45959</v>
      </c>
      <c r="B462" t="s">
        <v>28</v>
      </c>
      <c r="C462" t="s">
        <v>29</v>
      </c>
      <c r="D462" s="2">
        <v>1674.703781903132</v>
      </c>
      <c r="E462" s="2">
        <v>1706.4141493711199</v>
      </c>
      <c r="F462" s="2">
        <v>1672.0282680342009</v>
      </c>
      <c r="G462" s="2">
        <v>1700.369384765625</v>
      </c>
      <c r="H462" s="3">
        <v>1016738</v>
      </c>
      <c r="I462" s="4">
        <f t="shared" si="28"/>
        <v>-0.16</v>
      </c>
      <c r="J462" s="2">
        <f t="shared" si="29"/>
        <v>6.04</v>
      </c>
      <c r="K462" s="7">
        <f t="shared" si="30"/>
        <v>45931</v>
      </c>
      <c r="L462" t="str">
        <f t="shared" si="31"/>
        <v>Q4-2025</v>
      </c>
    </row>
    <row r="463" spans="1:12">
      <c r="A463" s="6">
        <v>45959</v>
      </c>
      <c r="B463" t="s">
        <v>30</v>
      </c>
      <c r="C463" t="s">
        <v>31</v>
      </c>
      <c r="D463" s="2">
        <v>2494.431676061437</v>
      </c>
      <c r="E463" s="2">
        <v>2524.9192226571181</v>
      </c>
      <c r="F463" s="2">
        <v>2487.0077722636361</v>
      </c>
      <c r="G463" s="2">
        <v>2512.94189453125</v>
      </c>
      <c r="H463" s="3">
        <v>615292</v>
      </c>
      <c r="I463" s="4">
        <f t="shared" si="28"/>
        <v>-0.3</v>
      </c>
      <c r="J463" s="2">
        <f t="shared" si="29"/>
        <v>11.98</v>
      </c>
      <c r="K463" s="7">
        <f t="shared" si="30"/>
        <v>45931</v>
      </c>
      <c r="L463" t="str">
        <f t="shared" si="31"/>
        <v>Q4-2025</v>
      </c>
    </row>
    <row r="464" spans="1:12">
      <c r="A464" s="6">
        <v>45959</v>
      </c>
      <c r="B464" t="s">
        <v>32</v>
      </c>
      <c r="C464" t="s">
        <v>33</v>
      </c>
      <c r="D464" s="2">
        <v>2467.9000740374131</v>
      </c>
      <c r="E464" s="2">
        <v>2468.8822836920008</v>
      </c>
      <c r="F464" s="2">
        <v>2439.808781997277</v>
      </c>
      <c r="G464" s="2">
        <v>2443.8359375</v>
      </c>
      <c r="H464" s="3">
        <v>1870143</v>
      </c>
      <c r="I464" s="4">
        <f t="shared" si="28"/>
        <v>-1.1399999999999999</v>
      </c>
      <c r="J464" s="2">
        <f t="shared" si="29"/>
        <v>25.05</v>
      </c>
      <c r="K464" s="7">
        <f t="shared" si="30"/>
        <v>45931</v>
      </c>
      <c r="L464" t="str">
        <f t="shared" si="31"/>
        <v>Q4-2025</v>
      </c>
    </row>
    <row r="465" spans="1:12">
      <c r="A465" s="6">
        <v>45959</v>
      </c>
      <c r="B465" t="s">
        <v>34</v>
      </c>
      <c r="C465" t="s">
        <v>35</v>
      </c>
      <c r="D465" s="2">
        <v>3949.424649733679</v>
      </c>
      <c r="E465" s="2">
        <v>3977.846990406787</v>
      </c>
      <c r="F465" s="2">
        <v>3882.082403950858</v>
      </c>
      <c r="G465" s="2">
        <v>3919.81396484375</v>
      </c>
      <c r="H465" s="3">
        <v>2563641</v>
      </c>
      <c r="I465" s="4">
        <f t="shared" si="28"/>
        <v>-1.71</v>
      </c>
      <c r="J465" s="2">
        <f t="shared" si="29"/>
        <v>58.03</v>
      </c>
      <c r="K465" s="7">
        <f t="shared" si="30"/>
        <v>45931</v>
      </c>
      <c r="L465" t="str">
        <f t="shared" si="31"/>
        <v>Q4-2025</v>
      </c>
    </row>
    <row r="466" spans="1:12">
      <c r="A466" s="6">
        <v>45959</v>
      </c>
      <c r="B466" t="s">
        <v>36</v>
      </c>
      <c r="C466" t="s">
        <v>37</v>
      </c>
      <c r="D466" s="2">
        <v>1245.93908634632</v>
      </c>
      <c r="E466" s="2">
        <v>1250.035902238184</v>
      </c>
      <c r="F466" s="2">
        <v>1238.244947255514</v>
      </c>
      <c r="G466" s="2">
        <v>1247.837646484375</v>
      </c>
      <c r="H466" s="3">
        <v>4578825</v>
      </c>
      <c r="I466" s="4">
        <f t="shared" si="28"/>
        <v>-0.62</v>
      </c>
      <c r="J466" s="2">
        <f t="shared" si="29"/>
        <v>2.2000000000000002</v>
      </c>
      <c r="K466" s="7">
        <f t="shared" si="30"/>
        <v>45931</v>
      </c>
      <c r="L466" t="str">
        <f t="shared" si="31"/>
        <v>Q4-2025</v>
      </c>
    </row>
    <row r="467" spans="1:12">
      <c r="A467" s="6">
        <v>45960</v>
      </c>
      <c r="B467" t="s">
        <v>8</v>
      </c>
      <c r="C467" t="s">
        <v>9</v>
      </c>
      <c r="D467" s="2">
        <v>1493.0964871305</v>
      </c>
      <c r="E467" s="2">
        <v>1496.182195568869</v>
      </c>
      <c r="F467" s="2">
        <v>1477.170124601108</v>
      </c>
      <c r="G467" s="2">
        <v>1481.6494140625</v>
      </c>
      <c r="H467" s="3">
        <v>9318663</v>
      </c>
      <c r="I467" s="4">
        <f t="shared" si="28"/>
        <v>-1.07</v>
      </c>
      <c r="J467" s="2">
        <f t="shared" si="29"/>
        <v>14.53</v>
      </c>
      <c r="K467" s="7">
        <f t="shared" si="30"/>
        <v>45931</v>
      </c>
      <c r="L467" t="str">
        <f t="shared" si="31"/>
        <v>Q4-2025</v>
      </c>
    </row>
    <row r="468" spans="1:12">
      <c r="A468" s="6">
        <v>45960</v>
      </c>
      <c r="B468" t="s">
        <v>10</v>
      </c>
      <c r="C468" t="s">
        <v>11</v>
      </c>
      <c r="D468" s="2">
        <v>2938.4871653020218</v>
      </c>
      <c r="E468" s="2">
        <v>2952.6538428349518</v>
      </c>
      <c r="F468" s="2">
        <v>2922.7784372376141</v>
      </c>
      <c r="G468" s="2">
        <v>2925.187744140625</v>
      </c>
      <c r="H468" s="3">
        <v>2241536</v>
      </c>
      <c r="I468" s="4">
        <f t="shared" si="28"/>
        <v>-0.53</v>
      </c>
      <c r="J468" s="2">
        <f t="shared" si="29"/>
        <v>27.47</v>
      </c>
      <c r="K468" s="7">
        <f t="shared" si="30"/>
        <v>45931</v>
      </c>
      <c r="L468" t="str">
        <f t="shared" si="31"/>
        <v>Q4-2025</v>
      </c>
    </row>
    <row r="469" spans="1:12">
      <c r="A469" s="6">
        <v>45960</v>
      </c>
      <c r="B469" t="s">
        <v>12</v>
      </c>
      <c r="C469" t="s">
        <v>13</v>
      </c>
      <c r="D469" s="2">
        <v>1475.080152338646</v>
      </c>
      <c r="E469" s="2">
        <v>1476.2546872805231</v>
      </c>
      <c r="F469" s="2">
        <v>1457.559269299787</v>
      </c>
      <c r="G469" s="2">
        <v>1462.159790039062</v>
      </c>
      <c r="H469" s="3">
        <v>5608867</v>
      </c>
      <c r="I469" s="4">
        <f t="shared" si="28"/>
        <v>-1.19</v>
      </c>
      <c r="J469" s="2">
        <f t="shared" si="29"/>
        <v>14.09</v>
      </c>
      <c r="K469" s="7">
        <f t="shared" si="30"/>
        <v>45931</v>
      </c>
      <c r="L469" t="str">
        <f t="shared" si="31"/>
        <v>Q4-2025</v>
      </c>
    </row>
    <row r="470" spans="1:12">
      <c r="A470" s="6">
        <v>45960</v>
      </c>
      <c r="B470" t="s">
        <v>14</v>
      </c>
      <c r="C470" t="s">
        <v>15</v>
      </c>
      <c r="D470" s="2">
        <v>983.72966590414762</v>
      </c>
      <c r="E470" s="2">
        <v>993.07509773023708</v>
      </c>
      <c r="F470" s="2">
        <v>980.87682585618813</v>
      </c>
      <c r="G470" s="2">
        <v>981.9097900390625</v>
      </c>
      <c r="H470" s="3">
        <v>19962917</v>
      </c>
      <c r="I470" s="4">
        <f t="shared" si="28"/>
        <v>-0.28999999999999998</v>
      </c>
      <c r="J470" s="2">
        <f t="shared" si="29"/>
        <v>11.17</v>
      </c>
      <c r="K470" s="7">
        <f t="shared" si="30"/>
        <v>45931</v>
      </c>
      <c r="L470" t="str">
        <f t="shared" si="31"/>
        <v>Q4-2025</v>
      </c>
    </row>
    <row r="471" spans="1:12">
      <c r="A471" s="6">
        <v>45960</v>
      </c>
      <c r="B471" t="s">
        <v>16</v>
      </c>
      <c r="C471" t="s">
        <v>17</v>
      </c>
      <c r="D471" s="2">
        <v>1351.010375976562</v>
      </c>
      <c r="E471" s="2">
        <v>1358.745095436946</v>
      </c>
      <c r="F471" s="2">
        <v>1349.9195961737939</v>
      </c>
      <c r="G471" s="2">
        <v>1351.010375976562</v>
      </c>
      <c r="H471" s="3">
        <v>9324401</v>
      </c>
      <c r="I471" s="4">
        <f t="shared" si="28"/>
        <v>-0.08</v>
      </c>
      <c r="J471" s="2">
        <f t="shared" si="29"/>
        <v>7.73</v>
      </c>
      <c r="K471" s="7">
        <f t="shared" si="30"/>
        <v>45931</v>
      </c>
      <c r="L471" t="str">
        <f t="shared" si="31"/>
        <v>Q4-2025</v>
      </c>
    </row>
    <row r="472" spans="1:12">
      <c r="A472" s="6">
        <v>45960</v>
      </c>
      <c r="B472" t="s">
        <v>18</v>
      </c>
      <c r="C472" t="s">
        <v>19</v>
      </c>
      <c r="D472" s="2">
        <v>234.10335279619031</v>
      </c>
      <c r="E472" s="2">
        <v>235.91534772165269</v>
      </c>
      <c r="F472" s="2">
        <v>231.79981262696339</v>
      </c>
      <c r="G472" s="2">
        <v>233.16844177246091</v>
      </c>
      <c r="H472" s="3">
        <v>8344622</v>
      </c>
      <c r="I472" s="4">
        <f t="shared" si="28"/>
        <v>-0.98</v>
      </c>
      <c r="J472" s="2">
        <f t="shared" si="29"/>
        <v>2.75</v>
      </c>
      <c r="K472" s="7">
        <f t="shared" si="30"/>
        <v>45931</v>
      </c>
      <c r="L472" t="str">
        <f t="shared" si="31"/>
        <v>Q4-2025</v>
      </c>
    </row>
    <row r="473" spans="1:12">
      <c r="A473" s="6">
        <v>45960</v>
      </c>
      <c r="B473" t="s">
        <v>20</v>
      </c>
      <c r="C473" t="s">
        <v>21</v>
      </c>
      <c r="D473" s="2">
        <v>1502.1101652795689</v>
      </c>
      <c r="E473" s="2">
        <v>1504.231724299304</v>
      </c>
      <c r="F473" s="2">
        <v>1483.2096558812609</v>
      </c>
      <c r="G473" s="2">
        <v>1494.4921875</v>
      </c>
      <c r="H473" s="3">
        <v>2183395</v>
      </c>
      <c r="I473" s="4">
        <f t="shared" si="28"/>
        <v>-1.26</v>
      </c>
      <c r="J473" s="2">
        <f t="shared" si="29"/>
        <v>9.74</v>
      </c>
      <c r="K473" s="7">
        <f t="shared" si="30"/>
        <v>45931</v>
      </c>
      <c r="L473" t="str">
        <f t="shared" si="31"/>
        <v>Q4-2025</v>
      </c>
    </row>
    <row r="474" spans="1:12">
      <c r="A474" s="6">
        <v>45960</v>
      </c>
      <c r="B474" t="s">
        <v>22</v>
      </c>
      <c r="C474" t="s">
        <v>23</v>
      </c>
      <c r="D474" s="2">
        <v>1056.505427679926</v>
      </c>
      <c r="E474" s="2">
        <v>1060.282259488358</v>
      </c>
      <c r="F474" s="2">
        <v>1038.6154016232581</v>
      </c>
      <c r="G474" s="2">
        <v>1045.870849609375</v>
      </c>
      <c r="H474" s="3">
        <v>4271927</v>
      </c>
      <c r="I474" s="4">
        <f t="shared" si="28"/>
        <v>-1.69</v>
      </c>
      <c r="J474" s="2">
        <f t="shared" si="29"/>
        <v>14.41</v>
      </c>
      <c r="K474" s="7">
        <f t="shared" si="30"/>
        <v>45931</v>
      </c>
      <c r="L474" t="str">
        <f t="shared" si="31"/>
        <v>Q4-2025</v>
      </c>
    </row>
    <row r="475" spans="1:12">
      <c r="A475" s="6">
        <v>45960</v>
      </c>
      <c r="B475" t="s">
        <v>24</v>
      </c>
      <c r="C475" t="s">
        <v>25</v>
      </c>
      <c r="D475" s="2">
        <v>16029.019442909839</v>
      </c>
      <c r="E475" s="2">
        <v>16113.17427012709</v>
      </c>
      <c r="F475" s="2">
        <v>15917.143025550429</v>
      </c>
      <c r="G475" s="2">
        <v>16044.8603515625</v>
      </c>
      <c r="H475" s="3">
        <v>230383</v>
      </c>
      <c r="I475" s="4">
        <f t="shared" si="28"/>
        <v>-0.7</v>
      </c>
      <c r="J475" s="2">
        <f t="shared" si="29"/>
        <v>68.31</v>
      </c>
      <c r="K475" s="7">
        <f t="shared" si="30"/>
        <v>45931</v>
      </c>
      <c r="L475" t="str">
        <f t="shared" si="31"/>
        <v>Q4-2025</v>
      </c>
    </row>
    <row r="476" spans="1:12">
      <c r="A476" s="6">
        <v>45960</v>
      </c>
      <c r="B476" t="s">
        <v>26</v>
      </c>
      <c r="C476" t="s">
        <v>27</v>
      </c>
      <c r="D476" s="2">
        <v>409.30470593121311</v>
      </c>
      <c r="E476" s="2">
        <v>415.55286336930328</v>
      </c>
      <c r="F476" s="2">
        <v>404.74254433734149</v>
      </c>
      <c r="G476" s="2">
        <v>409.0567626953125</v>
      </c>
      <c r="H476" s="3">
        <v>8783965</v>
      </c>
      <c r="I476" s="4">
        <f t="shared" si="28"/>
        <v>-1.1100000000000001</v>
      </c>
      <c r="J476" s="2">
        <f t="shared" si="29"/>
        <v>6.5</v>
      </c>
      <c r="K476" s="7">
        <f t="shared" si="30"/>
        <v>45931</v>
      </c>
      <c r="L476" t="str">
        <f t="shared" si="31"/>
        <v>Q4-2025</v>
      </c>
    </row>
    <row r="477" spans="1:12">
      <c r="A477" s="6">
        <v>45960</v>
      </c>
      <c r="B477" t="s">
        <v>28</v>
      </c>
      <c r="C477" t="s">
        <v>29</v>
      </c>
      <c r="D477" s="2">
        <v>1700.270335688554</v>
      </c>
      <c r="E477" s="2">
        <v>1701.360355391042</v>
      </c>
      <c r="F477" s="2">
        <v>1664.893383952799</v>
      </c>
      <c r="G477" s="2">
        <v>1687.982543945312</v>
      </c>
      <c r="H477" s="3">
        <v>1986233</v>
      </c>
      <c r="I477" s="4">
        <f t="shared" si="28"/>
        <v>-2.08</v>
      </c>
      <c r="J477" s="2">
        <f t="shared" si="29"/>
        <v>13.38</v>
      </c>
      <c r="K477" s="7">
        <f t="shared" si="30"/>
        <v>45931</v>
      </c>
      <c r="L477" t="str">
        <f t="shared" si="31"/>
        <v>Q4-2025</v>
      </c>
    </row>
    <row r="478" spans="1:12">
      <c r="A478" s="6">
        <v>45960</v>
      </c>
      <c r="B478" t="s">
        <v>30</v>
      </c>
      <c r="C478" t="s">
        <v>31</v>
      </c>
      <c r="D478" s="2">
        <v>2509.7742413694091</v>
      </c>
      <c r="E478" s="2">
        <v>2512.9417251102141</v>
      </c>
      <c r="F478" s="2">
        <v>2487.7995359421438</v>
      </c>
      <c r="G478" s="2">
        <v>2497.89599609375</v>
      </c>
      <c r="H478" s="3">
        <v>736486</v>
      </c>
      <c r="I478" s="4">
        <f t="shared" si="28"/>
        <v>-0.88</v>
      </c>
      <c r="J478" s="2">
        <f t="shared" si="29"/>
        <v>15.05</v>
      </c>
      <c r="K478" s="7">
        <f t="shared" si="30"/>
        <v>45931</v>
      </c>
      <c r="L478" t="str">
        <f t="shared" si="31"/>
        <v>Q4-2025</v>
      </c>
    </row>
    <row r="479" spans="1:12">
      <c r="A479" s="6">
        <v>45960</v>
      </c>
      <c r="B479" t="s">
        <v>32</v>
      </c>
      <c r="C479" t="s">
        <v>33</v>
      </c>
      <c r="D479" s="2">
        <v>2446.6842295799652</v>
      </c>
      <c r="E479" s="2">
        <v>2452.5774874593221</v>
      </c>
      <c r="F479" s="2">
        <v>2411.226365420252</v>
      </c>
      <c r="G479" s="2">
        <v>2425.6650390625</v>
      </c>
      <c r="H479" s="3">
        <v>1195631</v>
      </c>
      <c r="I479" s="4">
        <f t="shared" si="28"/>
        <v>-1.45</v>
      </c>
      <c r="J479" s="2">
        <f t="shared" si="29"/>
        <v>26.91</v>
      </c>
      <c r="K479" s="7">
        <f t="shared" si="30"/>
        <v>45931</v>
      </c>
      <c r="L479" t="str">
        <f t="shared" si="31"/>
        <v>Q4-2025</v>
      </c>
    </row>
    <row r="480" spans="1:12">
      <c r="A480" s="6">
        <v>45960</v>
      </c>
      <c r="B480" t="s">
        <v>34</v>
      </c>
      <c r="C480" t="s">
        <v>35</v>
      </c>
      <c r="D480" s="2">
        <v>3941.501989860893</v>
      </c>
      <c r="E480" s="2">
        <v>4023.303107769138</v>
      </c>
      <c r="F480" s="2">
        <v>3937.1446471867521</v>
      </c>
      <c r="G480" s="2">
        <v>3948.929443359375</v>
      </c>
      <c r="H480" s="3">
        <v>4959400</v>
      </c>
      <c r="I480" s="4">
        <f t="shared" si="28"/>
        <v>-0.11</v>
      </c>
      <c r="J480" s="2">
        <f t="shared" si="29"/>
        <v>74.37</v>
      </c>
      <c r="K480" s="7">
        <f t="shared" si="30"/>
        <v>45931</v>
      </c>
      <c r="L480" t="str">
        <f t="shared" si="31"/>
        <v>Q4-2025</v>
      </c>
    </row>
    <row r="481" spans="1:12">
      <c r="A481" s="6">
        <v>45960</v>
      </c>
      <c r="B481" t="s">
        <v>36</v>
      </c>
      <c r="C481" t="s">
        <v>37</v>
      </c>
      <c r="D481" s="2">
        <v>1242.042141558398</v>
      </c>
      <c r="E481" s="2">
        <v>1247.038288547772</v>
      </c>
      <c r="F481" s="2">
        <v>1234.0483063754</v>
      </c>
      <c r="G481" s="2">
        <v>1237.6455078125</v>
      </c>
      <c r="H481" s="3">
        <v>4017532</v>
      </c>
      <c r="I481" s="4">
        <f t="shared" si="28"/>
        <v>-0.64</v>
      </c>
      <c r="J481" s="2">
        <f t="shared" si="29"/>
        <v>9.39</v>
      </c>
      <c r="K481" s="7">
        <f t="shared" si="30"/>
        <v>45931</v>
      </c>
      <c r="L481" t="str">
        <f t="shared" si="31"/>
        <v>Q4-2025</v>
      </c>
    </row>
    <row r="482" spans="1:12">
      <c r="A482" s="6">
        <v>45961</v>
      </c>
      <c r="B482" t="s">
        <v>8</v>
      </c>
      <c r="C482" t="s">
        <v>9</v>
      </c>
      <c r="D482" s="2">
        <v>1483.540795005222</v>
      </c>
      <c r="E482" s="2">
        <v>1490.608094557515</v>
      </c>
      <c r="F482" s="2">
        <v>1475.4780977270141</v>
      </c>
      <c r="G482" s="2">
        <v>1479.559204101562</v>
      </c>
      <c r="H482" s="3">
        <v>8758053</v>
      </c>
      <c r="I482" s="4">
        <f t="shared" si="28"/>
        <v>-0.54</v>
      </c>
      <c r="J482" s="2">
        <f t="shared" si="29"/>
        <v>11.05</v>
      </c>
      <c r="K482" s="7">
        <f t="shared" si="30"/>
        <v>45931</v>
      </c>
      <c r="L482" t="str">
        <f t="shared" si="31"/>
        <v>Q4-2025</v>
      </c>
    </row>
    <row r="483" spans="1:12">
      <c r="A483" s="6">
        <v>45961</v>
      </c>
      <c r="B483" t="s">
        <v>10</v>
      </c>
      <c r="C483" t="s">
        <v>11</v>
      </c>
      <c r="D483" s="2">
        <v>2924.8985854374032</v>
      </c>
      <c r="E483" s="2">
        <v>2956.123108842196</v>
      </c>
      <c r="F483" s="2">
        <v>2915.3578241981272</v>
      </c>
      <c r="G483" s="2">
        <v>2947.064208984375</v>
      </c>
      <c r="H483" s="3">
        <v>1868085</v>
      </c>
      <c r="I483" s="4">
        <f t="shared" si="28"/>
        <v>-0.33</v>
      </c>
      <c r="J483" s="2">
        <f t="shared" si="29"/>
        <v>9.06</v>
      </c>
      <c r="K483" s="7">
        <f t="shared" si="30"/>
        <v>45931</v>
      </c>
      <c r="L483" t="str">
        <f t="shared" si="31"/>
        <v>Q4-2025</v>
      </c>
    </row>
    <row r="484" spans="1:12">
      <c r="A484" s="6">
        <v>45961</v>
      </c>
      <c r="B484" t="s">
        <v>12</v>
      </c>
      <c r="C484" t="s">
        <v>13</v>
      </c>
      <c r="D484" s="2">
        <v>1458.4403008415879</v>
      </c>
      <c r="E484" s="2">
        <v>1465.3898918009991</v>
      </c>
      <c r="F484" s="2">
        <v>1449.337236404855</v>
      </c>
      <c r="G484" s="2">
        <v>1450.903442382812</v>
      </c>
      <c r="H484" s="3">
        <v>4819814</v>
      </c>
      <c r="I484" s="4">
        <f t="shared" si="28"/>
        <v>-0.62</v>
      </c>
      <c r="J484" s="2">
        <f t="shared" si="29"/>
        <v>14.49</v>
      </c>
      <c r="K484" s="7">
        <f t="shared" si="30"/>
        <v>45931</v>
      </c>
      <c r="L484" t="str">
        <f t="shared" si="31"/>
        <v>Q4-2025</v>
      </c>
    </row>
    <row r="485" spans="1:12">
      <c r="A485" s="6">
        <v>45961</v>
      </c>
      <c r="B485" t="s">
        <v>14</v>
      </c>
      <c r="C485" t="s">
        <v>15</v>
      </c>
      <c r="D485" s="2">
        <v>977.82726772376452</v>
      </c>
      <c r="E485" s="2">
        <v>988.10725452867541</v>
      </c>
      <c r="F485" s="2">
        <v>965.18636579467568</v>
      </c>
      <c r="G485" s="2">
        <v>971.23626708984375</v>
      </c>
      <c r="H485" s="3">
        <v>23221330</v>
      </c>
      <c r="I485" s="4">
        <f t="shared" si="28"/>
        <v>-1.29</v>
      </c>
      <c r="J485" s="2">
        <f t="shared" si="29"/>
        <v>16.87</v>
      </c>
      <c r="K485" s="7">
        <f t="shared" si="30"/>
        <v>45931</v>
      </c>
      <c r="L485" t="str">
        <f t="shared" si="31"/>
        <v>Q4-2025</v>
      </c>
    </row>
    <row r="486" spans="1:12">
      <c r="A486" s="6">
        <v>45961</v>
      </c>
      <c r="B486" t="s">
        <v>16</v>
      </c>
      <c r="C486" t="s">
        <v>17</v>
      </c>
      <c r="D486" s="2">
        <v>1345.6554843440949</v>
      </c>
      <c r="E486" s="2">
        <v>1350.6136843601009</v>
      </c>
      <c r="F486" s="2">
        <v>1332.07006472016</v>
      </c>
      <c r="G486" s="2">
        <v>1334.053344726562</v>
      </c>
      <c r="H486" s="3">
        <v>15926798</v>
      </c>
      <c r="I486" s="4">
        <f t="shared" si="28"/>
        <v>-1.01</v>
      </c>
      <c r="J486" s="2">
        <f t="shared" si="29"/>
        <v>16.559999999999999</v>
      </c>
      <c r="K486" s="7">
        <f t="shared" si="30"/>
        <v>45931</v>
      </c>
      <c r="L486" t="str">
        <f t="shared" si="31"/>
        <v>Q4-2025</v>
      </c>
    </row>
    <row r="487" spans="1:12">
      <c r="A487" s="6">
        <v>45961</v>
      </c>
      <c r="B487" t="s">
        <v>18</v>
      </c>
      <c r="C487" t="s">
        <v>19</v>
      </c>
      <c r="D487" s="2">
        <v>233.3515786248974</v>
      </c>
      <c r="E487" s="2">
        <v>234.39251097613879</v>
      </c>
      <c r="F487" s="2">
        <v>231.79982040315741</v>
      </c>
      <c r="G487" s="2">
        <v>231.96366882324219</v>
      </c>
      <c r="H487" s="3">
        <v>5659566</v>
      </c>
      <c r="I487" s="4">
        <f t="shared" si="28"/>
        <v>-0.66</v>
      </c>
      <c r="J487" s="2">
        <f t="shared" si="29"/>
        <v>2.4300000000000002</v>
      </c>
      <c r="K487" s="7">
        <f t="shared" si="30"/>
        <v>45931</v>
      </c>
      <c r="L487" t="str">
        <f t="shared" si="31"/>
        <v>Q4-2025</v>
      </c>
    </row>
    <row r="488" spans="1:12">
      <c r="A488" s="6">
        <v>45961</v>
      </c>
      <c r="B488" t="s">
        <v>20</v>
      </c>
      <c r="C488" t="s">
        <v>21</v>
      </c>
      <c r="D488" s="2">
        <v>1494.492247841883</v>
      </c>
      <c r="E488" s="2">
        <v>1502.5923824010829</v>
      </c>
      <c r="F488" s="2">
        <v>1482.7275592955509</v>
      </c>
      <c r="G488" s="2">
        <v>1486.488403320312</v>
      </c>
      <c r="H488" s="3">
        <v>1723467</v>
      </c>
      <c r="I488" s="4">
        <f t="shared" si="28"/>
        <v>-0.79</v>
      </c>
      <c r="J488" s="2">
        <f t="shared" si="29"/>
        <v>16.100000000000001</v>
      </c>
      <c r="K488" s="7">
        <f t="shared" si="30"/>
        <v>45931</v>
      </c>
      <c r="L488" t="str">
        <f t="shared" si="31"/>
        <v>Q4-2025</v>
      </c>
    </row>
    <row r="489" spans="1:12">
      <c r="A489" s="6">
        <v>45961</v>
      </c>
      <c r="B489" t="s">
        <v>22</v>
      </c>
      <c r="C489" t="s">
        <v>23</v>
      </c>
      <c r="D489" s="2">
        <v>1045.5726982056319</v>
      </c>
      <c r="E489" s="2">
        <v>1062.916037112793</v>
      </c>
      <c r="F489" s="2">
        <v>1035.037484256675</v>
      </c>
      <c r="G489" s="2">
        <v>1036.428955078125</v>
      </c>
      <c r="H489" s="3">
        <v>5315632</v>
      </c>
      <c r="I489" s="4">
        <f t="shared" si="28"/>
        <v>-1.01</v>
      </c>
      <c r="J489" s="2">
        <f t="shared" si="29"/>
        <v>26.49</v>
      </c>
      <c r="K489" s="7">
        <f t="shared" si="30"/>
        <v>45931</v>
      </c>
      <c r="L489" t="str">
        <f t="shared" si="31"/>
        <v>Q4-2025</v>
      </c>
    </row>
    <row r="490" spans="1:12">
      <c r="A490" s="6">
        <v>45961</v>
      </c>
      <c r="B490" t="s">
        <v>24</v>
      </c>
      <c r="C490" t="s">
        <v>25</v>
      </c>
      <c r="D490" s="2">
        <v>16042.880592941039</v>
      </c>
      <c r="E490" s="2">
        <v>16351.778318502489</v>
      </c>
      <c r="F490" s="2">
        <v>15790.416105703331</v>
      </c>
      <c r="G490" s="2">
        <v>16025.0595703125</v>
      </c>
      <c r="H490" s="3">
        <v>719402</v>
      </c>
      <c r="I490" s="4">
        <f t="shared" si="28"/>
        <v>-1.57</v>
      </c>
      <c r="J490" s="2">
        <f t="shared" si="29"/>
        <v>326.72000000000003</v>
      </c>
      <c r="K490" s="7">
        <f t="shared" si="30"/>
        <v>45931</v>
      </c>
      <c r="L490" t="str">
        <f t="shared" si="31"/>
        <v>Q4-2025</v>
      </c>
    </row>
    <row r="491" spans="1:12">
      <c r="A491" s="6">
        <v>45961</v>
      </c>
      <c r="B491" t="s">
        <v>26</v>
      </c>
      <c r="C491" t="s">
        <v>27</v>
      </c>
      <c r="D491" s="2">
        <v>410.64359107779381</v>
      </c>
      <c r="E491" s="2">
        <v>414.06521997219181</v>
      </c>
      <c r="F491" s="2">
        <v>405.68472616794719</v>
      </c>
      <c r="G491" s="2">
        <v>406.62692260742188</v>
      </c>
      <c r="H491" s="3">
        <v>8012169</v>
      </c>
      <c r="I491" s="4">
        <f t="shared" si="28"/>
        <v>-1.21</v>
      </c>
      <c r="J491" s="2">
        <f t="shared" si="29"/>
        <v>7.44</v>
      </c>
      <c r="K491" s="7">
        <f t="shared" si="30"/>
        <v>45931</v>
      </c>
      <c r="L491" t="str">
        <f t="shared" si="31"/>
        <v>Q4-2025</v>
      </c>
    </row>
    <row r="492" spans="1:12">
      <c r="A492" s="6">
        <v>45961</v>
      </c>
      <c r="B492" t="s">
        <v>28</v>
      </c>
      <c r="C492" t="s">
        <v>29</v>
      </c>
      <c r="D492" s="2">
        <v>1684.613335216337</v>
      </c>
      <c r="E492" s="2">
        <v>1689.5680803199141</v>
      </c>
      <c r="F492" s="2">
        <v>1671.5328565290749</v>
      </c>
      <c r="G492" s="2">
        <v>1675.3974609375</v>
      </c>
      <c r="H492" s="3">
        <v>1560918</v>
      </c>
      <c r="I492" s="4">
        <f t="shared" si="28"/>
        <v>-0.78</v>
      </c>
      <c r="J492" s="2">
        <f t="shared" si="29"/>
        <v>14.17</v>
      </c>
      <c r="K492" s="7">
        <f t="shared" si="30"/>
        <v>45931</v>
      </c>
      <c r="L492" t="str">
        <f t="shared" si="31"/>
        <v>Q4-2025</v>
      </c>
    </row>
    <row r="493" spans="1:12">
      <c r="A493" s="6">
        <v>45961</v>
      </c>
      <c r="B493" t="s">
        <v>30</v>
      </c>
      <c r="C493" t="s">
        <v>31</v>
      </c>
      <c r="D493" s="2">
        <v>2497.7967185966359</v>
      </c>
      <c r="E493" s="2">
        <v>2504.3298496524339</v>
      </c>
      <c r="F493" s="2">
        <v>2479.8805117059192</v>
      </c>
      <c r="G493" s="2">
        <v>2485.32470703125</v>
      </c>
      <c r="H493" s="3">
        <v>609128</v>
      </c>
      <c r="I493" s="4">
        <f t="shared" si="28"/>
        <v>-0.72</v>
      </c>
      <c r="J493" s="2">
        <f t="shared" si="29"/>
        <v>19.010000000000002</v>
      </c>
      <c r="K493" s="7">
        <f t="shared" si="30"/>
        <v>45931</v>
      </c>
      <c r="L493" t="str">
        <f t="shared" si="31"/>
        <v>Q4-2025</v>
      </c>
    </row>
    <row r="494" spans="1:12">
      <c r="A494" s="6">
        <v>45961</v>
      </c>
      <c r="B494" t="s">
        <v>32</v>
      </c>
      <c r="C494" t="s">
        <v>33</v>
      </c>
      <c r="D494" s="2">
        <v>2425.0756732953819</v>
      </c>
      <c r="E494" s="2">
        <v>2435.3888748221548</v>
      </c>
      <c r="F494" s="2">
        <v>2409.2620017020849</v>
      </c>
      <c r="G494" s="2">
        <v>2421.637939453125</v>
      </c>
      <c r="H494" s="3">
        <v>1401937</v>
      </c>
      <c r="I494" s="4">
        <f t="shared" si="28"/>
        <v>-0.65</v>
      </c>
      <c r="J494" s="2">
        <f t="shared" si="29"/>
        <v>13.75</v>
      </c>
      <c r="K494" s="7">
        <f t="shared" si="30"/>
        <v>45931</v>
      </c>
      <c r="L494" t="str">
        <f t="shared" si="31"/>
        <v>Q4-2025</v>
      </c>
    </row>
    <row r="495" spans="1:12">
      <c r="A495" s="6">
        <v>45961</v>
      </c>
      <c r="B495" t="s">
        <v>34</v>
      </c>
      <c r="C495" t="s">
        <v>35</v>
      </c>
      <c r="D495" s="2">
        <v>3962.397869574173</v>
      </c>
      <c r="E495" s="2">
        <v>4006.7643303770592</v>
      </c>
      <c r="F495" s="2">
        <v>3941.6998880485448</v>
      </c>
      <c r="G495" s="2">
        <v>3991.909423828125</v>
      </c>
      <c r="H495" s="3">
        <v>2328183</v>
      </c>
      <c r="I495" s="4">
        <f t="shared" si="28"/>
        <v>-0.52</v>
      </c>
      <c r="J495" s="2">
        <f t="shared" si="29"/>
        <v>14.85</v>
      </c>
      <c r="K495" s="7">
        <f t="shared" si="30"/>
        <v>45931</v>
      </c>
      <c r="L495" t="str">
        <f t="shared" si="31"/>
        <v>Q4-2025</v>
      </c>
    </row>
    <row r="496" spans="1:12">
      <c r="A496" s="6">
        <v>45961</v>
      </c>
      <c r="B496" t="s">
        <v>36</v>
      </c>
      <c r="C496" t="s">
        <v>37</v>
      </c>
      <c r="D496" s="2">
        <v>1242.042066034016</v>
      </c>
      <c r="E496" s="2">
        <v>1244.4402408383401</v>
      </c>
      <c r="F496" s="2">
        <v>1230.051313988635</v>
      </c>
      <c r="G496" s="2">
        <v>1231.849975585938</v>
      </c>
      <c r="H496" s="3">
        <v>4106607</v>
      </c>
      <c r="I496" s="4">
        <f t="shared" si="28"/>
        <v>-0.97</v>
      </c>
      <c r="J496" s="2">
        <f t="shared" si="29"/>
        <v>12.59</v>
      </c>
      <c r="K496" s="7">
        <f t="shared" si="30"/>
        <v>45931</v>
      </c>
      <c r="L496" t="str">
        <f t="shared" si="31"/>
        <v>Q4-2025</v>
      </c>
    </row>
    <row r="497" spans="1:12">
      <c r="A497" s="6">
        <v>45964</v>
      </c>
      <c r="B497" t="s">
        <v>8</v>
      </c>
      <c r="C497" t="s">
        <v>9</v>
      </c>
      <c r="D497" s="2">
        <v>1479.161008996221</v>
      </c>
      <c r="E497" s="2">
        <v>1488.1195884585129</v>
      </c>
      <c r="F497" s="2">
        <v>1472.491892888808</v>
      </c>
      <c r="G497" s="2">
        <v>1477.866943359375</v>
      </c>
      <c r="H497" s="3">
        <v>8452085</v>
      </c>
      <c r="I497" s="4">
        <f t="shared" si="28"/>
        <v>-0.45</v>
      </c>
      <c r="J497" s="2">
        <f t="shared" si="29"/>
        <v>10.25</v>
      </c>
      <c r="K497" s="7">
        <f t="shared" si="30"/>
        <v>45962</v>
      </c>
      <c r="L497" t="str">
        <f t="shared" si="31"/>
        <v>Q4-2025</v>
      </c>
    </row>
    <row r="498" spans="1:12">
      <c r="A498" s="6">
        <v>45964</v>
      </c>
      <c r="B498" t="s">
        <v>10</v>
      </c>
      <c r="C498" t="s">
        <v>11</v>
      </c>
      <c r="D498" s="2">
        <v>2936.3668007969732</v>
      </c>
      <c r="E498" s="2">
        <v>2947.064217610156</v>
      </c>
      <c r="F498" s="2">
        <v>2900.8055248549931</v>
      </c>
      <c r="G498" s="2">
        <v>2907.35888671875</v>
      </c>
      <c r="H498" s="3">
        <v>2194877</v>
      </c>
      <c r="I498" s="4">
        <f t="shared" si="28"/>
        <v>-1.21</v>
      </c>
      <c r="J498" s="2">
        <f t="shared" si="29"/>
        <v>39.71</v>
      </c>
      <c r="K498" s="7">
        <f t="shared" si="30"/>
        <v>45962</v>
      </c>
      <c r="L498" t="str">
        <f t="shared" si="31"/>
        <v>Q4-2025</v>
      </c>
    </row>
    <row r="499" spans="1:12">
      <c r="A499" s="6">
        <v>45964</v>
      </c>
      <c r="B499" t="s">
        <v>12</v>
      </c>
      <c r="C499" t="s">
        <v>13</v>
      </c>
      <c r="D499" s="2">
        <v>1450.903349674639</v>
      </c>
      <c r="E499" s="2">
        <v>1459.810578052613</v>
      </c>
      <c r="F499" s="2">
        <v>1442.9748207432419</v>
      </c>
      <c r="G499" s="2">
        <v>1454.035522460938</v>
      </c>
      <c r="H499" s="3">
        <v>5470600</v>
      </c>
      <c r="I499" s="4">
        <f t="shared" si="28"/>
        <v>-0.55000000000000004</v>
      </c>
      <c r="J499" s="2">
        <f t="shared" si="29"/>
        <v>5.78</v>
      </c>
      <c r="K499" s="7">
        <f t="shared" si="30"/>
        <v>45962</v>
      </c>
      <c r="L499" t="str">
        <f t="shared" si="31"/>
        <v>Q4-2025</v>
      </c>
    </row>
    <row r="500" spans="1:12">
      <c r="A500" s="6">
        <v>45964</v>
      </c>
      <c r="B500" t="s">
        <v>14</v>
      </c>
      <c r="C500" t="s">
        <v>15</v>
      </c>
      <c r="D500" s="2">
        <v>968.9737116887809</v>
      </c>
      <c r="E500" s="2">
        <v>978.36831790028907</v>
      </c>
      <c r="F500" s="2">
        <v>967.30135926424964</v>
      </c>
      <c r="G500" s="2">
        <v>976.499267578125</v>
      </c>
      <c r="H500" s="3">
        <v>16607180</v>
      </c>
      <c r="I500" s="4">
        <f t="shared" si="28"/>
        <v>-0.17</v>
      </c>
      <c r="J500" s="2">
        <f t="shared" si="29"/>
        <v>1.87</v>
      </c>
      <c r="K500" s="7">
        <f t="shared" si="30"/>
        <v>45962</v>
      </c>
      <c r="L500" t="str">
        <f t="shared" si="31"/>
        <v>Q4-2025</v>
      </c>
    </row>
    <row r="501" spans="1:12">
      <c r="A501" s="6">
        <v>45964</v>
      </c>
      <c r="B501" t="s">
        <v>16</v>
      </c>
      <c r="C501" t="s">
        <v>17</v>
      </c>
      <c r="D501" s="2">
        <v>1329.293343097266</v>
      </c>
      <c r="E501" s="2">
        <v>1340.3005222505139</v>
      </c>
      <c r="F501" s="2">
        <v>1326.715103456384</v>
      </c>
      <c r="G501" s="2">
        <v>1335.14404296875</v>
      </c>
      <c r="H501" s="3">
        <v>11071450</v>
      </c>
      <c r="I501" s="4">
        <f t="shared" si="28"/>
        <v>-0.19</v>
      </c>
      <c r="J501" s="2">
        <f t="shared" si="29"/>
        <v>5.16</v>
      </c>
      <c r="K501" s="7">
        <f t="shared" si="30"/>
        <v>45962</v>
      </c>
      <c r="L501" t="str">
        <f t="shared" si="31"/>
        <v>Q4-2025</v>
      </c>
    </row>
    <row r="502" spans="1:12">
      <c r="A502" s="6">
        <v>45964</v>
      </c>
      <c r="B502" t="s">
        <v>18</v>
      </c>
      <c r="C502" t="s">
        <v>19</v>
      </c>
      <c r="D502" s="2">
        <v>231.9636836356257</v>
      </c>
      <c r="E502" s="2">
        <v>232.56125023018711</v>
      </c>
      <c r="F502" s="2">
        <v>230.83601052647069</v>
      </c>
      <c r="G502" s="2">
        <v>231.7998352050781</v>
      </c>
      <c r="H502" s="3">
        <v>4902693</v>
      </c>
      <c r="I502" s="4">
        <f t="shared" si="28"/>
        <v>-0.49</v>
      </c>
      <c r="J502" s="2">
        <f t="shared" si="29"/>
        <v>0.76</v>
      </c>
      <c r="K502" s="7">
        <f t="shared" si="30"/>
        <v>45962</v>
      </c>
      <c r="L502" t="str">
        <f t="shared" si="31"/>
        <v>Q4-2025</v>
      </c>
    </row>
    <row r="503" spans="1:12">
      <c r="A503" s="6">
        <v>45964</v>
      </c>
      <c r="B503" t="s">
        <v>20</v>
      </c>
      <c r="C503" t="s">
        <v>21</v>
      </c>
      <c r="D503" s="2">
        <v>1485.1381829149191</v>
      </c>
      <c r="E503" s="2">
        <v>1494.3955626459349</v>
      </c>
      <c r="F503" s="2">
        <v>1473.662836563966</v>
      </c>
      <c r="G503" s="2">
        <v>1488.416870117188</v>
      </c>
      <c r="H503" s="3">
        <v>2252136</v>
      </c>
      <c r="I503" s="4">
        <f t="shared" si="28"/>
        <v>-0.77</v>
      </c>
      <c r="J503" s="2">
        <f t="shared" si="29"/>
        <v>5.98</v>
      </c>
      <c r="K503" s="7">
        <f t="shared" si="30"/>
        <v>45962</v>
      </c>
      <c r="L503" t="str">
        <f t="shared" si="31"/>
        <v>Q4-2025</v>
      </c>
    </row>
    <row r="504" spans="1:12">
      <c r="A504" s="6">
        <v>45964</v>
      </c>
      <c r="B504" t="s">
        <v>22</v>
      </c>
      <c r="C504" t="s">
        <v>23</v>
      </c>
      <c r="D504" s="2">
        <v>1030.664343613134</v>
      </c>
      <c r="E504" s="2">
        <v>1041.597138000544</v>
      </c>
      <c r="F504" s="2">
        <v>1024.701001220001</v>
      </c>
      <c r="G504" s="2">
        <v>1036.72705078125</v>
      </c>
      <c r="H504" s="3">
        <v>4135617</v>
      </c>
      <c r="I504" s="4">
        <f t="shared" si="28"/>
        <v>-0.57999999999999996</v>
      </c>
      <c r="J504" s="2">
        <f t="shared" si="29"/>
        <v>4.87</v>
      </c>
      <c r="K504" s="7">
        <f t="shared" si="30"/>
        <v>45962</v>
      </c>
      <c r="L504" t="str">
        <f t="shared" si="31"/>
        <v>Q4-2025</v>
      </c>
    </row>
    <row r="505" spans="1:12">
      <c r="A505" s="6">
        <v>45964</v>
      </c>
      <c r="B505" t="s">
        <v>24</v>
      </c>
      <c r="C505" t="s">
        <v>25</v>
      </c>
      <c r="D505" s="2">
        <v>15856.749636604691</v>
      </c>
      <c r="E505" s="2">
        <v>15939.91440742604</v>
      </c>
      <c r="F505" s="2">
        <v>15375.58203399543</v>
      </c>
      <c r="G505" s="2">
        <v>15495.37890625</v>
      </c>
      <c r="H505" s="3">
        <v>942850</v>
      </c>
      <c r="I505" s="4">
        <f t="shared" si="28"/>
        <v>-3.03</v>
      </c>
      <c r="J505" s="2">
        <f t="shared" si="29"/>
        <v>444.54</v>
      </c>
      <c r="K505" s="7">
        <f t="shared" si="30"/>
        <v>45962</v>
      </c>
      <c r="L505" t="str">
        <f t="shared" si="31"/>
        <v>Q4-2025</v>
      </c>
    </row>
    <row r="506" spans="1:12">
      <c r="A506" s="6">
        <v>45964</v>
      </c>
      <c r="B506" t="s">
        <v>26</v>
      </c>
      <c r="C506" t="s">
        <v>27</v>
      </c>
      <c r="D506" s="2">
        <v>410.59398667589369</v>
      </c>
      <c r="E506" s="2">
        <v>414.41231845069802</v>
      </c>
      <c r="F506" s="2">
        <v>406.72607836195851</v>
      </c>
      <c r="G506" s="2">
        <v>413.56930541992188</v>
      </c>
      <c r="H506" s="3">
        <v>8952229</v>
      </c>
      <c r="I506" s="4">
        <f t="shared" si="28"/>
        <v>-0.94</v>
      </c>
      <c r="J506" s="2">
        <f t="shared" si="29"/>
        <v>0.84</v>
      </c>
      <c r="K506" s="7">
        <f t="shared" si="30"/>
        <v>45962</v>
      </c>
      <c r="L506" t="str">
        <f t="shared" si="31"/>
        <v>Q4-2025</v>
      </c>
    </row>
    <row r="507" spans="1:12">
      <c r="A507" s="6">
        <v>45964</v>
      </c>
      <c r="B507" t="s">
        <v>28</v>
      </c>
      <c r="C507" t="s">
        <v>29</v>
      </c>
      <c r="D507" s="2">
        <v>1672.92009946025</v>
      </c>
      <c r="E507" s="2">
        <v>1697.2975423035921</v>
      </c>
      <c r="F507" s="2">
        <v>1665.983456269322</v>
      </c>
      <c r="G507" s="2">
        <v>1690.955444335938</v>
      </c>
      <c r="H507" s="3">
        <v>1099955</v>
      </c>
      <c r="I507" s="4">
        <f t="shared" si="28"/>
        <v>-0.41</v>
      </c>
      <c r="J507" s="2">
        <f t="shared" si="29"/>
        <v>6.34</v>
      </c>
      <c r="K507" s="7">
        <f t="shared" si="30"/>
        <v>45962</v>
      </c>
      <c r="L507" t="str">
        <f t="shared" si="31"/>
        <v>Q4-2025</v>
      </c>
    </row>
    <row r="508" spans="1:12">
      <c r="A508" s="6">
        <v>45964</v>
      </c>
      <c r="B508" t="s">
        <v>30</v>
      </c>
      <c r="C508" t="s">
        <v>31</v>
      </c>
      <c r="D508" s="2">
        <v>2470.8730323980371</v>
      </c>
      <c r="E508" s="2">
        <v>2489.7793368360449</v>
      </c>
      <c r="F508" s="2">
        <v>2469.685256158642</v>
      </c>
      <c r="G508" s="2">
        <v>2486.710693359375</v>
      </c>
      <c r="H508" s="3">
        <v>425210</v>
      </c>
      <c r="I508" s="4">
        <f t="shared" si="28"/>
        <v>-0.05</v>
      </c>
      <c r="J508" s="2">
        <f t="shared" si="29"/>
        <v>3.07</v>
      </c>
      <c r="K508" s="7">
        <f t="shared" si="30"/>
        <v>45962</v>
      </c>
      <c r="L508" t="str">
        <f t="shared" si="31"/>
        <v>Q4-2025</v>
      </c>
    </row>
    <row r="509" spans="1:12">
      <c r="A509" s="6">
        <v>45964</v>
      </c>
      <c r="B509" t="s">
        <v>32</v>
      </c>
      <c r="C509" t="s">
        <v>33</v>
      </c>
      <c r="D509" s="2">
        <v>2412.4053179677908</v>
      </c>
      <c r="E509" s="2">
        <v>2430.870668320636</v>
      </c>
      <c r="F509" s="2">
        <v>2396.8863568906381</v>
      </c>
      <c r="G509" s="2">
        <v>2416.23583984375</v>
      </c>
      <c r="H509" s="3">
        <v>1049185</v>
      </c>
      <c r="I509" s="4">
        <f t="shared" si="28"/>
        <v>-0.64</v>
      </c>
      <c r="J509" s="2">
        <f t="shared" si="29"/>
        <v>14.63</v>
      </c>
      <c r="K509" s="7">
        <f t="shared" si="30"/>
        <v>45962</v>
      </c>
      <c r="L509" t="str">
        <f t="shared" si="31"/>
        <v>Q4-2025</v>
      </c>
    </row>
    <row r="510" spans="1:12">
      <c r="A510" s="6">
        <v>45964</v>
      </c>
      <c r="B510" t="s">
        <v>34</v>
      </c>
      <c r="C510" t="s">
        <v>35</v>
      </c>
      <c r="D510" s="2">
        <v>3991.018262368892</v>
      </c>
      <c r="E510" s="2">
        <v>4001.9118606036459</v>
      </c>
      <c r="F510" s="2">
        <v>3936.4511417722661</v>
      </c>
      <c r="G510" s="2">
        <v>3941.9970703125</v>
      </c>
      <c r="H510" s="3">
        <v>1154072</v>
      </c>
      <c r="I510" s="4">
        <f t="shared" si="28"/>
        <v>-1.37</v>
      </c>
      <c r="J510" s="2">
        <f t="shared" si="29"/>
        <v>59.91</v>
      </c>
      <c r="K510" s="7">
        <f t="shared" si="30"/>
        <v>45962</v>
      </c>
      <c r="L510" t="str">
        <f t="shared" si="31"/>
        <v>Q4-2025</v>
      </c>
    </row>
    <row r="511" spans="1:12">
      <c r="A511" s="6">
        <v>45964</v>
      </c>
      <c r="B511" t="s">
        <v>36</v>
      </c>
      <c r="C511" t="s">
        <v>37</v>
      </c>
      <c r="D511" s="2">
        <v>1225.055249953743</v>
      </c>
      <c r="E511" s="2">
        <v>1240.043691021692</v>
      </c>
      <c r="F511" s="2">
        <v>1221.3581499474799</v>
      </c>
      <c r="G511" s="2">
        <v>1232.749267578125</v>
      </c>
      <c r="H511" s="3">
        <v>6118907</v>
      </c>
      <c r="I511" s="4">
        <f t="shared" si="28"/>
        <v>-0.3</v>
      </c>
      <c r="J511" s="2">
        <f t="shared" si="29"/>
        <v>7.29</v>
      </c>
      <c r="K511" s="7">
        <f t="shared" si="30"/>
        <v>45962</v>
      </c>
      <c r="L511" t="str">
        <f t="shared" si="31"/>
        <v>Q4-2025</v>
      </c>
    </row>
    <row r="512" spans="1:12">
      <c r="A512" s="6">
        <v>45965</v>
      </c>
      <c r="B512" t="s">
        <v>8</v>
      </c>
      <c r="C512" t="s">
        <v>9</v>
      </c>
      <c r="D512" s="2">
        <v>1477.07065615293</v>
      </c>
      <c r="E512" s="2">
        <v>1485.929719893594</v>
      </c>
      <c r="F512" s="2">
        <v>1463.334119430687</v>
      </c>
      <c r="G512" s="2">
        <v>1466.3203125</v>
      </c>
      <c r="H512" s="3">
        <v>10007806</v>
      </c>
      <c r="I512" s="4">
        <f t="shared" si="28"/>
        <v>-0.93</v>
      </c>
      <c r="J512" s="2">
        <f t="shared" si="29"/>
        <v>19.61</v>
      </c>
      <c r="K512" s="7">
        <f t="shared" si="30"/>
        <v>45962</v>
      </c>
      <c r="L512" t="str">
        <f t="shared" si="31"/>
        <v>Q4-2025</v>
      </c>
    </row>
    <row r="513" spans="1:12">
      <c r="A513" s="6">
        <v>45965</v>
      </c>
      <c r="B513" t="s">
        <v>10</v>
      </c>
      <c r="C513" t="s">
        <v>11</v>
      </c>
      <c r="D513" s="2">
        <v>2910.0574685167062</v>
      </c>
      <c r="E513" s="2">
        <v>2919.4055326440948</v>
      </c>
      <c r="F513" s="2">
        <v>2868.0390602145239</v>
      </c>
      <c r="G513" s="2">
        <v>2881.723876953125</v>
      </c>
      <c r="H513" s="3">
        <v>2670720</v>
      </c>
      <c r="I513" s="4">
        <f t="shared" si="28"/>
        <v>-1.44</v>
      </c>
      <c r="J513" s="2">
        <f t="shared" si="29"/>
        <v>37.68</v>
      </c>
      <c r="K513" s="7">
        <f t="shared" si="30"/>
        <v>45962</v>
      </c>
      <c r="L513" t="str">
        <f t="shared" si="31"/>
        <v>Q4-2025</v>
      </c>
    </row>
    <row r="514" spans="1:12">
      <c r="A514" s="6">
        <v>45965</v>
      </c>
      <c r="B514" t="s">
        <v>12</v>
      </c>
      <c r="C514" t="s">
        <v>13</v>
      </c>
      <c r="D514" s="2">
        <v>1448.358341440168</v>
      </c>
      <c r="E514" s="2">
        <v>1450.511814804534</v>
      </c>
      <c r="F514" s="2">
        <v>1431.914254896818</v>
      </c>
      <c r="G514" s="2">
        <v>1436.808349609375</v>
      </c>
      <c r="H514" s="3">
        <v>8691330</v>
      </c>
      <c r="I514" s="4">
        <f t="shared" ref="I514:I577" si="32">ROUND(((F514-D514)/D514)*100, 2)</f>
        <v>-1.1399999999999999</v>
      </c>
      <c r="J514" s="2">
        <f t="shared" ref="J514:J577" si="33">ROUND(E514-G514, 2)</f>
        <v>13.7</v>
      </c>
      <c r="K514" s="7">
        <f t="shared" ref="K514:K577" si="34">DATE(YEAR(A514),MONTH(A514),1)</f>
        <v>45962</v>
      </c>
      <c r="L514" t="str">
        <f t="shared" ref="L514:L577" si="35">"Q"&amp;INT((MONTH(A514)-1)/3)+1&amp;"-"&amp;YEAR(A514)</f>
        <v>Q4-2025</v>
      </c>
    </row>
    <row r="515" spans="1:12">
      <c r="A515" s="6">
        <v>45965</v>
      </c>
      <c r="B515" t="s">
        <v>14</v>
      </c>
      <c r="C515" t="s">
        <v>15</v>
      </c>
      <c r="D515" s="2">
        <v>970.94119246433729</v>
      </c>
      <c r="E515" s="2">
        <v>980.77848924715727</v>
      </c>
      <c r="F515" s="2">
        <v>967.69489653442554</v>
      </c>
      <c r="G515" s="2">
        <v>969.21966552734375</v>
      </c>
      <c r="H515" s="3">
        <v>20024544</v>
      </c>
      <c r="I515" s="4">
        <f t="shared" si="32"/>
        <v>-0.33</v>
      </c>
      <c r="J515" s="2">
        <f t="shared" si="33"/>
        <v>11.56</v>
      </c>
      <c r="K515" s="7">
        <f t="shared" si="34"/>
        <v>45962</v>
      </c>
      <c r="L515" t="str">
        <f t="shared" si="35"/>
        <v>Q4-2025</v>
      </c>
    </row>
    <row r="516" spans="1:12">
      <c r="A516" s="6">
        <v>45965</v>
      </c>
      <c r="B516" t="s">
        <v>16</v>
      </c>
      <c r="C516" t="s">
        <v>17</v>
      </c>
      <c r="D516" s="2">
        <v>1331.375810196628</v>
      </c>
      <c r="E516" s="2">
        <v>1338.515690667808</v>
      </c>
      <c r="F516" s="2">
        <v>1322.0543701938609</v>
      </c>
      <c r="G516" s="2">
        <v>1325.723510742188</v>
      </c>
      <c r="H516" s="3">
        <v>15211183</v>
      </c>
      <c r="I516" s="4">
        <f t="shared" si="32"/>
        <v>-0.7</v>
      </c>
      <c r="J516" s="2">
        <f t="shared" si="33"/>
        <v>12.79</v>
      </c>
      <c r="K516" s="7">
        <f t="shared" si="34"/>
        <v>45962</v>
      </c>
      <c r="L516" t="str">
        <f t="shared" si="35"/>
        <v>Q4-2025</v>
      </c>
    </row>
    <row r="517" spans="1:12">
      <c r="A517" s="6">
        <v>45965</v>
      </c>
      <c r="B517" t="s">
        <v>18</v>
      </c>
      <c r="C517" t="s">
        <v>19</v>
      </c>
      <c r="D517" s="2">
        <v>231.79982545899989</v>
      </c>
      <c r="E517" s="2">
        <v>232.12752230631691</v>
      </c>
      <c r="F517" s="2">
        <v>228.92763215541521</v>
      </c>
      <c r="G517" s="2">
        <v>229.31315612792969</v>
      </c>
      <c r="H517" s="3">
        <v>6848284</v>
      </c>
      <c r="I517" s="4">
        <f t="shared" si="32"/>
        <v>-1.24</v>
      </c>
      <c r="J517" s="2">
        <f t="shared" si="33"/>
        <v>2.81</v>
      </c>
      <c r="K517" s="7">
        <f t="shared" si="34"/>
        <v>45962</v>
      </c>
      <c r="L517" t="str">
        <f t="shared" si="35"/>
        <v>Q4-2025</v>
      </c>
    </row>
    <row r="518" spans="1:12">
      <c r="A518" s="6">
        <v>45965</v>
      </c>
      <c r="B518" t="s">
        <v>20</v>
      </c>
      <c r="C518" t="s">
        <v>21</v>
      </c>
      <c r="D518" s="2">
        <v>1481.570292639542</v>
      </c>
      <c r="E518" s="2">
        <v>1486.874013337298</v>
      </c>
      <c r="F518" s="2">
        <v>1470.5771025595809</v>
      </c>
      <c r="G518" s="2">
        <v>1474.53076171875</v>
      </c>
      <c r="H518" s="3">
        <v>1666863</v>
      </c>
      <c r="I518" s="4">
        <f t="shared" si="32"/>
        <v>-0.74</v>
      </c>
      <c r="J518" s="2">
        <f t="shared" si="33"/>
        <v>12.34</v>
      </c>
      <c r="K518" s="7">
        <f t="shared" si="34"/>
        <v>45962</v>
      </c>
      <c r="L518" t="str">
        <f t="shared" si="35"/>
        <v>Q4-2025</v>
      </c>
    </row>
    <row r="519" spans="1:12">
      <c r="A519" s="6">
        <v>45965</v>
      </c>
      <c r="B519" t="s">
        <v>22</v>
      </c>
      <c r="C519" t="s">
        <v>23</v>
      </c>
      <c r="D519" s="2">
        <v>1033.6459780776961</v>
      </c>
      <c r="E519" s="2">
        <v>1053.921365758737</v>
      </c>
      <c r="F519" s="2">
        <v>1028.676526260015</v>
      </c>
      <c r="G519" s="2">
        <v>1050.542114257812</v>
      </c>
      <c r="H519" s="3">
        <v>6202540</v>
      </c>
      <c r="I519" s="4">
        <f t="shared" si="32"/>
        <v>-0.48</v>
      </c>
      <c r="J519" s="2">
        <f t="shared" si="33"/>
        <v>3.38</v>
      </c>
      <c r="K519" s="7">
        <f t="shared" si="34"/>
        <v>45962</v>
      </c>
      <c r="L519" t="str">
        <f t="shared" si="35"/>
        <v>Q4-2025</v>
      </c>
    </row>
    <row r="520" spans="1:12">
      <c r="A520" s="6">
        <v>45965</v>
      </c>
      <c r="B520" t="s">
        <v>24</v>
      </c>
      <c r="C520" t="s">
        <v>25</v>
      </c>
      <c r="D520" s="2">
        <v>15451.8170317353</v>
      </c>
      <c r="E520" s="2">
        <v>15477.55850945844</v>
      </c>
      <c r="F520" s="2">
        <v>15202.322709187891</v>
      </c>
      <c r="G520" s="2">
        <v>15221.1337890625</v>
      </c>
      <c r="H520" s="3">
        <v>748848</v>
      </c>
      <c r="I520" s="4">
        <f t="shared" si="32"/>
        <v>-1.61</v>
      </c>
      <c r="J520" s="2">
        <f t="shared" si="33"/>
        <v>256.42</v>
      </c>
      <c r="K520" s="7">
        <f t="shared" si="34"/>
        <v>45962</v>
      </c>
      <c r="L520" t="str">
        <f t="shared" si="35"/>
        <v>Q4-2025</v>
      </c>
    </row>
    <row r="521" spans="1:12">
      <c r="A521" s="6">
        <v>45965</v>
      </c>
      <c r="B521" t="s">
        <v>26</v>
      </c>
      <c r="C521" t="s">
        <v>27</v>
      </c>
      <c r="D521" s="2">
        <v>413.96601969167261</v>
      </c>
      <c r="E521" s="2">
        <v>414.06520303911537</v>
      </c>
      <c r="F521" s="2">
        <v>401.76722461892001</v>
      </c>
      <c r="G521" s="2">
        <v>403.15570068359381</v>
      </c>
      <c r="H521" s="3">
        <v>8889004</v>
      </c>
      <c r="I521" s="4">
        <f t="shared" si="32"/>
        <v>-2.95</v>
      </c>
      <c r="J521" s="2">
        <f t="shared" si="33"/>
        <v>10.91</v>
      </c>
      <c r="K521" s="7">
        <f t="shared" si="34"/>
        <v>45962</v>
      </c>
      <c r="L521" t="str">
        <f t="shared" si="35"/>
        <v>Q4-2025</v>
      </c>
    </row>
    <row r="522" spans="1:12">
      <c r="A522" s="6">
        <v>45965</v>
      </c>
      <c r="B522" t="s">
        <v>28</v>
      </c>
      <c r="C522" t="s">
        <v>29</v>
      </c>
      <c r="D522" s="2">
        <v>1691.5499908989</v>
      </c>
      <c r="E522" s="2">
        <v>1695.71192843057</v>
      </c>
      <c r="F522" s="2">
        <v>1666.9744066168221</v>
      </c>
      <c r="G522" s="2">
        <v>1674.703857421875</v>
      </c>
      <c r="H522" s="3">
        <v>1597993</v>
      </c>
      <c r="I522" s="4">
        <f t="shared" si="32"/>
        <v>-1.45</v>
      </c>
      <c r="J522" s="2">
        <f t="shared" si="33"/>
        <v>21.01</v>
      </c>
      <c r="K522" s="7">
        <f t="shared" si="34"/>
        <v>45962</v>
      </c>
      <c r="L522" t="str">
        <f t="shared" si="35"/>
        <v>Q4-2025</v>
      </c>
    </row>
    <row r="523" spans="1:12">
      <c r="A523" s="6">
        <v>45965</v>
      </c>
      <c r="B523" t="s">
        <v>30</v>
      </c>
      <c r="C523" t="s">
        <v>31</v>
      </c>
      <c r="D523" s="2">
        <v>2484.5331251031489</v>
      </c>
      <c r="E523" s="2">
        <v>2495.4215172848758</v>
      </c>
      <c r="F523" s="2">
        <v>2454.5405055789579</v>
      </c>
      <c r="G523" s="2">
        <v>2461.469482421875</v>
      </c>
      <c r="H523" s="3">
        <v>527087</v>
      </c>
      <c r="I523" s="4">
        <f t="shared" si="32"/>
        <v>-1.21</v>
      </c>
      <c r="J523" s="2">
        <f t="shared" si="33"/>
        <v>33.950000000000003</v>
      </c>
      <c r="K523" s="7">
        <f t="shared" si="34"/>
        <v>45962</v>
      </c>
      <c r="L523" t="str">
        <f t="shared" si="35"/>
        <v>Q4-2025</v>
      </c>
    </row>
    <row r="524" spans="1:12">
      <c r="A524" s="6">
        <v>45965</v>
      </c>
      <c r="B524" t="s">
        <v>32</v>
      </c>
      <c r="C524" t="s">
        <v>33</v>
      </c>
      <c r="D524" s="2">
        <v>2416.2358320421881</v>
      </c>
      <c r="E524" s="2">
        <v>2419.4771719714581</v>
      </c>
      <c r="F524" s="2">
        <v>2397.8685588393728</v>
      </c>
      <c r="G524" s="2">
        <v>2402.190185546875</v>
      </c>
      <c r="H524" s="3">
        <v>1251588</v>
      </c>
      <c r="I524" s="4">
        <f t="shared" si="32"/>
        <v>-0.76</v>
      </c>
      <c r="J524" s="2">
        <f t="shared" si="33"/>
        <v>17.29</v>
      </c>
      <c r="K524" s="7">
        <f t="shared" si="34"/>
        <v>45962</v>
      </c>
      <c r="L524" t="str">
        <f t="shared" si="35"/>
        <v>Q4-2025</v>
      </c>
    </row>
    <row r="525" spans="1:12">
      <c r="A525" s="6">
        <v>45965</v>
      </c>
      <c r="B525" t="s">
        <v>34</v>
      </c>
      <c r="C525" t="s">
        <v>35</v>
      </c>
      <c r="D525" s="2">
        <v>3946.4536181325489</v>
      </c>
      <c r="E525" s="2">
        <v>3951.405253788927</v>
      </c>
      <c r="F525" s="2">
        <v>3878.9133561353829</v>
      </c>
      <c r="G525" s="2">
        <v>3886.439697265625</v>
      </c>
      <c r="H525" s="3">
        <v>2042881</v>
      </c>
      <c r="I525" s="4">
        <f t="shared" si="32"/>
        <v>-1.71</v>
      </c>
      <c r="J525" s="2">
        <f t="shared" si="33"/>
        <v>64.97</v>
      </c>
      <c r="K525" s="7">
        <f t="shared" si="34"/>
        <v>45962</v>
      </c>
      <c r="L525" t="str">
        <f t="shared" si="35"/>
        <v>Q4-2025</v>
      </c>
    </row>
    <row r="526" spans="1:12">
      <c r="A526" s="6">
        <v>45965</v>
      </c>
      <c r="B526" t="s">
        <v>36</v>
      </c>
      <c r="C526" t="s">
        <v>37</v>
      </c>
      <c r="D526" s="2">
        <v>1229.151965716122</v>
      </c>
      <c r="E526" s="2">
        <v>1234.9475445794931</v>
      </c>
      <c r="F526" s="2">
        <v>1221.8576648446219</v>
      </c>
      <c r="G526" s="2">
        <v>1225.654663085938</v>
      </c>
      <c r="H526" s="3">
        <v>3299345</v>
      </c>
      <c r="I526" s="4">
        <f t="shared" si="32"/>
        <v>-0.59</v>
      </c>
      <c r="J526" s="2">
        <f t="shared" si="33"/>
        <v>9.2899999999999991</v>
      </c>
      <c r="K526" s="7">
        <f t="shared" si="34"/>
        <v>45962</v>
      </c>
      <c r="L526" t="str">
        <f t="shared" si="35"/>
        <v>Q4-2025</v>
      </c>
    </row>
    <row r="527" spans="1:12">
      <c r="A527" s="6">
        <v>45967</v>
      </c>
      <c r="B527" t="s">
        <v>8</v>
      </c>
      <c r="C527" t="s">
        <v>9</v>
      </c>
      <c r="D527" s="2">
        <v>1477.170189647547</v>
      </c>
      <c r="E527" s="2">
        <v>1494.6891648996159</v>
      </c>
      <c r="F527" s="2">
        <v>1469.4060389691761</v>
      </c>
      <c r="G527" s="2">
        <v>1489.214477539062</v>
      </c>
      <c r="H527" s="3">
        <v>16772678</v>
      </c>
      <c r="I527" s="4">
        <f t="shared" si="32"/>
        <v>-0.53</v>
      </c>
      <c r="J527" s="2">
        <f t="shared" si="33"/>
        <v>5.47</v>
      </c>
      <c r="K527" s="7">
        <f t="shared" si="34"/>
        <v>45962</v>
      </c>
      <c r="L527" t="str">
        <f t="shared" si="35"/>
        <v>Q4-2025</v>
      </c>
    </row>
    <row r="528" spans="1:12">
      <c r="A528" s="6">
        <v>45967</v>
      </c>
      <c r="B528" t="s">
        <v>10</v>
      </c>
      <c r="C528" t="s">
        <v>11</v>
      </c>
      <c r="D528" s="2">
        <v>2881.6276057765008</v>
      </c>
      <c r="E528" s="2">
        <v>2914.297714213154</v>
      </c>
      <c r="F528" s="2">
        <v>2881.5311393840379</v>
      </c>
      <c r="G528" s="2">
        <v>2901.6728515625</v>
      </c>
      <c r="H528" s="3">
        <v>2542721</v>
      </c>
      <c r="I528" s="4">
        <f t="shared" si="32"/>
        <v>0</v>
      </c>
      <c r="J528" s="2">
        <f t="shared" si="33"/>
        <v>12.62</v>
      </c>
      <c r="K528" s="7">
        <f t="shared" si="34"/>
        <v>45962</v>
      </c>
      <c r="L528" t="str">
        <f t="shared" si="35"/>
        <v>Q4-2025</v>
      </c>
    </row>
    <row r="529" spans="1:12">
      <c r="A529" s="6">
        <v>45967</v>
      </c>
      <c r="B529" t="s">
        <v>12</v>
      </c>
      <c r="C529" t="s">
        <v>13</v>
      </c>
      <c r="D529" s="2">
        <v>1447.2816360762581</v>
      </c>
      <c r="E529" s="2">
        <v>1451.5884632356699</v>
      </c>
      <c r="F529" s="2">
        <v>1430.9354078512461</v>
      </c>
      <c r="G529" s="2">
        <v>1435.633666992188</v>
      </c>
      <c r="H529" s="3">
        <v>7944752</v>
      </c>
      <c r="I529" s="4">
        <f t="shared" si="32"/>
        <v>-1.1299999999999999</v>
      </c>
      <c r="J529" s="2">
        <f t="shared" si="33"/>
        <v>15.95</v>
      </c>
      <c r="K529" s="7">
        <f t="shared" si="34"/>
        <v>45962</v>
      </c>
      <c r="L529" t="str">
        <f t="shared" si="35"/>
        <v>Q4-2025</v>
      </c>
    </row>
    <row r="530" spans="1:12">
      <c r="A530" s="6">
        <v>45967</v>
      </c>
      <c r="B530" t="s">
        <v>14</v>
      </c>
      <c r="C530" t="s">
        <v>15</v>
      </c>
      <c r="D530" s="2">
        <v>965.03881820964455</v>
      </c>
      <c r="E530" s="2">
        <v>974.92528950704309</v>
      </c>
      <c r="F530" s="2">
        <v>958.1527104344483</v>
      </c>
      <c r="G530" s="2">
        <v>968.62945556640625</v>
      </c>
      <c r="H530" s="3">
        <v>22279516</v>
      </c>
      <c r="I530" s="4">
        <f t="shared" si="32"/>
        <v>-0.71</v>
      </c>
      <c r="J530" s="2">
        <f t="shared" si="33"/>
        <v>6.3</v>
      </c>
      <c r="K530" s="7">
        <f t="shared" si="34"/>
        <v>45962</v>
      </c>
      <c r="L530" t="str">
        <f t="shared" si="35"/>
        <v>Q4-2025</v>
      </c>
    </row>
    <row r="531" spans="1:12">
      <c r="A531" s="6">
        <v>45967</v>
      </c>
      <c r="B531" t="s">
        <v>16</v>
      </c>
      <c r="C531" t="s">
        <v>17</v>
      </c>
      <c r="D531" s="2">
        <v>1318.8811697671299</v>
      </c>
      <c r="E531" s="2">
        <v>1330.9791290698849</v>
      </c>
      <c r="F531" s="2">
        <v>1306.386530263507</v>
      </c>
      <c r="G531" s="2">
        <v>1309.361450195312</v>
      </c>
      <c r="H531" s="3">
        <v>24221853</v>
      </c>
      <c r="I531" s="4">
        <f t="shared" si="32"/>
        <v>-0.95</v>
      </c>
      <c r="J531" s="2">
        <f t="shared" si="33"/>
        <v>21.62</v>
      </c>
      <c r="K531" s="7">
        <f t="shared" si="34"/>
        <v>45962</v>
      </c>
      <c r="L531" t="str">
        <f t="shared" si="35"/>
        <v>Q4-2025</v>
      </c>
    </row>
    <row r="532" spans="1:12">
      <c r="A532" s="6">
        <v>45967</v>
      </c>
      <c r="B532" t="s">
        <v>18</v>
      </c>
      <c r="C532" t="s">
        <v>19</v>
      </c>
      <c r="D532" s="2">
        <v>231.31790995337701</v>
      </c>
      <c r="E532" s="2">
        <v>231.9154765145816</v>
      </c>
      <c r="F532" s="2">
        <v>229.74687110876869</v>
      </c>
      <c r="G532" s="2">
        <v>231.36610412597659</v>
      </c>
      <c r="H532" s="3">
        <v>7141517</v>
      </c>
      <c r="I532" s="4">
        <f t="shared" si="32"/>
        <v>-0.68</v>
      </c>
      <c r="J532" s="2">
        <f t="shared" si="33"/>
        <v>0.55000000000000004</v>
      </c>
      <c r="K532" s="7">
        <f t="shared" si="34"/>
        <v>45962</v>
      </c>
      <c r="L532" t="str">
        <f t="shared" si="35"/>
        <v>Q4-2025</v>
      </c>
    </row>
    <row r="533" spans="1:12">
      <c r="A533" s="6">
        <v>45967</v>
      </c>
      <c r="B533" t="s">
        <v>20</v>
      </c>
      <c r="C533" t="s">
        <v>21</v>
      </c>
      <c r="D533" s="2">
        <v>1474.5307215731341</v>
      </c>
      <c r="E533" s="2">
        <v>1477.230844576794</v>
      </c>
      <c r="F533" s="2">
        <v>1460.258962348847</v>
      </c>
      <c r="G533" s="2">
        <v>1471.927124023438</v>
      </c>
      <c r="H533" s="3">
        <v>2474769</v>
      </c>
      <c r="I533" s="4">
        <f t="shared" si="32"/>
        <v>-0.97</v>
      </c>
      <c r="J533" s="2">
        <f t="shared" si="33"/>
        <v>5.3</v>
      </c>
      <c r="K533" s="7">
        <f t="shared" si="34"/>
        <v>45962</v>
      </c>
      <c r="L533" t="str">
        <f t="shared" si="35"/>
        <v>Q4-2025</v>
      </c>
    </row>
    <row r="534" spans="1:12">
      <c r="A534" s="6">
        <v>45967</v>
      </c>
      <c r="B534" t="s">
        <v>22</v>
      </c>
      <c r="C534" t="s">
        <v>23</v>
      </c>
      <c r="D534" s="2">
        <v>1030.664336641772</v>
      </c>
      <c r="E534" s="2">
        <v>1046.3678533672751</v>
      </c>
      <c r="F534" s="2">
        <v>1028.6765558575059</v>
      </c>
      <c r="G534" s="2">
        <v>1035.534423828125</v>
      </c>
      <c r="H534" s="3">
        <v>5776277</v>
      </c>
      <c r="I534" s="4">
        <f t="shared" si="32"/>
        <v>-0.19</v>
      </c>
      <c r="J534" s="2">
        <f t="shared" si="33"/>
        <v>10.83</v>
      </c>
      <c r="K534" s="7">
        <f t="shared" si="34"/>
        <v>45962</v>
      </c>
      <c r="L534" t="str">
        <f t="shared" si="35"/>
        <v>Q4-2025</v>
      </c>
    </row>
    <row r="535" spans="1:12">
      <c r="A535" s="6">
        <v>45967</v>
      </c>
      <c r="B535" t="s">
        <v>24</v>
      </c>
      <c r="C535" t="s">
        <v>25</v>
      </c>
      <c r="D535" s="2">
        <v>15379.54207813916</v>
      </c>
      <c r="E535" s="2">
        <v>15379.54207813916</v>
      </c>
      <c r="F535" s="2">
        <v>15156.77930180458</v>
      </c>
      <c r="G535" s="2">
        <v>15298.357421875</v>
      </c>
      <c r="H535" s="3">
        <v>429800</v>
      </c>
      <c r="I535" s="4">
        <f t="shared" si="32"/>
        <v>-1.45</v>
      </c>
      <c r="J535" s="2">
        <f t="shared" si="33"/>
        <v>81.180000000000007</v>
      </c>
      <c r="K535" s="7">
        <f t="shared" si="34"/>
        <v>45962</v>
      </c>
      <c r="L535" t="str">
        <f t="shared" si="35"/>
        <v>Q4-2025</v>
      </c>
    </row>
    <row r="536" spans="1:12">
      <c r="A536" s="6">
        <v>45967</v>
      </c>
      <c r="B536" t="s">
        <v>26</v>
      </c>
      <c r="C536" t="s">
        <v>27</v>
      </c>
      <c r="D536" s="2">
        <v>403.80034522620309</v>
      </c>
      <c r="E536" s="2">
        <v>406.32938437533238</v>
      </c>
      <c r="F536" s="2">
        <v>402.06474258653918</v>
      </c>
      <c r="G536" s="2">
        <v>404.49459838867188</v>
      </c>
      <c r="H536" s="3">
        <v>6862359</v>
      </c>
      <c r="I536" s="4">
        <f t="shared" si="32"/>
        <v>-0.43</v>
      </c>
      <c r="J536" s="2">
        <f t="shared" si="33"/>
        <v>1.83</v>
      </c>
      <c r="K536" s="7">
        <f t="shared" si="34"/>
        <v>45962</v>
      </c>
      <c r="L536" t="str">
        <f t="shared" si="35"/>
        <v>Q4-2025</v>
      </c>
    </row>
    <row r="537" spans="1:12">
      <c r="A537" s="6">
        <v>45967</v>
      </c>
      <c r="B537" t="s">
        <v>28</v>
      </c>
      <c r="C537" t="s">
        <v>29</v>
      </c>
      <c r="D537" s="2">
        <v>1683.622399290183</v>
      </c>
      <c r="E537" s="2">
        <v>1708.297054291</v>
      </c>
      <c r="F537" s="2">
        <v>1651.9120303806569</v>
      </c>
      <c r="G537" s="2">
        <v>1670.640991210938</v>
      </c>
      <c r="H537" s="3">
        <v>3389867</v>
      </c>
      <c r="I537" s="4">
        <f t="shared" si="32"/>
        <v>-1.88</v>
      </c>
      <c r="J537" s="2">
        <f t="shared" si="33"/>
        <v>37.659999999999997</v>
      </c>
      <c r="K537" s="7">
        <f t="shared" si="34"/>
        <v>45962</v>
      </c>
      <c r="L537" t="str">
        <f t="shared" si="35"/>
        <v>Q4-2025</v>
      </c>
    </row>
    <row r="538" spans="1:12">
      <c r="A538" s="6">
        <v>45967</v>
      </c>
      <c r="B538" t="s">
        <v>30</v>
      </c>
      <c r="C538" t="s">
        <v>31</v>
      </c>
      <c r="D538" s="2">
        <v>2534.1249272470659</v>
      </c>
      <c r="E538" s="2">
        <v>2604.3054682474608</v>
      </c>
      <c r="F538" s="2">
        <v>2534.1249272470659</v>
      </c>
      <c r="G538" s="2">
        <v>2576.490478515625</v>
      </c>
      <c r="H538" s="3">
        <v>4448622</v>
      </c>
      <c r="I538" s="4">
        <f t="shared" si="32"/>
        <v>0</v>
      </c>
      <c r="J538" s="2">
        <f t="shared" si="33"/>
        <v>27.81</v>
      </c>
      <c r="K538" s="7">
        <f t="shared" si="34"/>
        <v>45962</v>
      </c>
      <c r="L538" t="str">
        <f t="shared" si="35"/>
        <v>Q4-2025</v>
      </c>
    </row>
    <row r="539" spans="1:12">
      <c r="A539" s="6">
        <v>45967</v>
      </c>
      <c r="B539" t="s">
        <v>32</v>
      </c>
      <c r="C539" t="s">
        <v>33</v>
      </c>
      <c r="D539" s="2">
        <v>2420.0663966522329</v>
      </c>
      <c r="E539" s="2">
        <v>2420.0663966522329</v>
      </c>
      <c r="F539" s="2">
        <v>2389.323424718209</v>
      </c>
      <c r="G539" s="2">
        <v>2392.662841796875</v>
      </c>
      <c r="H539" s="3">
        <v>1329256</v>
      </c>
      <c r="I539" s="4">
        <f t="shared" si="32"/>
        <v>-1.27</v>
      </c>
      <c r="J539" s="2">
        <f t="shared" si="33"/>
        <v>27.4</v>
      </c>
      <c r="K539" s="7">
        <f t="shared" si="34"/>
        <v>45962</v>
      </c>
      <c r="L539" t="str">
        <f t="shared" si="35"/>
        <v>Q4-2025</v>
      </c>
    </row>
    <row r="540" spans="1:12">
      <c r="A540" s="6">
        <v>45967</v>
      </c>
      <c r="B540" t="s">
        <v>34</v>
      </c>
      <c r="C540" t="s">
        <v>35</v>
      </c>
      <c r="D540" s="2">
        <v>3906.8405995609551</v>
      </c>
      <c r="E540" s="2">
        <v>3939.5213954508181</v>
      </c>
      <c r="F540" s="2">
        <v>3834.6458471704368</v>
      </c>
      <c r="G540" s="2">
        <v>3844.053955078125</v>
      </c>
      <c r="H540" s="3">
        <v>1749063</v>
      </c>
      <c r="I540" s="4">
        <f t="shared" si="32"/>
        <v>-1.85</v>
      </c>
      <c r="J540" s="2">
        <f t="shared" si="33"/>
        <v>95.47</v>
      </c>
      <c r="K540" s="7">
        <f t="shared" si="34"/>
        <v>45962</v>
      </c>
      <c r="L540" t="str">
        <f t="shared" si="35"/>
        <v>Q4-2025</v>
      </c>
    </row>
    <row r="541" spans="1:12">
      <c r="A541" s="6">
        <v>45967</v>
      </c>
      <c r="B541" t="s">
        <v>36</v>
      </c>
      <c r="C541" t="s">
        <v>37</v>
      </c>
      <c r="D541" s="2">
        <v>1224.0559200276</v>
      </c>
      <c r="E541" s="2">
        <v>1238.644643740437</v>
      </c>
      <c r="F541" s="2">
        <v>1224.0559200276</v>
      </c>
      <c r="G541" s="2">
        <v>1227.55322265625</v>
      </c>
      <c r="H541" s="3">
        <v>3733721</v>
      </c>
      <c r="I541" s="4">
        <f t="shared" si="32"/>
        <v>0</v>
      </c>
      <c r="J541" s="2">
        <f t="shared" si="33"/>
        <v>11.09</v>
      </c>
      <c r="K541" s="7">
        <f t="shared" si="34"/>
        <v>45962</v>
      </c>
      <c r="L541" t="str">
        <f t="shared" si="35"/>
        <v>Q4-2025</v>
      </c>
    </row>
    <row r="542" spans="1:12">
      <c r="A542" s="6">
        <v>45968</v>
      </c>
      <c r="B542" t="s">
        <v>8</v>
      </c>
      <c r="C542" t="s">
        <v>9</v>
      </c>
      <c r="D542" s="2">
        <v>1487.7213309001129</v>
      </c>
      <c r="E542" s="2">
        <v>1491.5038906434629</v>
      </c>
      <c r="F542" s="2">
        <v>1469.107443104295</v>
      </c>
      <c r="G542" s="2">
        <v>1471.19775390625</v>
      </c>
      <c r="H542" s="3">
        <v>7821765</v>
      </c>
      <c r="I542" s="4">
        <f t="shared" si="32"/>
        <v>-1.25</v>
      </c>
      <c r="J542" s="2">
        <f t="shared" si="33"/>
        <v>20.309999999999999</v>
      </c>
      <c r="K542" s="7">
        <f t="shared" si="34"/>
        <v>45962</v>
      </c>
      <c r="L542" t="str">
        <f t="shared" si="35"/>
        <v>Q4-2025</v>
      </c>
    </row>
    <row r="543" spans="1:12">
      <c r="A543" s="6">
        <v>45968</v>
      </c>
      <c r="B543" t="s">
        <v>10</v>
      </c>
      <c r="C543" t="s">
        <v>11</v>
      </c>
      <c r="D543" s="2">
        <v>2892.1320716871551</v>
      </c>
      <c r="E543" s="2">
        <v>2895.0232400360592</v>
      </c>
      <c r="F543" s="2">
        <v>2853.1012989769479</v>
      </c>
      <c r="G543" s="2">
        <v>2883.265869140625</v>
      </c>
      <c r="H543" s="3">
        <v>1830520</v>
      </c>
      <c r="I543" s="4">
        <f t="shared" si="32"/>
        <v>-1.35</v>
      </c>
      <c r="J543" s="2">
        <f t="shared" si="33"/>
        <v>11.76</v>
      </c>
      <c r="K543" s="7">
        <f t="shared" si="34"/>
        <v>45962</v>
      </c>
      <c r="L543" t="str">
        <f t="shared" si="35"/>
        <v>Q4-2025</v>
      </c>
    </row>
    <row r="544" spans="1:12">
      <c r="A544" s="6">
        <v>45968</v>
      </c>
      <c r="B544" t="s">
        <v>12</v>
      </c>
      <c r="C544" t="s">
        <v>13</v>
      </c>
      <c r="D544" s="2">
        <v>1438.8638806951201</v>
      </c>
      <c r="E544" s="2">
        <v>1449.5330313264731</v>
      </c>
      <c r="F544" s="2">
        <v>1418.406540399174</v>
      </c>
      <c r="G544" s="2">
        <v>1445.519897460938</v>
      </c>
      <c r="H544" s="3">
        <v>8765759</v>
      </c>
      <c r="I544" s="4">
        <f t="shared" si="32"/>
        <v>-1.42</v>
      </c>
      <c r="J544" s="2">
        <f t="shared" si="33"/>
        <v>4.01</v>
      </c>
      <c r="K544" s="7">
        <f t="shared" si="34"/>
        <v>45962</v>
      </c>
      <c r="L544" t="str">
        <f t="shared" si="35"/>
        <v>Q4-2025</v>
      </c>
    </row>
    <row r="545" spans="1:12">
      <c r="A545" s="6">
        <v>45968</v>
      </c>
      <c r="B545" t="s">
        <v>14</v>
      </c>
      <c r="C545" t="s">
        <v>15</v>
      </c>
      <c r="D545" s="2">
        <v>964.05506075772439</v>
      </c>
      <c r="E545" s="2">
        <v>968.87536007835035</v>
      </c>
      <c r="F545" s="2">
        <v>958.89048007509382</v>
      </c>
      <c r="G545" s="2">
        <v>966.317626953125</v>
      </c>
      <c r="H545" s="3">
        <v>15004568</v>
      </c>
      <c r="I545" s="4">
        <f t="shared" si="32"/>
        <v>-0.54</v>
      </c>
      <c r="J545" s="2">
        <f t="shared" si="33"/>
        <v>2.56</v>
      </c>
      <c r="K545" s="7">
        <f t="shared" si="34"/>
        <v>45962</v>
      </c>
      <c r="L545" t="str">
        <f t="shared" si="35"/>
        <v>Q4-2025</v>
      </c>
    </row>
    <row r="546" spans="1:12">
      <c r="A546" s="6">
        <v>45968</v>
      </c>
      <c r="B546" t="s">
        <v>16</v>
      </c>
      <c r="C546" t="s">
        <v>17</v>
      </c>
      <c r="D546" s="2">
        <v>1309.3614221413629</v>
      </c>
      <c r="E546" s="2">
        <v>1333.0616413002481</v>
      </c>
      <c r="F546" s="2">
        <v>1307.5764218006041</v>
      </c>
      <c r="G546" s="2">
        <v>1331.7724609375</v>
      </c>
      <c r="H546" s="3">
        <v>7719245</v>
      </c>
      <c r="I546" s="4">
        <f t="shared" si="32"/>
        <v>-0.14000000000000001</v>
      </c>
      <c r="J546" s="2">
        <f t="shared" si="33"/>
        <v>1.29</v>
      </c>
      <c r="K546" s="7">
        <f t="shared" si="34"/>
        <v>45962</v>
      </c>
      <c r="L546" t="str">
        <f t="shared" si="35"/>
        <v>Q4-2025</v>
      </c>
    </row>
    <row r="547" spans="1:12">
      <c r="A547" s="6">
        <v>45968</v>
      </c>
      <c r="B547" t="s">
        <v>18</v>
      </c>
      <c r="C547" t="s">
        <v>19</v>
      </c>
      <c r="D547" s="2">
        <v>230.06493493145231</v>
      </c>
      <c r="E547" s="2">
        <v>230.59504141629739</v>
      </c>
      <c r="F547" s="2">
        <v>227.46261138660901</v>
      </c>
      <c r="G547" s="2">
        <v>227.93489074707031</v>
      </c>
      <c r="H547" s="3">
        <v>5520619</v>
      </c>
      <c r="I547" s="4">
        <f t="shared" si="32"/>
        <v>-1.1299999999999999</v>
      </c>
      <c r="J547" s="2">
        <f t="shared" si="33"/>
        <v>2.66</v>
      </c>
      <c r="K547" s="7">
        <f t="shared" si="34"/>
        <v>45962</v>
      </c>
      <c r="L547" t="str">
        <f t="shared" si="35"/>
        <v>Q4-2025</v>
      </c>
    </row>
    <row r="548" spans="1:12">
      <c r="A548" s="6">
        <v>45968</v>
      </c>
      <c r="B548" t="s">
        <v>20</v>
      </c>
      <c r="C548" t="s">
        <v>21</v>
      </c>
      <c r="D548" s="2">
        <v>1461.030477674316</v>
      </c>
      <c r="E548" s="2">
        <v>1464.59850609724</v>
      </c>
      <c r="F548" s="2">
        <v>1437.308403448026</v>
      </c>
      <c r="G548" s="2">
        <v>1458.426879882812</v>
      </c>
      <c r="H548" s="3">
        <v>2238714</v>
      </c>
      <c r="I548" s="4">
        <f t="shared" si="32"/>
        <v>-1.62</v>
      </c>
      <c r="J548" s="2">
        <f t="shared" si="33"/>
        <v>6.17</v>
      </c>
      <c r="K548" s="7">
        <f t="shared" si="34"/>
        <v>45962</v>
      </c>
      <c r="L548" t="str">
        <f t="shared" si="35"/>
        <v>Q4-2025</v>
      </c>
    </row>
    <row r="549" spans="1:12">
      <c r="A549" s="6">
        <v>45968</v>
      </c>
      <c r="B549" t="s">
        <v>22</v>
      </c>
      <c r="C549" t="s">
        <v>23</v>
      </c>
      <c r="D549" s="2">
        <v>1032.6520258968519</v>
      </c>
      <c r="E549" s="2">
        <v>1070.320492684843</v>
      </c>
      <c r="F549" s="2">
        <v>1027.881303907664</v>
      </c>
      <c r="G549" s="2">
        <v>1060.083374023438</v>
      </c>
      <c r="H549" s="3">
        <v>6940923</v>
      </c>
      <c r="I549" s="4">
        <f t="shared" si="32"/>
        <v>-0.46</v>
      </c>
      <c r="J549" s="2">
        <f t="shared" si="33"/>
        <v>10.24</v>
      </c>
      <c r="K549" s="7">
        <f t="shared" si="34"/>
        <v>45962</v>
      </c>
      <c r="L549" t="str">
        <f t="shared" si="35"/>
        <v>Q4-2025</v>
      </c>
    </row>
    <row r="550" spans="1:12">
      <c r="A550" s="6">
        <v>45968</v>
      </c>
      <c r="B550" t="s">
        <v>24</v>
      </c>
      <c r="C550" t="s">
        <v>25</v>
      </c>
      <c r="D550" s="2">
        <v>15305.288706927529</v>
      </c>
      <c r="E550" s="2">
        <v>15344.890980572471</v>
      </c>
      <c r="F550" s="2">
        <v>15108.26739554396</v>
      </c>
      <c r="G550" s="2">
        <v>15325.08984375</v>
      </c>
      <c r="H550" s="3">
        <v>227247</v>
      </c>
      <c r="I550" s="4">
        <f t="shared" si="32"/>
        <v>-1.29</v>
      </c>
      <c r="J550" s="2">
        <f t="shared" si="33"/>
        <v>19.8</v>
      </c>
      <c r="K550" s="7">
        <f t="shared" si="34"/>
        <v>45962</v>
      </c>
      <c r="L550" t="str">
        <f t="shared" si="35"/>
        <v>Q4-2025</v>
      </c>
    </row>
    <row r="551" spans="1:12">
      <c r="A551" s="6">
        <v>45968</v>
      </c>
      <c r="B551" t="s">
        <v>26</v>
      </c>
      <c r="C551" t="s">
        <v>27</v>
      </c>
      <c r="D551" s="2">
        <v>403.3540776541771</v>
      </c>
      <c r="E551" s="2">
        <v>403.84996413751571</v>
      </c>
      <c r="F551" s="2">
        <v>398.14726957912239</v>
      </c>
      <c r="G551" s="2">
        <v>402.3623046875</v>
      </c>
      <c r="H551" s="3">
        <v>6930046</v>
      </c>
      <c r="I551" s="4">
        <f t="shared" si="32"/>
        <v>-1.29</v>
      </c>
      <c r="J551" s="2">
        <f t="shared" si="33"/>
        <v>1.49</v>
      </c>
      <c r="K551" s="7">
        <f t="shared" si="34"/>
        <v>45962</v>
      </c>
      <c r="L551" t="str">
        <f t="shared" si="35"/>
        <v>Q4-2025</v>
      </c>
    </row>
    <row r="552" spans="1:12">
      <c r="A552" s="6">
        <v>45968</v>
      </c>
      <c r="B552" t="s">
        <v>28</v>
      </c>
      <c r="C552" t="s">
        <v>29</v>
      </c>
      <c r="D552" s="2">
        <v>1678.6676297668239</v>
      </c>
      <c r="E552" s="2">
        <v>1694.522813991304</v>
      </c>
      <c r="F552" s="2">
        <v>1667.866261320806</v>
      </c>
      <c r="G552" s="2">
        <v>1676.091186523438</v>
      </c>
      <c r="H552" s="3">
        <v>1512908</v>
      </c>
      <c r="I552" s="4">
        <f t="shared" si="32"/>
        <v>-0.64</v>
      </c>
      <c r="J552" s="2">
        <f t="shared" si="33"/>
        <v>18.43</v>
      </c>
      <c r="K552" s="7">
        <f t="shared" si="34"/>
        <v>45962</v>
      </c>
      <c r="L552" t="str">
        <f t="shared" si="35"/>
        <v>Q4-2025</v>
      </c>
    </row>
    <row r="553" spans="1:12">
      <c r="A553" s="6">
        <v>45968</v>
      </c>
      <c r="B553" t="s">
        <v>30</v>
      </c>
      <c r="C553" t="s">
        <v>31</v>
      </c>
      <c r="D553" s="2">
        <v>2576.4904773844869</v>
      </c>
      <c r="E553" s="2">
        <v>2592.3281389100148</v>
      </c>
      <c r="F553" s="2">
        <v>2558.7721902182161</v>
      </c>
      <c r="G553" s="2">
        <v>2587.280029296875</v>
      </c>
      <c r="H553" s="3">
        <v>791663</v>
      </c>
      <c r="I553" s="4">
        <f t="shared" si="32"/>
        <v>-0.69</v>
      </c>
      <c r="J553" s="2">
        <f t="shared" si="33"/>
        <v>5.05</v>
      </c>
      <c r="K553" s="7">
        <f t="shared" si="34"/>
        <v>45962</v>
      </c>
      <c r="L553" t="str">
        <f t="shared" si="35"/>
        <v>Q4-2025</v>
      </c>
    </row>
    <row r="554" spans="1:12">
      <c r="A554" s="6">
        <v>45968</v>
      </c>
      <c r="B554" t="s">
        <v>32</v>
      </c>
      <c r="C554" t="s">
        <v>33</v>
      </c>
      <c r="D554" s="2">
        <v>2392.6629078382289</v>
      </c>
      <c r="E554" s="2">
        <v>2400.5823547818391</v>
      </c>
      <c r="F554" s="2">
        <v>2376.428138276764</v>
      </c>
      <c r="G554" s="2">
        <v>2389.693115234375</v>
      </c>
      <c r="H554" s="3">
        <v>817896</v>
      </c>
      <c r="I554" s="4">
        <f t="shared" si="32"/>
        <v>-0.68</v>
      </c>
      <c r="J554" s="2">
        <f t="shared" si="33"/>
        <v>10.89</v>
      </c>
      <c r="K554" s="7">
        <f t="shared" si="34"/>
        <v>45962</v>
      </c>
      <c r="L554" t="str">
        <f t="shared" si="35"/>
        <v>Q4-2025</v>
      </c>
    </row>
    <row r="555" spans="1:12">
      <c r="A555" s="6">
        <v>45968</v>
      </c>
      <c r="B555" t="s">
        <v>34</v>
      </c>
      <c r="C555" t="s">
        <v>35</v>
      </c>
      <c r="D555" s="2">
        <v>3839.5973985882929</v>
      </c>
      <c r="E555" s="2">
        <v>3855.2443737625999</v>
      </c>
      <c r="F555" s="2">
        <v>3794.0423507725741</v>
      </c>
      <c r="G555" s="2">
        <v>3844.945068359375</v>
      </c>
      <c r="H555" s="3">
        <v>1577294</v>
      </c>
      <c r="I555" s="4">
        <f t="shared" si="32"/>
        <v>-1.19</v>
      </c>
      <c r="J555" s="2">
        <f t="shared" si="33"/>
        <v>10.3</v>
      </c>
      <c r="K555" s="7">
        <f t="shared" si="34"/>
        <v>45962</v>
      </c>
      <c r="L555" t="str">
        <f t="shared" si="35"/>
        <v>Q4-2025</v>
      </c>
    </row>
    <row r="556" spans="1:12">
      <c r="A556" s="6">
        <v>45968</v>
      </c>
      <c r="B556" t="s">
        <v>36</v>
      </c>
      <c r="C556" t="s">
        <v>37</v>
      </c>
      <c r="D556" s="2">
        <v>1226.0543803853741</v>
      </c>
      <c r="E556" s="2">
        <v>1227.8530419588301</v>
      </c>
      <c r="F556" s="2">
        <v>1216.062087146699</v>
      </c>
      <c r="G556" s="2">
        <v>1221.857666015625</v>
      </c>
      <c r="H556" s="3">
        <v>3461466</v>
      </c>
      <c r="I556" s="4">
        <f t="shared" si="32"/>
        <v>-0.81</v>
      </c>
      <c r="J556" s="2">
        <f t="shared" si="33"/>
        <v>6</v>
      </c>
      <c r="K556" s="7">
        <f t="shared" si="34"/>
        <v>45962</v>
      </c>
      <c r="L556" t="str">
        <f t="shared" si="35"/>
        <v>Q4-2025</v>
      </c>
    </row>
    <row r="557" spans="1:12">
      <c r="A557" s="6">
        <v>45971</v>
      </c>
      <c r="B557" t="s">
        <v>8</v>
      </c>
      <c r="C557" t="s">
        <v>9</v>
      </c>
      <c r="D557" s="2">
        <v>1471.09824302435</v>
      </c>
      <c r="E557" s="2">
        <v>1494.0919049345</v>
      </c>
      <c r="F557" s="2">
        <v>1468.7092643110291</v>
      </c>
      <c r="G557" s="2">
        <v>1482.44580078125</v>
      </c>
      <c r="H557" s="3">
        <v>7068438</v>
      </c>
      <c r="I557" s="4">
        <f t="shared" si="32"/>
        <v>-0.16</v>
      </c>
      <c r="J557" s="2">
        <f t="shared" si="33"/>
        <v>11.65</v>
      </c>
      <c r="K557" s="7">
        <f t="shared" si="34"/>
        <v>45962</v>
      </c>
      <c r="L557" t="str">
        <f t="shared" si="35"/>
        <v>Q4-2025</v>
      </c>
    </row>
    <row r="558" spans="1:12">
      <c r="A558" s="6">
        <v>45971</v>
      </c>
      <c r="B558" t="s">
        <v>10</v>
      </c>
      <c r="C558" t="s">
        <v>11</v>
      </c>
      <c r="D558" s="2">
        <v>2884.4222751611442</v>
      </c>
      <c r="E558" s="2">
        <v>2937.3305615709291</v>
      </c>
      <c r="F558" s="2">
        <v>2883.458552382941</v>
      </c>
      <c r="G558" s="2">
        <v>2915.4541015625</v>
      </c>
      <c r="H558" s="3">
        <v>1556656</v>
      </c>
      <c r="I558" s="4">
        <f t="shared" si="32"/>
        <v>-0.03</v>
      </c>
      <c r="J558" s="2">
        <f t="shared" si="33"/>
        <v>21.88</v>
      </c>
      <c r="K558" s="7">
        <f t="shared" si="34"/>
        <v>45962</v>
      </c>
      <c r="L558" t="str">
        <f t="shared" si="35"/>
        <v>Q4-2025</v>
      </c>
    </row>
    <row r="559" spans="1:12">
      <c r="A559" s="6">
        <v>45971</v>
      </c>
      <c r="B559" t="s">
        <v>12</v>
      </c>
      <c r="C559" t="s">
        <v>13</v>
      </c>
      <c r="D559" s="2">
        <v>1458.538117183911</v>
      </c>
      <c r="E559" s="2">
        <v>1487.8048281611329</v>
      </c>
      <c r="F559" s="2">
        <v>1458.4402591842691</v>
      </c>
      <c r="G559" s="2">
        <v>1481.442504882812</v>
      </c>
      <c r="H559" s="3">
        <v>9787975</v>
      </c>
      <c r="I559" s="4">
        <f t="shared" si="32"/>
        <v>-0.01</v>
      </c>
      <c r="J559" s="2">
        <f t="shared" si="33"/>
        <v>6.36</v>
      </c>
      <c r="K559" s="7">
        <f t="shared" si="34"/>
        <v>45962</v>
      </c>
      <c r="L559" t="str">
        <f t="shared" si="35"/>
        <v>Q4-2025</v>
      </c>
    </row>
    <row r="560" spans="1:12">
      <c r="A560" s="6">
        <v>45971</v>
      </c>
      <c r="B560" t="s">
        <v>14</v>
      </c>
      <c r="C560" t="s">
        <v>15</v>
      </c>
      <c r="D560" s="2">
        <v>966.31765524836783</v>
      </c>
      <c r="E560" s="2">
        <v>974.82694102003757</v>
      </c>
      <c r="F560" s="2">
        <v>964.25184693166284</v>
      </c>
      <c r="G560" s="2">
        <v>968.48187255859375</v>
      </c>
      <c r="H560" s="3">
        <v>15988262</v>
      </c>
      <c r="I560" s="4">
        <f t="shared" si="32"/>
        <v>-0.21</v>
      </c>
      <c r="J560" s="2">
        <f t="shared" si="33"/>
        <v>6.35</v>
      </c>
      <c r="K560" s="7">
        <f t="shared" si="34"/>
        <v>45962</v>
      </c>
      <c r="L560" t="str">
        <f t="shared" si="35"/>
        <v>Q4-2025</v>
      </c>
    </row>
    <row r="561" spans="1:12">
      <c r="A561" s="6">
        <v>45971</v>
      </c>
      <c r="B561" t="s">
        <v>16</v>
      </c>
      <c r="C561" t="s">
        <v>17</v>
      </c>
      <c r="D561" s="2">
        <v>1331.673373127483</v>
      </c>
      <c r="E561" s="2">
        <v>1338.3173126722261</v>
      </c>
      <c r="F561" s="2">
        <v>1329.789232927543</v>
      </c>
      <c r="G561" s="2">
        <v>1336.730712890625</v>
      </c>
      <c r="H561" s="3">
        <v>8542340</v>
      </c>
      <c r="I561" s="4">
        <f t="shared" si="32"/>
        <v>-0.14000000000000001</v>
      </c>
      <c r="J561" s="2">
        <f t="shared" si="33"/>
        <v>1.59</v>
      </c>
      <c r="K561" s="7">
        <f t="shared" si="34"/>
        <v>45962</v>
      </c>
      <c r="L561" t="str">
        <f t="shared" si="35"/>
        <v>Q4-2025</v>
      </c>
    </row>
    <row r="562" spans="1:12">
      <c r="A562" s="6">
        <v>45971</v>
      </c>
      <c r="B562" t="s">
        <v>18</v>
      </c>
      <c r="C562" t="s">
        <v>19</v>
      </c>
      <c r="D562" s="2">
        <v>228.8505230541825</v>
      </c>
      <c r="E562" s="2">
        <v>232.8118428813421</v>
      </c>
      <c r="F562" s="2">
        <v>228.4457184734184</v>
      </c>
      <c r="G562" s="2">
        <v>231.1636962890625</v>
      </c>
      <c r="H562" s="3">
        <v>8566758</v>
      </c>
      <c r="I562" s="4">
        <f t="shared" si="32"/>
        <v>-0.18</v>
      </c>
      <c r="J562" s="2">
        <f t="shared" si="33"/>
        <v>1.65</v>
      </c>
      <c r="K562" s="7">
        <f t="shared" si="34"/>
        <v>45962</v>
      </c>
      <c r="L562" t="str">
        <f t="shared" si="35"/>
        <v>Q4-2025</v>
      </c>
    </row>
    <row r="563" spans="1:12">
      <c r="A563" s="6">
        <v>45971</v>
      </c>
      <c r="B563" t="s">
        <v>20</v>
      </c>
      <c r="C563" t="s">
        <v>21</v>
      </c>
      <c r="D563" s="2">
        <v>1463.8268869431599</v>
      </c>
      <c r="E563" s="2">
        <v>1489.766925807937</v>
      </c>
      <c r="F563" s="2">
        <v>1457.462445760114</v>
      </c>
      <c r="G563" s="2">
        <v>1485.52392578125</v>
      </c>
      <c r="H563" s="3">
        <v>1558896</v>
      </c>
      <c r="I563" s="4">
        <f t="shared" si="32"/>
        <v>-0.43</v>
      </c>
      <c r="J563" s="2">
        <f t="shared" si="33"/>
        <v>4.24</v>
      </c>
      <c r="K563" s="7">
        <f t="shared" si="34"/>
        <v>45962</v>
      </c>
      <c r="L563" t="str">
        <f t="shared" si="35"/>
        <v>Q4-2025</v>
      </c>
    </row>
    <row r="564" spans="1:12">
      <c r="A564" s="6">
        <v>45971</v>
      </c>
      <c r="B564" t="s">
        <v>22</v>
      </c>
      <c r="C564" t="s">
        <v>23</v>
      </c>
      <c r="D564" s="2">
        <v>1060.0833659595751</v>
      </c>
      <c r="E564" s="2">
        <v>1081.3526425691241</v>
      </c>
      <c r="F564" s="2">
        <v>1056.4060203924021</v>
      </c>
      <c r="G564" s="2">
        <v>1078.370971679688</v>
      </c>
      <c r="H564" s="3">
        <v>5692236</v>
      </c>
      <c r="I564" s="4">
        <f t="shared" si="32"/>
        <v>-0.35</v>
      </c>
      <c r="J564" s="2">
        <f t="shared" si="33"/>
        <v>2.98</v>
      </c>
      <c r="K564" s="7">
        <f t="shared" si="34"/>
        <v>45962</v>
      </c>
      <c r="L564" t="str">
        <f t="shared" si="35"/>
        <v>Q4-2025</v>
      </c>
    </row>
    <row r="565" spans="1:12">
      <c r="A565" s="6">
        <v>45971</v>
      </c>
      <c r="B565" t="s">
        <v>24</v>
      </c>
      <c r="C565" t="s">
        <v>25</v>
      </c>
      <c r="D565" s="2">
        <v>15227.074126502041</v>
      </c>
      <c r="E565" s="2">
        <v>15491.419301519991</v>
      </c>
      <c r="F565" s="2">
        <v>15227.074126502041</v>
      </c>
      <c r="G565" s="2">
        <v>15428.0556640625</v>
      </c>
      <c r="H565" s="3">
        <v>274191</v>
      </c>
      <c r="I565" s="4">
        <f t="shared" si="32"/>
        <v>0</v>
      </c>
      <c r="J565" s="2">
        <f t="shared" si="33"/>
        <v>63.36</v>
      </c>
      <c r="K565" s="7">
        <f t="shared" si="34"/>
        <v>45962</v>
      </c>
      <c r="L565" t="str">
        <f t="shared" si="35"/>
        <v>Q4-2025</v>
      </c>
    </row>
    <row r="566" spans="1:12">
      <c r="A566" s="6">
        <v>45971</v>
      </c>
      <c r="B566" t="s">
        <v>26</v>
      </c>
      <c r="C566" t="s">
        <v>27</v>
      </c>
      <c r="D566" s="2">
        <v>402.65981001999609</v>
      </c>
      <c r="E566" s="2">
        <v>409.55264399763121</v>
      </c>
      <c r="F566" s="2">
        <v>402.65981001999609</v>
      </c>
      <c r="G566" s="2">
        <v>407.07321166992188</v>
      </c>
      <c r="H566" s="3">
        <v>7913640</v>
      </c>
      <c r="I566" s="4">
        <f t="shared" si="32"/>
        <v>0</v>
      </c>
      <c r="J566" s="2">
        <f t="shared" si="33"/>
        <v>2.48</v>
      </c>
      <c r="K566" s="7">
        <f t="shared" si="34"/>
        <v>45962</v>
      </c>
      <c r="L566" t="str">
        <f t="shared" si="35"/>
        <v>Q4-2025</v>
      </c>
    </row>
    <row r="567" spans="1:12">
      <c r="A567" s="6">
        <v>45971</v>
      </c>
      <c r="B567" t="s">
        <v>28</v>
      </c>
      <c r="C567" t="s">
        <v>29</v>
      </c>
      <c r="D567" s="2">
        <v>1682.13601650746</v>
      </c>
      <c r="E567" s="2">
        <v>1687.685307008001</v>
      </c>
      <c r="F567" s="2">
        <v>1670.541960980162</v>
      </c>
      <c r="G567" s="2">
        <v>1682.433349609375</v>
      </c>
      <c r="H567" s="3">
        <v>1235665</v>
      </c>
      <c r="I567" s="4">
        <f t="shared" si="32"/>
        <v>-0.69</v>
      </c>
      <c r="J567" s="2">
        <f t="shared" si="33"/>
        <v>5.25</v>
      </c>
      <c r="K567" s="7">
        <f t="shared" si="34"/>
        <v>45962</v>
      </c>
      <c r="L567" t="str">
        <f t="shared" si="35"/>
        <v>Q4-2025</v>
      </c>
    </row>
    <row r="568" spans="1:12">
      <c r="A568" s="6">
        <v>45971</v>
      </c>
      <c r="B568" t="s">
        <v>30</v>
      </c>
      <c r="C568" t="s">
        <v>31</v>
      </c>
      <c r="D568" s="2">
        <v>2587.2797982746251</v>
      </c>
      <c r="E568" s="2">
        <v>2639.7420473935022</v>
      </c>
      <c r="F568" s="2">
        <v>2584.607241463536</v>
      </c>
      <c r="G568" s="2">
        <v>2623.50830078125</v>
      </c>
      <c r="H568" s="3">
        <v>1706880</v>
      </c>
      <c r="I568" s="4">
        <f t="shared" si="32"/>
        <v>-0.1</v>
      </c>
      <c r="J568" s="2">
        <f t="shared" si="33"/>
        <v>16.23</v>
      </c>
      <c r="K568" s="7">
        <f t="shared" si="34"/>
        <v>45962</v>
      </c>
      <c r="L568" t="str">
        <f t="shared" si="35"/>
        <v>Q4-2025</v>
      </c>
    </row>
    <row r="569" spans="1:12">
      <c r="A569" s="6">
        <v>45971</v>
      </c>
      <c r="B569" t="s">
        <v>32</v>
      </c>
      <c r="C569" t="s">
        <v>33</v>
      </c>
      <c r="D569" s="2">
        <v>2380.7836246996758</v>
      </c>
      <c r="E569" s="2">
        <v>2404.8389919884089</v>
      </c>
      <c r="F569" s="2">
        <v>2379.7936938785961</v>
      </c>
      <c r="G569" s="2">
        <v>2384.54541015625</v>
      </c>
      <c r="H569" s="3">
        <v>780558</v>
      </c>
      <c r="I569" s="4">
        <f t="shared" si="32"/>
        <v>-0.04</v>
      </c>
      <c r="J569" s="2">
        <f t="shared" si="33"/>
        <v>20.29</v>
      </c>
      <c r="K569" s="7">
        <f t="shared" si="34"/>
        <v>45962</v>
      </c>
      <c r="L569" t="str">
        <f t="shared" si="35"/>
        <v>Q4-2025</v>
      </c>
    </row>
    <row r="570" spans="1:12">
      <c r="A570" s="6">
        <v>45971</v>
      </c>
      <c r="B570" t="s">
        <v>34</v>
      </c>
      <c r="C570" t="s">
        <v>35</v>
      </c>
      <c r="D570" s="2">
        <v>3857.3242358837679</v>
      </c>
      <c r="E570" s="2">
        <v>3905.6522489921222</v>
      </c>
      <c r="F570" s="2">
        <v>3856.3339087372001</v>
      </c>
      <c r="G570" s="2">
        <v>3880.596923828125</v>
      </c>
      <c r="H570" s="3">
        <v>1397176</v>
      </c>
      <c r="I570" s="4">
        <f t="shared" si="32"/>
        <v>-0.03</v>
      </c>
      <c r="J570" s="2">
        <f t="shared" si="33"/>
        <v>25.06</v>
      </c>
      <c r="K570" s="7">
        <f t="shared" si="34"/>
        <v>45962</v>
      </c>
      <c r="L570" t="str">
        <f t="shared" si="35"/>
        <v>Q4-2025</v>
      </c>
    </row>
    <row r="571" spans="1:12">
      <c r="A571" s="6">
        <v>45971</v>
      </c>
      <c r="B571" t="s">
        <v>36</v>
      </c>
      <c r="C571" t="s">
        <v>37</v>
      </c>
      <c r="D571" s="2">
        <v>1221.058280600028</v>
      </c>
      <c r="E571" s="2">
        <v>1231.850006502211</v>
      </c>
      <c r="F571" s="2">
        <v>1214.5632897457731</v>
      </c>
      <c r="G571" s="2">
        <v>1216.062133789062</v>
      </c>
      <c r="H571" s="3">
        <v>4140568</v>
      </c>
      <c r="I571" s="4">
        <f t="shared" si="32"/>
        <v>-0.53</v>
      </c>
      <c r="J571" s="2">
        <f t="shared" si="33"/>
        <v>15.79</v>
      </c>
      <c r="K571" s="7">
        <f t="shared" si="34"/>
        <v>45962</v>
      </c>
      <c r="L571" t="str">
        <f t="shared" si="35"/>
        <v>Q4-2025</v>
      </c>
    </row>
    <row r="572" spans="1:12">
      <c r="A572" s="6">
        <v>45972</v>
      </c>
      <c r="B572" t="s">
        <v>8</v>
      </c>
      <c r="C572" t="s">
        <v>9</v>
      </c>
      <c r="D572" s="2">
        <v>1490.110385024996</v>
      </c>
      <c r="E572" s="2">
        <v>1491.902149522218</v>
      </c>
      <c r="F572" s="2">
        <v>1473.3876547459599</v>
      </c>
      <c r="G572" s="2">
        <v>1486.526977539062</v>
      </c>
      <c r="H572" s="3">
        <v>7127506</v>
      </c>
      <c r="I572" s="4">
        <f t="shared" si="32"/>
        <v>-1.1200000000000001</v>
      </c>
      <c r="J572" s="2">
        <f t="shared" si="33"/>
        <v>5.38</v>
      </c>
      <c r="K572" s="7">
        <f t="shared" si="34"/>
        <v>45962</v>
      </c>
      <c r="L572" t="str">
        <f t="shared" si="35"/>
        <v>Q4-2025</v>
      </c>
    </row>
    <row r="573" spans="1:12">
      <c r="A573" s="6">
        <v>45972</v>
      </c>
      <c r="B573" t="s">
        <v>10</v>
      </c>
      <c r="C573" t="s">
        <v>11</v>
      </c>
      <c r="D573" s="2">
        <v>2934.535933301454</v>
      </c>
      <c r="E573" s="2">
        <v>2944.8477202303338</v>
      </c>
      <c r="F573" s="2">
        <v>2908.5154176367118</v>
      </c>
      <c r="G573" s="2">
        <v>2936.46337890625</v>
      </c>
      <c r="H573" s="3">
        <v>2806868</v>
      </c>
      <c r="I573" s="4">
        <f t="shared" si="32"/>
        <v>-0.89</v>
      </c>
      <c r="J573" s="2">
        <f t="shared" si="33"/>
        <v>8.3800000000000008</v>
      </c>
      <c r="K573" s="7">
        <f t="shared" si="34"/>
        <v>45962</v>
      </c>
      <c r="L573" t="str">
        <f t="shared" si="35"/>
        <v>Q4-2025</v>
      </c>
    </row>
    <row r="574" spans="1:12">
      <c r="A574" s="6">
        <v>45972</v>
      </c>
      <c r="B574" t="s">
        <v>12</v>
      </c>
      <c r="C574" t="s">
        <v>13</v>
      </c>
      <c r="D574" s="2">
        <v>1492.69893041107</v>
      </c>
      <c r="E574" s="2">
        <v>1500.921033662413</v>
      </c>
      <c r="F574" s="2">
        <v>1479.093322820539</v>
      </c>
      <c r="G574" s="2">
        <v>1497.88671875</v>
      </c>
      <c r="H574" s="3">
        <v>13692989</v>
      </c>
      <c r="I574" s="4">
        <f t="shared" si="32"/>
        <v>-0.91</v>
      </c>
      <c r="J574" s="2">
        <f t="shared" si="33"/>
        <v>3.03</v>
      </c>
      <c r="K574" s="7">
        <f t="shared" si="34"/>
        <v>45962</v>
      </c>
      <c r="L574" t="str">
        <f t="shared" si="35"/>
        <v>Q4-2025</v>
      </c>
    </row>
    <row r="575" spans="1:12">
      <c r="A575" s="6">
        <v>45972</v>
      </c>
      <c r="B575" t="s">
        <v>14</v>
      </c>
      <c r="C575" t="s">
        <v>15</v>
      </c>
      <c r="D575" s="2">
        <v>967.49810219871188</v>
      </c>
      <c r="E575" s="2">
        <v>977.33539861151019</v>
      </c>
      <c r="F575" s="2">
        <v>962.0875891716729</v>
      </c>
      <c r="G575" s="2">
        <v>975.564697265625</v>
      </c>
      <c r="H575" s="3">
        <v>10200530</v>
      </c>
      <c r="I575" s="4">
        <f t="shared" si="32"/>
        <v>-0.56000000000000005</v>
      </c>
      <c r="J575" s="2">
        <f t="shared" si="33"/>
        <v>1.77</v>
      </c>
      <c r="K575" s="7">
        <f t="shared" si="34"/>
        <v>45962</v>
      </c>
      <c r="L575" t="str">
        <f t="shared" si="35"/>
        <v>Q4-2025</v>
      </c>
    </row>
    <row r="576" spans="1:12">
      <c r="A576" s="6">
        <v>45972</v>
      </c>
      <c r="B576" t="s">
        <v>16</v>
      </c>
      <c r="C576" t="s">
        <v>17</v>
      </c>
      <c r="D576" s="2">
        <v>1337.7222802082899</v>
      </c>
      <c r="E576" s="2">
        <v>1349.026999743953</v>
      </c>
      <c r="F576" s="2">
        <v>1334.945639953987</v>
      </c>
      <c r="G576" s="2">
        <v>1346.944580078125</v>
      </c>
      <c r="H576" s="3">
        <v>8305184</v>
      </c>
      <c r="I576" s="4">
        <f t="shared" si="32"/>
        <v>-0.21</v>
      </c>
      <c r="J576" s="2">
        <f t="shared" si="33"/>
        <v>2.08</v>
      </c>
      <c r="K576" s="7">
        <f t="shared" si="34"/>
        <v>45962</v>
      </c>
      <c r="L576" t="str">
        <f t="shared" si="35"/>
        <v>Q4-2025</v>
      </c>
    </row>
    <row r="577" spans="1:12">
      <c r="A577" s="6">
        <v>45972</v>
      </c>
      <c r="B577" t="s">
        <v>18</v>
      </c>
      <c r="C577" t="s">
        <v>19</v>
      </c>
      <c r="D577" s="2">
        <v>232.37812434127611</v>
      </c>
      <c r="E577" s="2">
        <v>233.29375479906909</v>
      </c>
      <c r="F577" s="2">
        <v>230.17095770119741</v>
      </c>
      <c r="G577" s="2">
        <v>232.94677734375</v>
      </c>
      <c r="H577" s="3">
        <v>8831094</v>
      </c>
      <c r="I577" s="4">
        <f t="shared" si="32"/>
        <v>-0.95</v>
      </c>
      <c r="J577" s="2">
        <f t="shared" si="33"/>
        <v>0.35</v>
      </c>
      <c r="K577" s="7">
        <f t="shared" si="34"/>
        <v>45962</v>
      </c>
      <c r="L577" t="str">
        <f t="shared" si="35"/>
        <v>Q4-2025</v>
      </c>
    </row>
    <row r="578" spans="1:12">
      <c r="A578" s="6">
        <v>45972</v>
      </c>
      <c r="B578" t="s">
        <v>20</v>
      </c>
      <c r="C578" t="s">
        <v>21</v>
      </c>
      <c r="D578" s="2">
        <v>1492.563492982782</v>
      </c>
      <c r="E578" s="2">
        <v>1516.381973558171</v>
      </c>
      <c r="F578" s="2">
        <v>1486.1989339305339</v>
      </c>
      <c r="G578" s="2">
        <v>1513.97119140625</v>
      </c>
      <c r="H578" s="3">
        <v>2270763</v>
      </c>
      <c r="I578" s="4">
        <f t="shared" ref="I578:I641" si="36">ROUND(((F578-D578)/D578)*100, 2)</f>
        <v>-0.43</v>
      </c>
      <c r="J578" s="2">
        <f t="shared" ref="J578:J641" si="37">ROUND(E578-G578, 2)</f>
        <v>2.41</v>
      </c>
      <c r="K578" s="7">
        <f t="shared" ref="K578:K641" si="38">DATE(YEAR(A578),MONTH(A578),1)</f>
        <v>45962</v>
      </c>
      <c r="L578" t="str">
        <f t="shared" ref="L578:L641" si="39">"Q"&amp;INT((MONTH(A578)-1)/3)+1&amp;"-"&amp;YEAR(A578)</f>
        <v>Q4-2025</v>
      </c>
    </row>
    <row r="579" spans="1:12">
      <c r="A579" s="6">
        <v>45972</v>
      </c>
      <c r="B579" t="s">
        <v>22</v>
      </c>
      <c r="C579" t="s">
        <v>23</v>
      </c>
      <c r="D579" s="2">
        <v>1037.3233116315951</v>
      </c>
      <c r="E579" s="2">
        <v>1037.3233116315951</v>
      </c>
      <c r="F579" s="2">
        <v>990.90868073288573</v>
      </c>
      <c r="G579" s="2">
        <v>999.05859375</v>
      </c>
      <c r="H579" s="3">
        <v>23762890</v>
      </c>
      <c r="I579" s="4">
        <f t="shared" si="36"/>
        <v>-4.47</v>
      </c>
      <c r="J579" s="2">
        <f t="shared" si="37"/>
        <v>38.26</v>
      </c>
      <c r="K579" s="7">
        <f t="shared" si="38"/>
        <v>45962</v>
      </c>
      <c r="L579" t="str">
        <f t="shared" si="39"/>
        <v>Q4-2025</v>
      </c>
    </row>
    <row r="580" spans="1:12">
      <c r="A580" s="6">
        <v>45972</v>
      </c>
      <c r="B580" t="s">
        <v>24</v>
      </c>
      <c r="C580" t="s">
        <v>25</v>
      </c>
      <c r="D580" s="2">
        <v>15484.488192613449</v>
      </c>
      <c r="E580" s="2">
        <v>15524.090464205819</v>
      </c>
      <c r="F580" s="2">
        <v>15357.760923517901</v>
      </c>
      <c r="G580" s="2">
        <v>15489.4384765625</v>
      </c>
      <c r="H580" s="3">
        <v>181524</v>
      </c>
      <c r="I580" s="4">
        <f t="shared" si="36"/>
        <v>-0.82</v>
      </c>
      <c r="J580" s="2">
        <f t="shared" si="37"/>
        <v>34.65</v>
      </c>
      <c r="K580" s="7">
        <f t="shared" si="38"/>
        <v>45962</v>
      </c>
      <c r="L580" t="str">
        <f t="shared" si="39"/>
        <v>Q4-2025</v>
      </c>
    </row>
    <row r="581" spans="1:12">
      <c r="A581" s="6">
        <v>45972</v>
      </c>
      <c r="B581" t="s">
        <v>26</v>
      </c>
      <c r="C581" t="s">
        <v>27</v>
      </c>
      <c r="D581" s="2">
        <v>409.15593168579818</v>
      </c>
      <c r="E581" s="2">
        <v>410.29649482849618</v>
      </c>
      <c r="F581" s="2">
        <v>399.33738521566107</v>
      </c>
      <c r="G581" s="2">
        <v>404.24667358398438</v>
      </c>
      <c r="H581" s="3">
        <v>8120946</v>
      </c>
      <c r="I581" s="4">
        <f t="shared" si="36"/>
        <v>-2.4</v>
      </c>
      <c r="J581" s="2">
        <f t="shared" si="37"/>
        <v>6.05</v>
      </c>
      <c r="K581" s="7">
        <f t="shared" si="38"/>
        <v>45962</v>
      </c>
      <c r="L581" t="str">
        <f t="shared" si="39"/>
        <v>Q4-2025</v>
      </c>
    </row>
    <row r="582" spans="1:12">
      <c r="A582" s="6">
        <v>45972</v>
      </c>
      <c r="B582" t="s">
        <v>28</v>
      </c>
      <c r="C582" t="s">
        <v>29</v>
      </c>
      <c r="D582" s="2">
        <v>1686.198865842689</v>
      </c>
      <c r="E582" s="2">
        <v>1703.441403368304</v>
      </c>
      <c r="F582" s="2">
        <v>1679.6586263579261</v>
      </c>
      <c r="G582" s="2">
        <v>1700.567626953125</v>
      </c>
      <c r="H582" s="3">
        <v>1315353</v>
      </c>
      <c r="I582" s="4">
        <f t="shared" si="36"/>
        <v>-0.39</v>
      </c>
      <c r="J582" s="2">
        <f t="shared" si="37"/>
        <v>2.87</v>
      </c>
      <c r="K582" s="7">
        <f t="shared" si="38"/>
        <v>45962</v>
      </c>
      <c r="L582" t="str">
        <f t="shared" si="39"/>
        <v>Q4-2025</v>
      </c>
    </row>
    <row r="583" spans="1:12">
      <c r="A583" s="6">
        <v>45972</v>
      </c>
      <c r="B583" t="s">
        <v>30</v>
      </c>
      <c r="C583" t="s">
        <v>31</v>
      </c>
      <c r="D583" s="2">
        <v>2623.5084476961588</v>
      </c>
      <c r="E583" s="2">
        <v>2637.861327975832</v>
      </c>
      <c r="F583" s="2">
        <v>2606.6809328855088</v>
      </c>
      <c r="G583" s="2">
        <v>2630.239501953125</v>
      </c>
      <c r="H583" s="3">
        <v>776404</v>
      </c>
      <c r="I583" s="4">
        <f t="shared" si="36"/>
        <v>-0.64</v>
      </c>
      <c r="J583" s="2">
        <f t="shared" si="37"/>
        <v>7.62</v>
      </c>
      <c r="K583" s="7">
        <f t="shared" si="38"/>
        <v>45962</v>
      </c>
      <c r="L583" t="str">
        <f t="shared" si="39"/>
        <v>Q4-2025</v>
      </c>
    </row>
    <row r="584" spans="1:12">
      <c r="A584" s="6">
        <v>45972</v>
      </c>
      <c r="B584" t="s">
        <v>32</v>
      </c>
      <c r="C584" t="s">
        <v>33</v>
      </c>
      <c r="D584" s="2">
        <v>2397.810447085456</v>
      </c>
      <c r="E584" s="2">
        <v>2409.1946518155992</v>
      </c>
      <c r="F584" s="2">
        <v>2378.9029129343589</v>
      </c>
      <c r="G584" s="2">
        <v>2403.05712890625</v>
      </c>
      <c r="H584" s="3">
        <v>1422399</v>
      </c>
      <c r="I584" s="4">
        <f t="shared" si="36"/>
        <v>-0.79</v>
      </c>
      <c r="J584" s="2">
        <f t="shared" si="37"/>
        <v>6.14</v>
      </c>
      <c r="K584" s="7">
        <f t="shared" si="38"/>
        <v>45962</v>
      </c>
      <c r="L584" t="str">
        <f t="shared" si="39"/>
        <v>Q4-2025</v>
      </c>
    </row>
    <row r="585" spans="1:12">
      <c r="A585" s="6">
        <v>45972</v>
      </c>
      <c r="B585" t="s">
        <v>34</v>
      </c>
      <c r="C585" t="s">
        <v>35</v>
      </c>
      <c r="D585" s="2">
        <v>3890.9951479288479</v>
      </c>
      <c r="E585" s="2">
        <v>3928.4295603955588</v>
      </c>
      <c r="F585" s="2">
        <v>3859.3046809566608</v>
      </c>
      <c r="G585" s="2">
        <v>3916.74365234375</v>
      </c>
      <c r="H585" s="3">
        <v>1775462</v>
      </c>
      <c r="I585" s="4">
        <f t="shared" si="36"/>
        <v>-0.81</v>
      </c>
      <c r="J585" s="2">
        <f t="shared" si="37"/>
        <v>11.69</v>
      </c>
      <c r="K585" s="7">
        <f t="shared" si="38"/>
        <v>45962</v>
      </c>
      <c r="L585" t="str">
        <f t="shared" si="39"/>
        <v>Q4-2025</v>
      </c>
    </row>
    <row r="586" spans="1:12">
      <c r="A586" s="6">
        <v>45972</v>
      </c>
      <c r="B586" t="s">
        <v>36</v>
      </c>
      <c r="C586" t="s">
        <v>37</v>
      </c>
      <c r="D586" s="2">
        <v>1217.1612278614309</v>
      </c>
      <c r="E586" s="2">
        <v>1224.0559346641739</v>
      </c>
      <c r="F586" s="2">
        <v>1208.467981442474</v>
      </c>
      <c r="G586" s="2">
        <v>1221.557861328125</v>
      </c>
      <c r="H586" s="3">
        <v>5615453</v>
      </c>
      <c r="I586" s="4">
        <f t="shared" si="36"/>
        <v>-0.71</v>
      </c>
      <c r="J586" s="2">
        <f t="shared" si="37"/>
        <v>2.5</v>
      </c>
      <c r="K586" s="7">
        <f t="shared" si="38"/>
        <v>45962</v>
      </c>
      <c r="L586" t="str">
        <f t="shared" si="39"/>
        <v>Q4-2025</v>
      </c>
    </row>
    <row r="587" spans="1:12">
      <c r="A587" s="6">
        <v>45973</v>
      </c>
      <c r="B587" t="s">
        <v>8</v>
      </c>
      <c r="C587" t="s">
        <v>9</v>
      </c>
      <c r="D587" s="2">
        <v>1498.0734942427071</v>
      </c>
      <c r="E587" s="2">
        <v>1517.68277974999</v>
      </c>
      <c r="F587" s="2">
        <v>1493.0965058897409</v>
      </c>
      <c r="G587" s="2">
        <v>1504.543579101562</v>
      </c>
      <c r="H587" s="3">
        <v>12384459</v>
      </c>
      <c r="I587" s="4">
        <f t="shared" si="36"/>
        <v>-0.33</v>
      </c>
      <c r="J587" s="2">
        <f t="shared" si="37"/>
        <v>13.14</v>
      </c>
      <c r="K587" s="7">
        <f t="shared" si="38"/>
        <v>45962</v>
      </c>
      <c r="L587" t="str">
        <f t="shared" si="39"/>
        <v>Q4-2025</v>
      </c>
    </row>
    <row r="588" spans="1:12">
      <c r="A588" s="6">
        <v>45973</v>
      </c>
      <c r="B588" t="s">
        <v>10</v>
      </c>
      <c r="C588" t="s">
        <v>11</v>
      </c>
      <c r="D588" s="2">
        <v>2948.9916699232522</v>
      </c>
      <c r="E588" s="2">
        <v>3022.619995280987</v>
      </c>
      <c r="F588" s="2">
        <v>2946.1969680097518</v>
      </c>
      <c r="G588" s="2">
        <v>3018.18701171875</v>
      </c>
      <c r="H588" s="3">
        <v>4460315</v>
      </c>
      <c r="I588" s="4">
        <f t="shared" si="36"/>
        <v>-0.09</v>
      </c>
      <c r="J588" s="2">
        <f t="shared" si="37"/>
        <v>4.43</v>
      </c>
      <c r="K588" s="7">
        <f t="shared" si="38"/>
        <v>45962</v>
      </c>
      <c r="L588" t="str">
        <f t="shared" si="39"/>
        <v>Q4-2025</v>
      </c>
    </row>
    <row r="589" spans="1:12">
      <c r="A589" s="6">
        <v>45973</v>
      </c>
      <c r="B589" t="s">
        <v>12</v>
      </c>
      <c r="C589" t="s">
        <v>13</v>
      </c>
      <c r="D589" s="2">
        <v>1507.3812396717749</v>
      </c>
      <c r="E589" s="2">
        <v>1526.174516424436</v>
      </c>
      <c r="F589" s="2">
        <v>1505.5214596999069</v>
      </c>
      <c r="G589" s="2">
        <v>1518.833374023438</v>
      </c>
      <c r="H589" s="3">
        <v>14635417</v>
      </c>
      <c r="I589" s="4">
        <f t="shared" si="36"/>
        <v>-0.12</v>
      </c>
      <c r="J589" s="2">
        <f t="shared" si="37"/>
        <v>7.34</v>
      </c>
      <c r="K589" s="7">
        <f t="shared" si="38"/>
        <v>45962</v>
      </c>
      <c r="L589" t="str">
        <f t="shared" si="39"/>
        <v>Q4-2025</v>
      </c>
    </row>
    <row r="590" spans="1:12">
      <c r="A590" s="6">
        <v>45973</v>
      </c>
      <c r="B590" t="s">
        <v>14</v>
      </c>
      <c r="C590" t="s">
        <v>15</v>
      </c>
      <c r="D590" s="2">
        <v>982.54918665765297</v>
      </c>
      <c r="E590" s="2">
        <v>982.74594460092692</v>
      </c>
      <c r="F590" s="2">
        <v>971.62981129003595</v>
      </c>
      <c r="G590" s="2">
        <v>973.4005126953125</v>
      </c>
      <c r="H590" s="3">
        <v>13137263</v>
      </c>
      <c r="I590" s="4">
        <f t="shared" si="36"/>
        <v>-1.1100000000000001</v>
      </c>
      <c r="J590" s="2">
        <f t="shared" si="37"/>
        <v>9.35</v>
      </c>
      <c r="K590" s="7">
        <f t="shared" si="38"/>
        <v>45962</v>
      </c>
      <c r="L590" t="str">
        <f t="shared" si="39"/>
        <v>Q4-2025</v>
      </c>
    </row>
    <row r="591" spans="1:12">
      <c r="A591" s="6">
        <v>45973</v>
      </c>
      <c r="B591" t="s">
        <v>16</v>
      </c>
      <c r="C591" t="s">
        <v>17</v>
      </c>
      <c r="D591" s="2">
        <v>1358.546730004171</v>
      </c>
      <c r="E591" s="2">
        <v>1358.546730004171</v>
      </c>
      <c r="F591" s="2">
        <v>1344.068810960071</v>
      </c>
      <c r="G591" s="2">
        <v>1347.53955078125</v>
      </c>
      <c r="H591" s="3">
        <v>9736761</v>
      </c>
      <c r="I591" s="4">
        <f t="shared" si="36"/>
        <v>-1.07</v>
      </c>
      <c r="J591" s="2">
        <f t="shared" si="37"/>
        <v>11.01</v>
      </c>
      <c r="K591" s="7">
        <f t="shared" si="38"/>
        <v>45962</v>
      </c>
      <c r="L591" t="str">
        <f t="shared" si="39"/>
        <v>Q4-2025</v>
      </c>
    </row>
    <row r="592" spans="1:12">
      <c r="A592" s="6">
        <v>45973</v>
      </c>
      <c r="B592" t="s">
        <v>18</v>
      </c>
      <c r="C592" t="s">
        <v>19</v>
      </c>
      <c r="D592" s="2">
        <v>233.9684273211349</v>
      </c>
      <c r="E592" s="2">
        <v>237.39000767542939</v>
      </c>
      <c r="F592" s="2">
        <v>233.34194719866821</v>
      </c>
      <c r="G592" s="2">
        <v>236.34907531738281</v>
      </c>
      <c r="H592" s="3">
        <v>13152546</v>
      </c>
      <c r="I592" s="4">
        <f t="shared" si="36"/>
        <v>-0.27</v>
      </c>
      <c r="J592" s="2">
        <f t="shared" si="37"/>
        <v>1.04</v>
      </c>
      <c r="K592" s="7">
        <f t="shared" si="38"/>
        <v>45962</v>
      </c>
      <c r="L592" t="str">
        <f t="shared" si="39"/>
        <v>Q4-2025</v>
      </c>
    </row>
    <row r="593" spans="1:12">
      <c r="A593" s="6">
        <v>45973</v>
      </c>
      <c r="B593" t="s">
        <v>20</v>
      </c>
      <c r="C593" t="s">
        <v>21</v>
      </c>
      <c r="D593" s="2">
        <v>1518.7929218057709</v>
      </c>
      <c r="E593" s="2">
        <v>1542.9007459614179</v>
      </c>
      <c r="F593" s="2">
        <v>1517.3464523564321</v>
      </c>
      <c r="G593" s="2">
        <v>1537.114868164062</v>
      </c>
      <c r="H593" s="3">
        <v>2331564</v>
      </c>
      <c r="I593" s="4">
        <f t="shared" si="36"/>
        <v>-0.1</v>
      </c>
      <c r="J593" s="2">
        <f t="shared" si="37"/>
        <v>5.79</v>
      </c>
      <c r="K593" s="7">
        <f t="shared" si="38"/>
        <v>45962</v>
      </c>
      <c r="L593" t="str">
        <f t="shared" si="39"/>
        <v>Q4-2025</v>
      </c>
    </row>
    <row r="594" spans="1:12">
      <c r="A594" s="6">
        <v>45973</v>
      </c>
      <c r="B594" t="s">
        <v>22</v>
      </c>
      <c r="C594" t="s">
        <v>23</v>
      </c>
      <c r="D594" s="2">
        <v>1004.82313370946</v>
      </c>
      <c r="E594" s="2">
        <v>1012.1779464901369</v>
      </c>
      <c r="F594" s="2">
        <v>1002.636562829076</v>
      </c>
      <c r="G594" s="2">
        <v>1007.009704589844</v>
      </c>
      <c r="H594" s="3">
        <v>11131278</v>
      </c>
      <c r="I594" s="4">
        <f t="shared" si="36"/>
        <v>-0.22</v>
      </c>
      <c r="J594" s="2">
        <f t="shared" si="37"/>
        <v>5.17</v>
      </c>
      <c r="K594" s="7">
        <f t="shared" si="38"/>
        <v>45962</v>
      </c>
      <c r="L594" t="str">
        <f t="shared" si="39"/>
        <v>Q4-2025</v>
      </c>
    </row>
    <row r="595" spans="1:12">
      <c r="A595" s="6">
        <v>45973</v>
      </c>
      <c r="B595" t="s">
        <v>24</v>
      </c>
      <c r="C595" t="s">
        <v>25</v>
      </c>
      <c r="D595" s="2">
        <v>15518.15039087387</v>
      </c>
      <c r="E595" s="2">
        <v>15574.583628865439</v>
      </c>
      <c r="F595" s="2">
        <v>15400.33363085639</v>
      </c>
      <c r="G595" s="2">
        <v>15539.931640625</v>
      </c>
      <c r="H595" s="3">
        <v>244015</v>
      </c>
      <c r="I595" s="4">
        <f t="shared" si="36"/>
        <v>-0.76</v>
      </c>
      <c r="J595" s="2">
        <f t="shared" si="37"/>
        <v>34.65</v>
      </c>
      <c r="K595" s="7">
        <f t="shared" si="38"/>
        <v>45962</v>
      </c>
      <c r="L595" t="str">
        <f t="shared" si="39"/>
        <v>Q4-2025</v>
      </c>
    </row>
    <row r="596" spans="1:12">
      <c r="A596" s="6">
        <v>45973</v>
      </c>
      <c r="B596" t="s">
        <v>26</v>
      </c>
      <c r="C596" t="s">
        <v>27</v>
      </c>
      <c r="D596" s="2">
        <v>404.24666646341592</v>
      </c>
      <c r="E596" s="2">
        <v>408.01539162265732</v>
      </c>
      <c r="F596" s="2">
        <v>398.59354845804472</v>
      </c>
      <c r="G596" s="2">
        <v>398.84149169921881</v>
      </c>
      <c r="H596" s="3">
        <v>12940220</v>
      </c>
      <c r="I596" s="4">
        <f t="shared" si="36"/>
        <v>-1.4</v>
      </c>
      <c r="J596" s="2">
        <f t="shared" si="37"/>
        <v>9.17</v>
      </c>
      <c r="K596" s="7">
        <f t="shared" si="38"/>
        <v>45962</v>
      </c>
      <c r="L596" t="str">
        <f t="shared" si="39"/>
        <v>Q4-2025</v>
      </c>
    </row>
    <row r="597" spans="1:12">
      <c r="A597" s="6">
        <v>45973</v>
      </c>
      <c r="B597" t="s">
        <v>28</v>
      </c>
      <c r="C597" t="s">
        <v>29</v>
      </c>
      <c r="D597" s="2">
        <v>1705.819744951523</v>
      </c>
      <c r="E597" s="2">
        <v>1728.314240344364</v>
      </c>
      <c r="F597" s="2">
        <v>1694.7210428425051</v>
      </c>
      <c r="G597" s="2">
        <v>1716.4228515625</v>
      </c>
      <c r="H597" s="3">
        <v>1833097</v>
      </c>
      <c r="I597" s="4">
        <f t="shared" si="36"/>
        <v>-0.65</v>
      </c>
      <c r="J597" s="2">
        <f t="shared" si="37"/>
        <v>11.89</v>
      </c>
      <c r="K597" s="7">
        <f t="shared" si="38"/>
        <v>45962</v>
      </c>
      <c r="L597" t="str">
        <f t="shared" si="39"/>
        <v>Q4-2025</v>
      </c>
    </row>
    <row r="598" spans="1:12">
      <c r="A598" s="6">
        <v>45973</v>
      </c>
      <c r="B598" t="s">
        <v>30</v>
      </c>
      <c r="C598" t="s">
        <v>31</v>
      </c>
      <c r="D598" s="2">
        <v>2633.0112636282388</v>
      </c>
      <c r="E598" s="2">
        <v>2809.8980998107058</v>
      </c>
      <c r="F598" s="2">
        <v>2615.2929762263821</v>
      </c>
      <c r="G598" s="2">
        <v>2741.697265625</v>
      </c>
      <c r="H598" s="3">
        <v>2859196</v>
      </c>
      <c r="I598" s="4">
        <f t="shared" si="36"/>
        <v>-0.67</v>
      </c>
      <c r="J598" s="2">
        <f t="shared" si="37"/>
        <v>68.2</v>
      </c>
      <c r="K598" s="7">
        <f t="shared" si="38"/>
        <v>45962</v>
      </c>
      <c r="L598" t="str">
        <f t="shared" si="39"/>
        <v>Q4-2025</v>
      </c>
    </row>
    <row r="599" spans="1:12">
      <c r="A599" s="6">
        <v>45973</v>
      </c>
      <c r="B599" t="s">
        <v>32</v>
      </c>
      <c r="C599" t="s">
        <v>33</v>
      </c>
      <c r="D599" s="2">
        <v>2406.1260773438871</v>
      </c>
      <c r="E599" s="2">
        <v>2410.2837386753272</v>
      </c>
      <c r="F599" s="2">
        <v>2391.8709277587959</v>
      </c>
      <c r="G599" s="2">
        <v>2400.08740234375</v>
      </c>
      <c r="H599" s="3">
        <v>1680827</v>
      </c>
      <c r="I599" s="4">
        <f t="shared" si="36"/>
        <v>-0.59</v>
      </c>
      <c r="J599" s="2">
        <f t="shared" si="37"/>
        <v>10.199999999999999</v>
      </c>
      <c r="K599" s="7">
        <f t="shared" si="38"/>
        <v>45962</v>
      </c>
      <c r="L599" t="str">
        <f t="shared" si="39"/>
        <v>Q4-2025</v>
      </c>
    </row>
    <row r="600" spans="1:12">
      <c r="A600" s="6">
        <v>45973</v>
      </c>
      <c r="B600" t="s">
        <v>34</v>
      </c>
      <c r="C600" t="s">
        <v>35</v>
      </c>
      <c r="D600" s="2">
        <v>3931.5985969168369</v>
      </c>
      <c r="E600" s="2">
        <v>3935.3618882621449</v>
      </c>
      <c r="F600" s="2">
        <v>3898.8186731125238</v>
      </c>
      <c r="G600" s="2">
        <v>3916.34765625</v>
      </c>
      <c r="H600" s="3">
        <v>981350</v>
      </c>
      <c r="I600" s="4">
        <f t="shared" si="36"/>
        <v>-0.83</v>
      </c>
      <c r="J600" s="2">
        <f t="shared" si="37"/>
        <v>19.010000000000002</v>
      </c>
      <c r="K600" s="7">
        <f t="shared" si="38"/>
        <v>45962</v>
      </c>
      <c r="L600" t="str">
        <f t="shared" si="39"/>
        <v>Q4-2025</v>
      </c>
    </row>
    <row r="601" spans="1:12">
      <c r="A601" s="6">
        <v>45973</v>
      </c>
      <c r="B601" t="s">
        <v>36</v>
      </c>
      <c r="C601" t="s">
        <v>37</v>
      </c>
      <c r="D601" s="2">
        <v>1226.9537631333969</v>
      </c>
      <c r="E601" s="2">
        <v>1231.749990905339</v>
      </c>
      <c r="F601" s="2">
        <v>1215.562523963644</v>
      </c>
      <c r="G601" s="2">
        <v>1220.658569335938</v>
      </c>
      <c r="H601" s="3">
        <v>6782513</v>
      </c>
      <c r="I601" s="4">
        <f t="shared" si="36"/>
        <v>-0.93</v>
      </c>
      <c r="J601" s="2">
        <f t="shared" si="37"/>
        <v>11.09</v>
      </c>
      <c r="K601" s="7">
        <f t="shared" si="38"/>
        <v>45962</v>
      </c>
      <c r="L601" t="str">
        <f t="shared" si="39"/>
        <v>Q4-2025</v>
      </c>
    </row>
    <row r="602" spans="1:12">
      <c r="A602" s="6">
        <v>45974</v>
      </c>
      <c r="B602" t="s">
        <v>8</v>
      </c>
      <c r="C602" t="s">
        <v>9</v>
      </c>
      <c r="D602" s="2">
        <v>1508.0275174062699</v>
      </c>
      <c r="E602" s="2">
        <v>1515.094816783502</v>
      </c>
      <c r="F602" s="2">
        <v>1499.8653048593551</v>
      </c>
      <c r="G602" s="2">
        <v>1503.946411132812</v>
      </c>
      <c r="H602" s="3">
        <v>7196443</v>
      </c>
      <c r="I602" s="4">
        <f t="shared" si="36"/>
        <v>-0.54</v>
      </c>
      <c r="J602" s="2">
        <f t="shared" si="37"/>
        <v>11.15</v>
      </c>
      <c r="K602" s="7">
        <f t="shared" si="38"/>
        <v>45962</v>
      </c>
      <c r="L602" t="str">
        <f t="shared" si="39"/>
        <v>Q4-2025</v>
      </c>
    </row>
    <row r="603" spans="1:12">
      <c r="A603" s="6">
        <v>45974</v>
      </c>
      <c r="B603" t="s">
        <v>10</v>
      </c>
      <c r="C603" t="s">
        <v>11</v>
      </c>
      <c r="D603" s="2">
        <v>3018.1871954349622</v>
      </c>
      <c r="E603" s="2">
        <v>3018.283426547287</v>
      </c>
      <c r="F603" s="2">
        <v>2989.4682081451961</v>
      </c>
      <c r="G603" s="2">
        <v>2993.033935546875</v>
      </c>
      <c r="H603" s="3">
        <v>1740435</v>
      </c>
      <c r="I603" s="4">
        <f t="shared" si="36"/>
        <v>-0.95</v>
      </c>
      <c r="J603" s="2">
        <f t="shared" si="37"/>
        <v>25.25</v>
      </c>
      <c r="K603" s="7">
        <f t="shared" si="38"/>
        <v>45962</v>
      </c>
      <c r="L603" t="str">
        <f t="shared" si="39"/>
        <v>Q4-2025</v>
      </c>
    </row>
    <row r="604" spans="1:12">
      <c r="A604" s="6">
        <v>45974</v>
      </c>
      <c r="B604" t="s">
        <v>12</v>
      </c>
      <c r="C604" t="s">
        <v>13</v>
      </c>
      <c r="D604" s="2">
        <v>1524.1189242683811</v>
      </c>
      <c r="E604" s="2">
        <v>1524.510475735339</v>
      </c>
      <c r="F604" s="2">
        <v>1497.886648768397</v>
      </c>
      <c r="G604" s="2">
        <v>1509.14306640625</v>
      </c>
      <c r="H604" s="3">
        <v>19655689</v>
      </c>
      <c r="I604" s="4">
        <f t="shared" si="36"/>
        <v>-1.72</v>
      </c>
      <c r="J604" s="2">
        <f t="shared" si="37"/>
        <v>15.37</v>
      </c>
      <c r="K604" s="7">
        <f t="shared" si="38"/>
        <v>45962</v>
      </c>
      <c r="L604" t="str">
        <f t="shared" si="39"/>
        <v>Q4-2025</v>
      </c>
    </row>
    <row r="605" spans="1:12">
      <c r="A605" s="6">
        <v>45974</v>
      </c>
      <c r="B605" t="s">
        <v>14</v>
      </c>
      <c r="C605" t="s">
        <v>15</v>
      </c>
      <c r="D605" s="2">
        <v>967.99001612963696</v>
      </c>
      <c r="E605" s="2">
        <v>973.99074322904949</v>
      </c>
      <c r="F605" s="2">
        <v>966.61277054513459</v>
      </c>
      <c r="G605" s="2">
        <v>970.596923828125</v>
      </c>
      <c r="H605" s="3">
        <v>14124839</v>
      </c>
      <c r="I605" s="4">
        <f t="shared" si="36"/>
        <v>-0.14000000000000001</v>
      </c>
      <c r="J605" s="2">
        <f t="shared" si="37"/>
        <v>3.39</v>
      </c>
      <c r="K605" s="7">
        <f t="shared" si="38"/>
        <v>45962</v>
      </c>
      <c r="L605" t="str">
        <f t="shared" si="39"/>
        <v>Q4-2025</v>
      </c>
    </row>
    <row r="606" spans="1:12">
      <c r="A606" s="6">
        <v>45974</v>
      </c>
      <c r="B606" t="s">
        <v>16</v>
      </c>
      <c r="C606" t="s">
        <v>17</v>
      </c>
      <c r="D606" s="2">
        <v>1347.539563892411</v>
      </c>
      <c r="E606" s="2">
        <v>1378.7762225869419</v>
      </c>
      <c r="F606" s="2">
        <v>1347.142883699029</v>
      </c>
      <c r="G606" s="2">
        <v>1374.313842773438</v>
      </c>
      <c r="H606" s="3">
        <v>18296626</v>
      </c>
      <c r="I606" s="4">
        <f t="shared" si="36"/>
        <v>-0.03</v>
      </c>
      <c r="J606" s="2">
        <f t="shared" si="37"/>
        <v>4.46</v>
      </c>
      <c r="K606" s="7">
        <f t="shared" si="38"/>
        <v>45962</v>
      </c>
      <c r="L606" t="str">
        <f t="shared" si="39"/>
        <v>Q4-2025</v>
      </c>
    </row>
    <row r="607" spans="1:12">
      <c r="A607" s="6">
        <v>45974</v>
      </c>
      <c r="B607" t="s">
        <v>18</v>
      </c>
      <c r="C607" t="s">
        <v>19</v>
      </c>
      <c r="D607" s="2">
        <v>237.10085410780371</v>
      </c>
      <c r="E607" s="2">
        <v>237.10085410780371</v>
      </c>
      <c r="F607" s="2">
        <v>235.17320488741501</v>
      </c>
      <c r="G607" s="2">
        <v>236.45509338378909</v>
      </c>
      <c r="H607" s="3">
        <v>6211124</v>
      </c>
      <c r="I607" s="4">
        <f t="shared" si="36"/>
        <v>-0.81</v>
      </c>
      <c r="J607" s="2">
        <f t="shared" si="37"/>
        <v>0.65</v>
      </c>
      <c r="K607" s="7">
        <f t="shared" si="38"/>
        <v>45962</v>
      </c>
      <c r="L607" t="str">
        <f t="shared" si="39"/>
        <v>Q4-2025</v>
      </c>
    </row>
    <row r="608" spans="1:12">
      <c r="A608" s="6">
        <v>45974</v>
      </c>
      <c r="B608" t="s">
        <v>20</v>
      </c>
      <c r="C608" t="s">
        <v>21</v>
      </c>
      <c r="D608" s="2">
        <v>1542.3220066763961</v>
      </c>
      <c r="E608" s="2">
        <v>1547.7221351315691</v>
      </c>
      <c r="F608" s="2">
        <v>1523.6143137120739</v>
      </c>
      <c r="G608" s="2">
        <v>1541.4541015625</v>
      </c>
      <c r="H608" s="3">
        <v>1944022</v>
      </c>
      <c r="I608" s="4">
        <f t="shared" si="36"/>
        <v>-1.21</v>
      </c>
      <c r="J608" s="2">
        <f t="shared" si="37"/>
        <v>6.27</v>
      </c>
      <c r="K608" s="7">
        <f t="shared" si="38"/>
        <v>45962</v>
      </c>
      <c r="L608" t="str">
        <f t="shared" si="39"/>
        <v>Q4-2025</v>
      </c>
    </row>
    <row r="609" spans="1:12">
      <c r="A609" s="6">
        <v>45974</v>
      </c>
      <c r="B609" t="s">
        <v>22</v>
      </c>
      <c r="C609" t="s">
        <v>23</v>
      </c>
      <c r="D609" s="2">
        <v>1006.3139824958899</v>
      </c>
      <c r="E609" s="2">
        <v>1013.171850197059</v>
      </c>
      <c r="F609" s="2">
        <v>997.36896931814852</v>
      </c>
      <c r="G609" s="2">
        <v>999.25738525390625</v>
      </c>
      <c r="H609" s="3">
        <v>8503994</v>
      </c>
      <c r="I609" s="4">
        <f t="shared" si="36"/>
        <v>-0.89</v>
      </c>
      <c r="J609" s="2">
        <f t="shared" si="37"/>
        <v>13.91</v>
      </c>
      <c r="K609" s="7">
        <f t="shared" si="38"/>
        <v>45962</v>
      </c>
      <c r="L609" t="str">
        <f t="shared" si="39"/>
        <v>Q4-2025</v>
      </c>
    </row>
    <row r="610" spans="1:12">
      <c r="A610" s="6">
        <v>45974</v>
      </c>
      <c r="B610" t="s">
        <v>24</v>
      </c>
      <c r="C610" t="s">
        <v>25</v>
      </c>
      <c r="D610" s="2">
        <v>15505.27929985138</v>
      </c>
      <c r="E610" s="2">
        <v>15642.89719287733</v>
      </c>
      <c r="F610" s="2">
        <v>15504.28924306702</v>
      </c>
      <c r="G610" s="2">
        <v>15592.404296875</v>
      </c>
      <c r="H610" s="3">
        <v>250711</v>
      </c>
      <c r="I610" s="4">
        <f t="shared" si="36"/>
        <v>-0.01</v>
      </c>
      <c r="J610" s="2">
        <f t="shared" si="37"/>
        <v>50.49</v>
      </c>
      <c r="K610" s="7">
        <f t="shared" si="38"/>
        <v>45962</v>
      </c>
      <c r="L610" t="str">
        <f t="shared" si="39"/>
        <v>Q4-2025</v>
      </c>
    </row>
    <row r="611" spans="1:12">
      <c r="A611" s="6">
        <v>45974</v>
      </c>
      <c r="B611" t="s">
        <v>26</v>
      </c>
      <c r="C611" t="s">
        <v>27</v>
      </c>
      <c r="D611" s="2">
        <v>400.67627012400129</v>
      </c>
      <c r="E611" s="2">
        <v>400.67627012400129</v>
      </c>
      <c r="F611" s="2">
        <v>394.13056262807982</v>
      </c>
      <c r="G611" s="2">
        <v>394.67605590820313</v>
      </c>
      <c r="H611" s="3">
        <v>13165727</v>
      </c>
      <c r="I611" s="4">
        <f t="shared" si="36"/>
        <v>-1.63</v>
      </c>
      <c r="J611" s="2">
        <f t="shared" si="37"/>
        <v>6</v>
      </c>
      <c r="K611" s="7">
        <f t="shared" si="38"/>
        <v>45962</v>
      </c>
      <c r="L611" t="str">
        <f t="shared" si="39"/>
        <v>Q4-2025</v>
      </c>
    </row>
    <row r="612" spans="1:12">
      <c r="A612" s="6">
        <v>45974</v>
      </c>
      <c r="B612" t="s">
        <v>28</v>
      </c>
      <c r="C612" t="s">
        <v>29</v>
      </c>
      <c r="D612" s="2">
        <v>1718.801150281171</v>
      </c>
      <c r="E612" s="2">
        <v>1731.9808212091491</v>
      </c>
      <c r="F612" s="2">
        <v>1709.7835379983001</v>
      </c>
      <c r="G612" s="2">
        <v>1721.674926757812</v>
      </c>
      <c r="H612" s="3">
        <v>1727602</v>
      </c>
      <c r="I612" s="4">
        <f t="shared" si="36"/>
        <v>-0.52</v>
      </c>
      <c r="J612" s="2">
        <f t="shared" si="37"/>
        <v>10.31</v>
      </c>
      <c r="K612" s="7">
        <f t="shared" si="38"/>
        <v>45962</v>
      </c>
      <c r="L612" t="str">
        <f t="shared" si="39"/>
        <v>Q4-2025</v>
      </c>
    </row>
    <row r="613" spans="1:12">
      <c r="A613" s="6">
        <v>45974</v>
      </c>
      <c r="B613" t="s">
        <v>30</v>
      </c>
      <c r="C613" t="s">
        <v>31</v>
      </c>
      <c r="D613" s="2">
        <v>2829.8928124117519</v>
      </c>
      <c r="E613" s="2">
        <v>2867.7054193025861</v>
      </c>
      <c r="F613" s="2">
        <v>2811.18467304877</v>
      </c>
      <c r="G613" s="2">
        <v>2850.184814453125</v>
      </c>
      <c r="H613" s="3">
        <v>5933630</v>
      </c>
      <c r="I613" s="4">
        <f t="shared" si="36"/>
        <v>-0.66</v>
      </c>
      <c r="J613" s="2">
        <f t="shared" si="37"/>
        <v>17.52</v>
      </c>
      <c r="K613" s="7">
        <f t="shared" si="38"/>
        <v>45962</v>
      </c>
      <c r="L613" t="str">
        <f t="shared" si="39"/>
        <v>Q4-2025</v>
      </c>
    </row>
    <row r="614" spans="1:12">
      <c r="A614" s="6">
        <v>45974</v>
      </c>
      <c r="B614" t="s">
        <v>32</v>
      </c>
      <c r="C614" t="s">
        <v>33</v>
      </c>
      <c r="D614" s="2">
        <v>2404.542090020514</v>
      </c>
      <c r="E614" s="2">
        <v>2406.5219517661048</v>
      </c>
      <c r="F614" s="2">
        <v>2380.78374907342</v>
      </c>
      <c r="G614" s="2">
        <v>2383.357666015625</v>
      </c>
      <c r="H614" s="3">
        <v>1256059</v>
      </c>
      <c r="I614" s="4">
        <f t="shared" si="36"/>
        <v>-0.99</v>
      </c>
      <c r="J614" s="2">
        <f t="shared" si="37"/>
        <v>23.16</v>
      </c>
      <c r="K614" s="7">
        <f t="shared" si="38"/>
        <v>45962</v>
      </c>
      <c r="L614" t="str">
        <f t="shared" si="39"/>
        <v>Q4-2025</v>
      </c>
    </row>
    <row r="615" spans="1:12">
      <c r="A615" s="6">
        <v>45974</v>
      </c>
      <c r="B615" t="s">
        <v>34</v>
      </c>
      <c r="C615" t="s">
        <v>35</v>
      </c>
      <c r="D615" s="2">
        <v>3916.3476087646441</v>
      </c>
      <c r="E615" s="2">
        <v>3983.9867556218719</v>
      </c>
      <c r="F615" s="2">
        <v>3887.6281231404241</v>
      </c>
      <c r="G615" s="2">
        <v>3963.7841796875</v>
      </c>
      <c r="H615" s="3">
        <v>1834962</v>
      </c>
      <c r="I615" s="4">
        <f t="shared" si="36"/>
        <v>-0.73</v>
      </c>
      <c r="J615" s="2">
        <f t="shared" si="37"/>
        <v>20.2</v>
      </c>
      <c r="K615" s="7">
        <f t="shared" si="38"/>
        <v>45962</v>
      </c>
      <c r="L615" t="str">
        <f t="shared" si="39"/>
        <v>Q4-2025</v>
      </c>
    </row>
    <row r="616" spans="1:12">
      <c r="A616" s="6">
        <v>45974</v>
      </c>
      <c r="B616" t="s">
        <v>36</v>
      </c>
      <c r="C616" t="s">
        <v>37</v>
      </c>
      <c r="D616" s="2">
        <v>1218.060564193624</v>
      </c>
      <c r="E616" s="2">
        <v>1233.8484365397051</v>
      </c>
      <c r="F616" s="2">
        <v>1212.264985237154</v>
      </c>
      <c r="G616" s="2">
        <v>1224.255737304688</v>
      </c>
      <c r="H616" s="3">
        <v>3345231</v>
      </c>
      <c r="I616" s="4">
        <f t="shared" si="36"/>
        <v>-0.48</v>
      </c>
      <c r="J616" s="2">
        <f t="shared" si="37"/>
        <v>9.59</v>
      </c>
      <c r="K616" s="7">
        <f t="shared" si="38"/>
        <v>45962</v>
      </c>
      <c r="L616" t="str">
        <f t="shared" si="39"/>
        <v>Q4-2025</v>
      </c>
    </row>
    <row r="617" spans="1:12">
      <c r="A617" s="6">
        <v>45975</v>
      </c>
      <c r="B617" t="s">
        <v>8</v>
      </c>
      <c r="C617" t="s">
        <v>9</v>
      </c>
      <c r="D617" s="2">
        <v>1498.5711928131459</v>
      </c>
      <c r="E617" s="2">
        <v>1513.9003412392719</v>
      </c>
      <c r="F617" s="2">
        <v>1498.5711928131459</v>
      </c>
      <c r="G617" s="2">
        <v>1511.909545898438</v>
      </c>
      <c r="H617" s="3">
        <v>7682823</v>
      </c>
      <c r="I617" s="4">
        <f t="shared" si="36"/>
        <v>0</v>
      </c>
      <c r="J617" s="2">
        <f t="shared" si="37"/>
        <v>1.99</v>
      </c>
      <c r="K617" s="7">
        <f t="shared" si="38"/>
        <v>45962</v>
      </c>
      <c r="L617" t="str">
        <f t="shared" si="39"/>
        <v>Q4-2025</v>
      </c>
    </row>
    <row r="618" spans="1:12">
      <c r="A618" s="6">
        <v>45975</v>
      </c>
      <c r="B618" t="s">
        <v>10</v>
      </c>
      <c r="C618" t="s">
        <v>11</v>
      </c>
      <c r="D618" s="2">
        <v>2977.9034333434779</v>
      </c>
      <c r="E618" s="2">
        <v>3000.1655239975621</v>
      </c>
      <c r="F618" s="2">
        <v>2965.664200916935</v>
      </c>
      <c r="G618" s="2">
        <v>2993.322998046875</v>
      </c>
      <c r="H618" s="3">
        <v>2210794</v>
      </c>
      <c r="I618" s="4">
        <f t="shared" si="36"/>
        <v>-0.41</v>
      </c>
      <c r="J618" s="2">
        <f t="shared" si="37"/>
        <v>6.84</v>
      </c>
      <c r="K618" s="7">
        <f t="shared" si="38"/>
        <v>45962</v>
      </c>
      <c r="L618" t="str">
        <f t="shared" si="39"/>
        <v>Q4-2025</v>
      </c>
    </row>
    <row r="619" spans="1:12">
      <c r="A619" s="6">
        <v>45975</v>
      </c>
      <c r="B619" t="s">
        <v>12</v>
      </c>
      <c r="C619" t="s">
        <v>13</v>
      </c>
      <c r="D619" s="2">
        <v>1487.804753788866</v>
      </c>
      <c r="E619" s="2">
        <v>1497.5929429585301</v>
      </c>
      <c r="F619" s="2">
        <v>1457.265651373408</v>
      </c>
      <c r="G619" s="2">
        <v>1470.969116210938</v>
      </c>
      <c r="H619" s="3">
        <v>9739549</v>
      </c>
      <c r="I619" s="4">
        <f t="shared" si="36"/>
        <v>-2.0499999999999998</v>
      </c>
      <c r="J619" s="2">
        <f t="shared" si="37"/>
        <v>26.62</v>
      </c>
      <c r="K619" s="7">
        <f t="shared" si="38"/>
        <v>45962</v>
      </c>
      <c r="L619" t="str">
        <f t="shared" si="39"/>
        <v>Q4-2025</v>
      </c>
    </row>
    <row r="620" spans="1:12">
      <c r="A620" s="6">
        <v>45975</v>
      </c>
      <c r="B620" t="s">
        <v>14</v>
      </c>
      <c r="C620" t="s">
        <v>15</v>
      </c>
      <c r="D620" s="2">
        <v>960.16931554585904</v>
      </c>
      <c r="E620" s="2">
        <v>975.51553415381727</v>
      </c>
      <c r="F620" s="2">
        <v>960.16931554585904</v>
      </c>
      <c r="G620" s="2">
        <v>973.49884033203125</v>
      </c>
      <c r="H620" s="3">
        <v>21386965</v>
      </c>
      <c r="I620" s="4">
        <f t="shared" si="36"/>
        <v>0</v>
      </c>
      <c r="J620" s="2">
        <f t="shared" si="37"/>
        <v>2.02</v>
      </c>
      <c r="K620" s="7">
        <f t="shared" si="38"/>
        <v>45962</v>
      </c>
      <c r="L620" t="str">
        <f t="shared" si="39"/>
        <v>Q4-2025</v>
      </c>
    </row>
    <row r="621" spans="1:12">
      <c r="A621" s="6">
        <v>45975</v>
      </c>
      <c r="B621" t="s">
        <v>16</v>
      </c>
      <c r="C621" t="s">
        <v>17</v>
      </c>
      <c r="D621" s="2">
        <v>1362.513368521827</v>
      </c>
      <c r="E621" s="2">
        <v>1369.6531281465609</v>
      </c>
      <c r="F621" s="2">
        <v>1351.8036080349209</v>
      </c>
      <c r="G621" s="2">
        <v>1361.521728515625</v>
      </c>
      <c r="H621" s="3">
        <v>9694498</v>
      </c>
      <c r="I621" s="4">
        <f t="shared" si="36"/>
        <v>-0.79</v>
      </c>
      <c r="J621" s="2">
        <f t="shared" si="37"/>
        <v>8.1300000000000008</v>
      </c>
      <c r="K621" s="7">
        <f t="shared" si="38"/>
        <v>45962</v>
      </c>
      <c r="L621" t="str">
        <f t="shared" si="39"/>
        <v>Q4-2025</v>
      </c>
    </row>
    <row r="622" spans="1:12">
      <c r="A622" s="6">
        <v>45975</v>
      </c>
      <c r="B622" t="s">
        <v>18</v>
      </c>
      <c r="C622" t="s">
        <v>19</v>
      </c>
      <c r="D622" s="2">
        <v>235.09609753988769</v>
      </c>
      <c r="E622" s="2">
        <v>237.00446615330361</v>
      </c>
      <c r="F622" s="2">
        <v>233.39012385913901</v>
      </c>
      <c r="G622" s="2">
        <v>235.5298156738281</v>
      </c>
      <c r="H622" s="3">
        <v>6841554</v>
      </c>
      <c r="I622" s="4">
        <f t="shared" si="36"/>
        <v>-0.73</v>
      </c>
      <c r="J622" s="2">
        <f t="shared" si="37"/>
        <v>1.47</v>
      </c>
      <c r="K622" s="7">
        <f t="shared" si="38"/>
        <v>45962</v>
      </c>
      <c r="L622" t="str">
        <f t="shared" si="39"/>
        <v>Q4-2025</v>
      </c>
    </row>
    <row r="623" spans="1:12">
      <c r="A623" s="6">
        <v>45975</v>
      </c>
      <c r="B623" t="s">
        <v>20</v>
      </c>
      <c r="C623" t="s">
        <v>21</v>
      </c>
      <c r="D623" s="2">
        <v>1533.257421765644</v>
      </c>
      <c r="E623" s="2">
        <v>1540.9719245166659</v>
      </c>
      <c r="F623" s="2">
        <v>1517.9248240051929</v>
      </c>
      <c r="G623" s="2">
        <v>1537.693237304688</v>
      </c>
      <c r="H623" s="3">
        <v>2543918</v>
      </c>
      <c r="I623" s="4">
        <f t="shared" si="36"/>
        <v>-1</v>
      </c>
      <c r="J623" s="2">
        <f t="shared" si="37"/>
        <v>3.28</v>
      </c>
      <c r="K623" s="7">
        <f t="shared" si="38"/>
        <v>45962</v>
      </c>
      <c r="L623" t="str">
        <f t="shared" si="39"/>
        <v>Q4-2025</v>
      </c>
    </row>
    <row r="624" spans="1:12">
      <c r="A624" s="6">
        <v>45975</v>
      </c>
      <c r="B624" t="s">
        <v>22</v>
      </c>
      <c r="C624" t="s">
        <v>23</v>
      </c>
      <c r="D624" s="2">
        <v>998.76045895746427</v>
      </c>
      <c r="E624" s="2">
        <v>1013.66881453552</v>
      </c>
      <c r="F624" s="2">
        <v>996.47446257235902</v>
      </c>
      <c r="G624" s="2">
        <v>1012.27734375</v>
      </c>
      <c r="H624" s="3">
        <v>4381122</v>
      </c>
      <c r="I624" s="4">
        <f t="shared" si="36"/>
        <v>-0.23</v>
      </c>
      <c r="J624" s="2">
        <f t="shared" si="37"/>
        <v>1.39</v>
      </c>
      <c r="K624" s="7">
        <f t="shared" si="38"/>
        <v>45962</v>
      </c>
      <c r="L624" t="str">
        <f t="shared" si="39"/>
        <v>Q4-2025</v>
      </c>
    </row>
    <row r="625" spans="1:12">
      <c r="A625" s="6">
        <v>45975</v>
      </c>
      <c r="B625" t="s">
        <v>24</v>
      </c>
      <c r="C625" t="s">
        <v>25</v>
      </c>
      <c r="D625" s="2">
        <v>15568.64310986714</v>
      </c>
      <c r="E625" s="2">
        <v>15578.543677822539</v>
      </c>
      <c r="F625" s="2">
        <v>15417.164420149509</v>
      </c>
      <c r="G625" s="2">
        <v>15528.05078125</v>
      </c>
      <c r="H625" s="3">
        <v>253698</v>
      </c>
      <c r="I625" s="4">
        <f t="shared" si="36"/>
        <v>-0.97</v>
      </c>
      <c r="J625" s="2">
        <f t="shared" si="37"/>
        <v>50.49</v>
      </c>
      <c r="K625" s="7">
        <f t="shared" si="38"/>
        <v>45962</v>
      </c>
      <c r="L625" t="str">
        <f t="shared" si="39"/>
        <v>Q4-2025</v>
      </c>
    </row>
    <row r="626" spans="1:12">
      <c r="A626" s="6">
        <v>45975</v>
      </c>
      <c r="B626" t="s">
        <v>26</v>
      </c>
      <c r="C626" t="s">
        <v>27</v>
      </c>
      <c r="D626" s="2">
        <v>394.6760654466791</v>
      </c>
      <c r="E626" s="2">
        <v>396.31248479358118</v>
      </c>
      <c r="F626" s="2">
        <v>384.11365910488331</v>
      </c>
      <c r="G626" s="2">
        <v>387.98159790039063</v>
      </c>
      <c r="H626" s="3">
        <v>21834856</v>
      </c>
      <c r="I626" s="4">
        <f t="shared" si="36"/>
        <v>-2.68</v>
      </c>
      <c r="J626" s="2">
        <f t="shared" si="37"/>
        <v>8.33</v>
      </c>
      <c r="K626" s="7">
        <f t="shared" si="38"/>
        <v>45962</v>
      </c>
      <c r="L626" t="str">
        <f t="shared" si="39"/>
        <v>Q4-2025</v>
      </c>
    </row>
    <row r="627" spans="1:12">
      <c r="A627" s="6">
        <v>45975</v>
      </c>
      <c r="B627" t="s">
        <v>28</v>
      </c>
      <c r="C627" t="s">
        <v>29</v>
      </c>
      <c r="D627" s="2">
        <v>1721.6748855101409</v>
      </c>
      <c r="E627" s="2">
        <v>1744.16938032178</v>
      </c>
      <c r="F627" s="2">
        <v>1718.9992505240759</v>
      </c>
      <c r="G627" s="2">
        <v>1741.196533203125</v>
      </c>
      <c r="H627" s="3">
        <v>1667322</v>
      </c>
      <c r="I627" s="4">
        <f t="shared" si="36"/>
        <v>-0.16</v>
      </c>
      <c r="J627" s="2">
        <f t="shared" si="37"/>
        <v>2.97</v>
      </c>
      <c r="K627" s="7">
        <f t="shared" si="38"/>
        <v>45962</v>
      </c>
      <c r="L627" t="str">
        <f t="shared" si="39"/>
        <v>Q4-2025</v>
      </c>
    </row>
    <row r="628" spans="1:12">
      <c r="A628" s="6">
        <v>45975</v>
      </c>
      <c r="B628" t="s">
        <v>30</v>
      </c>
      <c r="C628" t="s">
        <v>31</v>
      </c>
      <c r="D628" s="2">
        <v>2836.0301214692349</v>
      </c>
      <c r="E628" s="2">
        <v>2880.3753768526758</v>
      </c>
      <c r="F628" s="2">
        <v>2832.961478129404</v>
      </c>
      <c r="G628" s="2">
        <v>2876.910888671875</v>
      </c>
      <c r="H628" s="3">
        <v>2494076</v>
      </c>
      <c r="I628" s="4">
        <f t="shared" si="36"/>
        <v>-0.11</v>
      </c>
      <c r="J628" s="2">
        <f t="shared" si="37"/>
        <v>3.46</v>
      </c>
      <c r="K628" s="7">
        <f t="shared" si="38"/>
        <v>45962</v>
      </c>
      <c r="L628" t="str">
        <f t="shared" si="39"/>
        <v>Q4-2025</v>
      </c>
    </row>
    <row r="629" spans="1:12">
      <c r="A629" s="6">
        <v>45975</v>
      </c>
      <c r="B629" t="s">
        <v>32</v>
      </c>
      <c r="C629" t="s">
        <v>33</v>
      </c>
      <c r="D629" s="2">
        <v>2380.8828342801371</v>
      </c>
      <c r="E629" s="2">
        <v>2405.729954130381</v>
      </c>
      <c r="F629" s="2">
        <v>2367.91464319838</v>
      </c>
      <c r="G629" s="2">
        <v>2403.255126953125</v>
      </c>
      <c r="H629" s="3">
        <v>975973</v>
      </c>
      <c r="I629" s="4">
        <f t="shared" si="36"/>
        <v>-0.54</v>
      </c>
      <c r="J629" s="2">
        <f t="shared" si="37"/>
        <v>2.4700000000000002</v>
      </c>
      <c r="K629" s="7">
        <f t="shared" si="38"/>
        <v>45962</v>
      </c>
      <c r="L629" t="str">
        <f t="shared" si="39"/>
        <v>Q4-2025</v>
      </c>
    </row>
    <row r="630" spans="1:12">
      <c r="A630" s="6">
        <v>45975</v>
      </c>
      <c r="B630" t="s">
        <v>34</v>
      </c>
      <c r="C630" t="s">
        <v>35</v>
      </c>
      <c r="D630" s="2">
        <v>3963.2890831386521</v>
      </c>
      <c r="E630" s="2">
        <v>3972.6971906573472</v>
      </c>
      <c r="F630" s="2">
        <v>3933.18323579046</v>
      </c>
      <c r="G630" s="2">
        <v>3965.665771484375</v>
      </c>
      <c r="H630" s="3">
        <v>1916910</v>
      </c>
      <c r="I630" s="4">
        <f t="shared" si="36"/>
        <v>-0.76</v>
      </c>
      <c r="J630" s="2">
        <f t="shared" si="37"/>
        <v>7.03</v>
      </c>
      <c r="K630" s="7">
        <f t="shared" si="38"/>
        <v>45962</v>
      </c>
      <c r="L630" t="str">
        <f t="shared" si="39"/>
        <v>Q4-2025</v>
      </c>
    </row>
    <row r="631" spans="1:12">
      <c r="A631" s="6">
        <v>45975</v>
      </c>
      <c r="B631" t="s">
        <v>36</v>
      </c>
      <c r="C631" t="s">
        <v>37</v>
      </c>
      <c r="D631" s="2">
        <v>1223.056775575948</v>
      </c>
      <c r="E631" s="2">
        <v>1245.0398221957771</v>
      </c>
      <c r="F631" s="2">
        <v>1221.0583167923271</v>
      </c>
      <c r="G631" s="2">
        <v>1240.643188476562</v>
      </c>
      <c r="H631" s="3">
        <v>5197740</v>
      </c>
      <c r="I631" s="4">
        <f t="shared" si="36"/>
        <v>-0.16</v>
      </c>
      <c r="J631" s="2">
        <f t="shared" si="37"/>
        <v>4.4000000000000004</v>
      </c>
      <c r="K631" s="7">
        <f t="shared" si="38"/>
        <v>45962</v>
      </c>
      <c r="L631" t="str">
        <f t="shared" si="39"/>
        <v>Q4-2025</v>
      </c>
    </row>
    <row r="632" spans="1:12">
      <c r="A632" s="6">
        <v>45978</v>
      </c>
      <c r="B632" t="s">
        <v>8</v>
      </c>
      <c r="C632" t="s">
        <v>9</v>
      </c>
      <c r="D632" s="2">
        <v>1513.9003876504109</v>
      </c>
      <c r="E632" s="2">
        <v>1516.687428307918</v>
      </c>
      <c r="F632" s="2">
        <v>1504.5436249599411</v>
      </c>
      <c r="G632" s="2">
        <v>1511.312377929688</v>
      </c>
      <c r="H632" s="3">
        <v>5871416</v>
      </c>
      <c r="I632" s="4">
        <f t="shared" si="36"/>
        <v>-0.62</v>
      </c>
      <c r="J632" s="2">
        <f t="shared" si="37"/>
        <v>5.38</v>
      </c>
      <c r="K632" s="7">
        <f t="shared" si="38"/>
        <v>45962</v>
      </c>
      <c r="L632" t="str">
        <f t="shared" si="39"/>
        <v>Q4-2025</v>
      </c>
    </row>
    <row r="633" spans="1:12">
      <c r="A633" s="6">
        <v>45978</v>
      </c>
      <c r="B633" t="s">
        <v>10</v>
      </c>
      <c r="C633" t="s">
        <v>11</v>
      </c>
      <c r="D633" s="2">
        <v>2993.323082448971</v>
      </c>
      <c r="E633" s="2">
        <v>3010.1882318188541</v>
      </c>
      <c r="F633" s="2">
        <v>2974.6269538324859</v>
      </c>
      <c r="G633" s="2">
        <v>2989.660888671875</v>
      </c>
      <c r="H633" s="3">
        <v>2232853</v>
      </c>
      <c r="I633" s="4">
        <f t="shared" si="36"/>
        <v>-0.62</v>
      </c>
      <c r="J633" s="2">
        <f t="shared" si="37"/>
        <v>20.53</v>
      </c>
      <c r="K633" s="7">
        <f t="shared" si="38"/>
        <v>45962</v>
      </c>
      <c r="L633" t="str">
        <f t="shared" si="39"/>
        <v>Q4-2025</v>
      </c>
    </row>
    <row r="634" spans="1:12">
      <c r="A634" s="6">
        <v>45978</v>
      </c>
      <c r="B634" t="s">
        <v>12</v>
      </c>
      <c r="C634" t="s">
        <v>13</v>
      </c>
      <c r="D634" s="2">
        <v>1464.3132041198489</v>
      </c>
      <c r="E634" s="2">
        <v>1478.2123859372509</v>
      </c>
      <c r="F634" s="2">
        <v>1460.8873376663601</v>
      </c>
      <c r="G634" s="2">
        <v>1475.66748046875</v>
      </c>
      <c r="H634" s="3">
        <v>7910354</v>
      </c>
      <c r="I634" s="4">
        <f t="shared" si="36"/>
        <v>-0.23</v>
      </c>
      <c r="J634" s="2">
        <f t="shared" si="37"/>
        <v>2.54</v>
      </c>
      <c r="K634" s="7">
        <f t="shared" si="38"/>
        <v>45962</v>
      </c>
      <c r="L634" t="str">
        <f t="shared" si="39"/>
        <v>Q4-2025</v>
      </c>
    </row>
    <row r="635" spans="1:12">
      <c r="A635" s="6">
        <v>45978</v>
      </c>
      <c r="B635" t="s">
        <v>14</v>
      </c>
      <c r="C635" t="s">
        <v>15</v>
      </c>
      <c r="D635" s="2">
        <v>975.12199934466298</v>
      </c>
      <c r="E635" s="2">
        <v>981.71299989846261</v>
      </c>
      <c r="F635" s="2">
        <v>969.56390289776584</v>
      </c>
      <c r="G635" s="2">
        <v>980.33575439453125</v>
      </c>
      <c r="H635" s="3">
        <v>18396408</v>
      </c>
      <c r="I635" s="4">
        <f t="shared" si="36"/>
        <v>-0.56999999999999995</v>
      </c>
      <c r="J635" s="2">
        <f t="shared" si="37"/>
        <v>1.38</v>
      </c>
      <c r="K635" s="7">
        <f t="shared" si="38"/>
        <v>45962</v>
      </c>
      <c r="L635" t="str">
        <f t="shared" si="39"/>
        <v>Q4-2025</v>
      </c>
    </row>
    <row r="636" spans="1:12">
      <c r="A636" s="6">
        <v>45978</v>
      </c>
      <c r="B636" t="s">
        <v>16</v>
      </c>
      <c r="C636" t="s">
        <v>17</v>
      </c>
      <c r="D636" s="2">
        <v>1363.6041374139661</v>
      </c>
      <c r="E636" s="2">
        <v>1370.94229761114</v>
      </c>
      <c r="F636" s="2">
        <v>1362.116677416557</v>
      </c>
      <c r="G636" s="2">
        <v>1367.471557617188</v>
      </c>
      <c r="H636" s="3">
        <v>7660717</v>
      </c>
      <c r="I636" s="4">
        <f t="shared" si="36"/>
        <v>-0.11</v>
      </c>
      <c r="J636" s="2">
        <f t="shared" si="37"/>
        <v>3.47</v>
      </c>
      <c r="K636" s="7">
        <f t="shared" si="38"/>
        <v>45962</v>
      </c>
      <c r="L636" t="str">
        <f t="shared" si="39"/>
        <v>Q4-2025</v>
      </c>
    </row>
    <row r="637" spans="1:12">
      <c r="A637" s="6">
        <v>45978</v>
      </c>
      <c r="B637" t="s">
        <v>18</v>
      </c>
      <c r="C637" t="s">
        <v>19</v>
      </c>
      <c r="D637" s="2">
        <v>235.14429729370869</v>
      </c>
      <c r="E637" s="2">
        <v>235.9249928946931</v>
      </c>
      <c r="F637" s="2">
        <v>233.91060293789209</v>
      </c>
      <c r="G637" s="2">
        <v>235.2214050292969</v>
      </c>
      <c r="H637" s="3">
        <v>6559062</v>
      </c>
      <c r="I637" s="4">
        <f t="shared" si="36"/>
        <v>-0.52</v>
      </c>
      <c r="J637" s="2">
        <f t="shared" si="37"/>
        <v>0.7</v>
      </c>
      <c r="K637" s="7">
        <f t="shared" si="38"/>
        <v>45962</v>
      </c>
      <c r="L637" t="str">
        <f t="shared" si="39"/>
        <v>Q4-2025</v>
      </c>
    </row>
    <row r="638" spans="1:12">
      <c r="A638" s="6">
        <v>45978</v>
      </c>
      <c r="B638" t="s">
        <v>20</v>
      </c>
      <c r="C638" t="s">
        <v>21</v>
      </c>
      <c r="D638" s="2">
        <v>1537.114640997858</v>
      </c>
      <c r="E638" s="2">
        <v>1550.3256795971331</v>
      </c>
      <c r="F638" s="2">
        <v>1528.917981996301</v>
      </c>
      <c r="G638" s="2">
        <v>1549.072143554688</v>
      </c>
      <c r="H638" s="3">
        <v>2000978</v>
      </c>
      <c r="I638" s="4">
        <f t="shared" si="36"/>
        <v>-0.53</v>
      </c>
      <c r="J638" s="2">
        <f t="shared" si="37"/>
        <v>1.25</v>
      </c>
      <c r="K638" s="7">
        <f t="shared" si="38"/>
        <v>45962</v>
      </c>
      <c r="L638" t="str">
        <f t="shared" si="39"/>
        <v>Q4-2025</v>
      </c>
    </row>
    <row r="639" spans="1:12">
      <c r="A639" s="6">
        <v>45978</v>
      </c>
      <c r="B639" t="s">
        <v>22</v>
      </c>
      <c r="C639" t="s">
        <v>23</v>
      </c>
      <c r="D639" s="2">
        <v>1014.762059733133</v>
      </c>
      <c r="E639" s="2">
        <v>1026.688744078675</v>
      </c>
      <c r="F639" s="2">
        <v>1010.7864982846201</v>
      </c>
      <c r="G639" s="2">
        <v>1020.526672363281</v>
      </c>
      <c r="H639" s="3">
        <v>6011603</v>
      </c>
      <c r="I639" s="4">
        <f t="shared" si="36"/>
        <v>-0.39</v>
      </c>
      <c r="J639" s="2">
        <f t="shared" si="37"/>
        <v>6.16</v>
      </c>
      <c r="K639" s="7">
        <f t="shared" si="38"/>
        <v>45962</v>
      </c>
      <c r="L639" t="str">
        <f t="shared" si="39"/>
        <v>Q4-2025</v>
      </c>
    </row>
    <row r="640" spans="1:12">
      <c r="A640" s="6">
        <v>45978</v>
      </c>
      <c r="B640" t="s">
        <v>24</v>
      </c>
      <c r="C640" t="s">
        <v>25</v>
      </c>
      <c r="D640" s="2">
        <v>15533.001332732891</v>
      </c>
      <c r="E640" s="2">
        <v>15733.982865688769</v>
      </c>
      <c r="F640" s="2">
        <v>15499.339401104809</v>
      </c>
      <c r="G640" s="2">
        <v>15720.1220703125</v>
      </c>
      <c r="H640" s="3">
        <v>301069</v>
      </c>
      <c r="I640" s="4">
        <f t="shared" si="36"/>
        <v>-0.22</v>
      </c>
      <c r="J640" s="2">
        <f t="shared" si="37"/>
        <v>13.86</v>
      </c>
      <c r="K640" s="7">
        <f t="shared" si="38"/>
        <v>45962</v>
      </c>
      <c r="L640" t="str">
        <f t="shared" si="39"/>
        <v>Q4-2025</v>
      </c>
    </row>
    <row r="641" spans="1:12">
      <c r="A641" s="6">
        <v>45978</v>
      </c>
      <c r="B641" t="s">
        <v>26</v>
      </c>
      <c r="C641" t="s">
        <v>27</v>
      </c>
      <c r="D641" s="2">
        <v>376.87371946133811</v>
      </c>
      <c r="E641" s="2">
        <v>376.87371946133811</v>
      </c>
      <c r="F641" s="2">
        <v>360.01357938017298</v>
      </c>
      <c r="G641" s="2">
        <v>369.6337890625</v>
      </c>
      <c r="H641" s="3">
        <v>32393346</v>
      </c>
      <c r="I641" s="4">
        <f t="shared" si="36"/>
        <v>-4.47</v>
      </c>
      <c r="J641" s="2">
        <f t="shared" si="37"/>
        <v>7.24</v>
      </c>
      <c r="K641" s="7">
        <f t="shared" si="38"/>
        <v>45962</v>
      </c>
      <c r="L641" t="str">
        <f t="shared" si="39"/>
        <v>Q4-2025</v>
      </c>
    </row>
    <row r="642" spans="1:12">
      <c r="A642" s="6">
        <v>45978</v>
      </c>
      <c r="B642" t="s">
        <v>28</v>
      </c>
      <c r="C642" t="s">
        <v>29</v>
      </c>
      <c r="D642" s="2">
        <v>1749.8178859873419</v>
      </c>
      <c r="E642" s="2">
        <v>1751.9979255175249</v>
      </c>
      <c r="F642" s="2">
        <v>1731.881611357582</v>
      </c>
      <c r="G642" s="2">
        <v>1747.93505859375</v>
      </c>
      <c r="H642" s="3">
        <v>1430618</v>
      </c>
      <c r="I642" s="4">
        <f t="shared" ref="I642:I705" si="40">ROUND(((F642-D642)/D642)*100, 2)</f>
        <v>-1.03</v>
      </c>
      <c r="J642" s="2">
        <f t="shared" ref="J642:J705" si="41">ROUND(E642-G642, 2)</f>
        <v>4.0599999999999996</v>
      </c>
      <c r="K642" s="7">
        <f t="shared" ref="K642:K705" si="42">DATE(YEAR(A642),MONTH(A642),1)</f>
        <v>45962</v>
      </c>
      <c r="L642" t="str">
        <f t="shared" ref="L642:L705" si="43">"Q"&amp;INT((MONTH(A642)-1)/3)+1&amp;"-"&amp;YEAR(A642)</f>
        <v>Q4-2025</v>
      </c>
    </row>
    <row r="643" spans="1:12">
      <c r="A643" s="6">
        <v>45978</v>
      </c>
      <c r="B643" t="s">
        <v>30</v>
      </c>
      <c r="C643" t="s">
        <v>31</v>
      </c>
      <c r="D643" s="2">
        <v>2876.9109277310708</v>
      </c>
      <c r="E643" s="2">
        <v>2897.202930208407</v>
      </c>
      <c r="F643" s="2">
        <v>2850.7788846207891</v>
      </c>
      <c r="G643" s="2">
        <v>2858.5986328125</v>
      </c>
      <c r="H643" s="3">
        <v>1230683</v>
      </c>
      <c r="I643" s="4">
        <f t="shared" si="40"/>
        <v>-0.91</v>
      </c>
      <c r="J643" s="2">
        <f t="shared" si="41"/>
        <v>38.6</v>
      </c>
      <c r="K643" s="7">
        <f t="shared" si="42"/>
        <v>45962</v>
      </c>
      <c r="L643" t="str">
        <f t="shared" si="43"/>
        <v>Q4-2025</v>
      </c>
    </row>
    <row r="644" spans="1:12">
      <c r="A644" s="6">
        <v>45978</v>
      </c>
      <c r="B644" t="s">
        <v>32</v>
      </c>
      <c r="C644" t="s">
        <v>33</v>
      </c>
      <c r="D644" s="2">
        <v>2406.917736063052</v>
      </c>
      <c r="E644" s="2">
        <v>2413.8472519095408</v>
      </c>
      <c r="F644" s="2">
        <v>2391.672897873711</v>
      </c>
      <c r="G644" s="2">
        <v>2400.582275390625</v>
      </c>
      <c r="H644" s="3">
        <v>920038</v>
      </c>
      <c r="I644" s="4">
        <f t="shared" si="40"/>
        <v>-0.63</v>
      </c>
      <c r="J644" s="2">
        <f t="shared" si="41"/>
        <v>13.26</v>
      </c>
      <c r="K644" s="7">
        <f t="shared" si="42"/>
        <v>45962</v>
      </c>
      <c r="L644" t="str">
        <f t="shared" si="43"/>
        <v>Q4-2025</v>
      </c>
    </row>
    <row r="645" spans="1:12">
      <c r="A645" s="6">
        <v>45978</v>
      </c>
      <c r="B645" t="s">
        <v>34</v>
      </c>
      <c r="C645" t="s">
        <v>35</v>
      </c>
      <c r="D645" s="2">
        <v>3965.6658083468369</v>
      </c>
      <c r="E645" s="2">
        <v>3991.0182792392452</v>
      </c>
      <c r="F645" s="2">
        <v>3961.4075951694249</v>
      </c>
      <c r="G645" s="2">
        <v>3988.740478515625</v>
      </c>
      <c r="H645" s="3">
        <v>1206133</v>
      </c>
      <c r="I645" s="4">
        <f t="shared" si="40"/>
        <v>-0.11</v>
      </c>
      <c r="J645" s="2">
        <f t="shared" si="41"/>
        <v>2.2799999999999998</v>
      </c>
      <c r="K645" s="7">
        <f t="shared" si="42"/>
        <v>45962</v>
      </c>
      <c r="L645" t="str">
        <f t="shared" si="43"/>
        <v>Q4-2025</v>
      </c>
    </row>
    <row r="646" spans="1:12">
      <c r="A646" s="6">
        <v>45978</v>
      </c>
      <c r="B646" t="s">
        <v>36</v>
      </c>
      <c r="C646" t="s">
        <v>37</v>
      </c>
      <c r="D646" s="2">
        <v>1242.9414044247751</v>
      </c>
      <c r="E646" s="2">
        <v>1260.0282017985639</v>
      </c>
      <c r="F646" s="2">
        <v>1239.4441017235099</v>
      </c>
      <c r="G646" s="2">
        <v>1248.636962890625</v>
      </c>
      <c r="H646" s="3">
        <v>4088026</v>
      </c>
      <c r="I646" s="4">
        <f t="shared" si="40"/>
        <v>-0.28000000000000003</v>
      </c>
      <c r="J646" s="2">
        <f t="shared" si="41"/>
        <v>11.39</v>
      </c>
      <c r="K646" s="7">
        <f t="shared" si="42"/>
        <v>45962</v>
      </c>
      <c r="L646" t="str">
        <f t="shared" si="43"/>
        <v>Q4-2025</v>
      </c>
    </row>
    <row r="647" spans="1:12">
      <c r="A647" s="6">
        <v>45979</v>
      </c>
      <c r="B647" t="s">
        <v>8</v>
      </c>
      <c r="C647" t="s">
        <v>9</v>
      </c>
      <c r="D647" s="2">
        <v>1514.696568271851</v>
      </c>
      <c r="E647" s="2">
        <v>1520.768591195246</v>
      </c>
      <c r="F647" s="2">
        <v>1503.548163100525</v>
      </c>
      <c r="G647" s="2">
        <v>1512.4072265625</v>
      </c>
      <c r="H647" s="3">
        <v>11045042</v>
      </c>
      <c r="I647" s="4">
        <f t="shared" si="40"/>
        <v>-0.74</v>
      </c>
      <c r="J647" s="2">
        <f t="shared" si="41"/>
        <v>8.36</v>
      </c>
      <c r="K647" s="7">
        <f t="shared" si="42"/>
        <v>45962</v>
      </c>
      <c r="L647" t="str">
        <f t="shared" si="43"/>
        <v>Q4-2025</v>
      </c>
    </row>
    <row r="648" spans="1:12">
      <c r="A648" s="6">
        <v>45979</v>
      </c>
      <c r="B648" t="s">
        <v>10</v>
      </c>
      <c r="C648" t="s">
        <v>11</v>
      </c>
      <c r="D648" s="2">
        <v>2989.4682629851</v>
      </c>
      <c r="E648" s="2">
        <v>2992.359431517968</v>
      </c>
      <c r="F648" s="2">
        <v>2966.3389147221592</v>
      </c>
      <c r="G648" s="2">
        <v>2975.10888671875</v>
      </c>
      <c r="H648" s="3">
        <v>2548350</v>
      </c>
      <c r="I648" s="4">
        <f t="shared" si="40"/>
        <v>-0.77</v>
      </c>
      <c r="J648" s="2">
        <f t="shared" si="41"/>
        <v>17.25</v>
      </c>
      <c r="K648" s="7">
        <f t="shared" si="42"/>
        <v>45962</v>
      </c>
      <c r="L648" t="str">
        <f t="shared" si="43"/>
        <v>Q4-2025</v>
      </c>
    </row>
    <row r="649" spans="1:12">
      <c r="A649" s="6">
        <v>45979</v>
      </c>
      <c r="B649" t="s">
        <v>12</v>
      </c>
      <c r="C649" t="s">
        <v>13</v>
      </c>
      <c r="D649" s="2">
        <v>1474.1013313334299</v>
      </c>
      <c r="E649" s="2">
        <v>1474.1013313334299</v>
      </c>
      <c r="F649" s="2">
        <v>1451.7842115910621</v>
      </c>
      <c r="G649" s="2">
        <v>1454.91650390625</v>
      </c>
      <c r="H649" s="3">
        <v>7525119</v>
      </c>
      <c r="I649" s="4">
        <f t="shared" si="40"/>
        <v>-1.51</v>
      </c>
      <c r="J649" s="2">
        <f t="shared" si="41"/>
        <v>19.18</v>
      </c>
      <c r="K649" s="7">
        <f t="shared" si="42"/>
        <v>45962</v>
      </c>
      <c r="L649" t="str">
        <f t="shared" si="43"/>
        <v>Q4-2025</v>
      </c>
    </row>
    <row r="650" spans="1:12">
      <c r="A650" s="6">
        <v>45979</v>
      </c>
      <c r="B650" t="s">
        <v>14</v>
      </c>
      <c r="C650" t="s">
        <v>15</v>
      </c>
      <c r="D650" s="2">
        <v>981.41789635511645</v>
      </c>
      <c r="E650" s="2">
        <v>982.74590734820958</v>
      </c>
      <c r="F650" s="2">
        <v>973.89234061534285</v>
      </c>
      <c r="G650" s="2">
        <v>976.302490234375</v>
      </c>
      <c r="H650" s="3">
        <v>20002640</v>
      </c>
      <c r="I650" s="4">
        <f t="shared" si="40"/>
        <v>-0.77</v>
      </c>
      <c r="J650" s="2">
        <f t="shared" si="41"/>
        <v>6.44</v>
      </c>
      <c r="K650" s="7">
        <f t="shared" si="42"/>
        <v>45962</v>
      </c>
      <c r="L650" t="str">
        <f t="shared" si="43"/>
        <v>Q4-2025</v>
      </c>
    </row>
    <row r="651" spans="1:12">
      <c r="A651" s="6">
        <v>45979</v>
      </c>
      <c r="B651" t="s">
        <v>16</v>
      </c>
      <c r="C651" t="s">
        <v>17</v>
      </c>
      <c r="D651" s="2">
        <v>1368.661414007996</v>
      </c>
      <c r="E651" s="2">
        <v>1371.2397747243119</v>
      </c>
      <c r="F651" s="2">
        <v>1357.6542347453069</v>
      </c>
      <c r="G651" s="2">
        <v>1361.918334960938</v>
      </c>
      <c r="H651" s="3">
        <v>9529560</v>
      </c>
      <c r="I651" s="4">
        <f t="shared" si="40"/>
        <v>-0.8</v>
      </c>
      <c r="J651" s="2">
        <f t="shared" si="41"/>
        <v>9.32</v>
      </c>
      <c r="K651" s="7">
        <f t="shared" si="42"/>
        <v>45962</v>
      </c>
      <c r="L651" t="str">
        <f t="shared" si="43"/>
        <v>Q4-2025</v>
      </c>
    </row>
    <row r="652" spans="1:12">
      <c r="A652" s="6">
        <v>45979</v>
      </c>
      <c r="B652" t="s">
        <v>18</v>
      </c>
      <c r="C652" t="s">
        <v>19</v>
      </c>
      <c r="D652" s="2">
        <v>234.1419113417482</v>
      </c>
      <c r="E652" s="2">
        <v>235.17321075966979</v>
      </c>
      <c r="F652" s="2">
        <v>231.60706255426371</v>
      </c>
      <c r="G652" s="2">
        <v>232.18534851074219</v>
      </c>
      <c r="H652" s="3">
        <v>4730012</v>
      </c>
      <c r="I652" s="4">
        <f t="shared" si="40"/>
        <v>-1.08</v>
      </c>
      <c r="J652" s="2">
        <f t="shared" si="41"/>
        <v>2.99</v>
      </c>
      <c r="K652" s="7">
        <f t="shared" si="42"/>
        <v>45962</v>
      </c>
      <c r="L652" t="str">
        <f t="shared" si="43"/>
        <v>Q4-2025</v>
      </c>
    </row>
    <row r="653" spans="1:12">
      <c r="A653" s="6">
        <v>45979</v>
      </c>
      <c r="B653" t="s">
        <v>20</v>
      </c>
      <c r="C653" t="s">
        <v>21</v>
      </c>
      <c r="D653" s="2">
        <v>1546.757850968612</v>
      </c>
      <c r="E653" s="2">
        <v>1546.757850968612</v>
      </c>
      <c r="F653" s="2">
        <v>1533.353878467922</v>
      </c>
      <c r="G653" s="2">
        <v>1538.271850585938</v>
      </c>
      <c r="H653" s="3">
        <v>1640123</v>
      </c>
      <c r="I653" s="4">
        <f t="shared" si="40"/>
        <v>-0.87</v>
      </c>
      <c r="J653" s="2">
        <f t="shared" si="41"/>
        <v>8.49</v>
      </c>
      <c r="K653" s="7">
        <f t="shared" si="42"/>
        <v>45962</v>
      </c>
      <c r="L653" t="str">
        <f t="shared" si="43"/>
        <v>Q4-2025</v>
      </c>
    </row>
    <row r="654" spans="1:12">
      <c r="A654" s="6">
        <v>45979</v>
      </c>
      <c r="B654" t="s">
        <v>22</v>
      </c>
      <c r="C654" t="s">
        <v>23</v>
      </c>
      <c r="D654" s="2">
        <v>1014.960829560373</v>
      </c>
      <c r="E654" s="2">
        <v>1017.843075155325</v>
      </c>
      <c r="F654" s="2">
        <v>1005.518871309721</v>
      </c>
      <c r="G654" s="2">
        <v>1007.4072265625</v>
      </c>
      <c r="H654" s="3">
        <v>4562185</v>
      </c>
      <c r="I654" s="4">
        <f t="shared" si="40"/>
        <v>-0.93</v>
      </c>
      <c r="J654" s="2">
        <f t="shared" si="41"/>
        <v>10.44</v>
      </c>
      <c r="K654" s="7">
        <f t="shared" si="42"/>
        <v>45962</v>
      </c>
      <c r="L654" t="str">
        <f t="shared" si="43"/>
        <v>Q4-2025</v>
      </c>
    </row>
    <row r="655" spans="1:12">
      <c r="A655" s="6">
        <v>45979</v>
      </c>
      <c r="B655" t="s">
        <v>24</v>
      </c>
      <c r="C655" t="s">
        <v>25</v>
      </c>
      <c r="D655" s="2">
        <v>15720.122513045349</v>
      </c>
      <c r="E655" s="2">
        <v>15839.9193907427</v>
      </c>
      <c r="F655" s="2">
        <v>15593.395237464691</v>
      </c>
      <c r="G655" s="2">
        <v>15771.60546875</v>
      </c>
      <c r="H655" s="3">
        <v>392903</v>
      </c>
      <c r="I655" s="4">
        <f t="shared" si="40"/>
        <v>-0.81</v>
      </c>
      <c r="J655" s="2">
        <f t="shared" si="41"/>
        <v>68.31</v>
      </c>
      <c r="K655" s="7">
        <f t="shared" si="42"/>
        <v>45962</v>
      </c>
      <c r="L655" t="str">
        <f t="shared" si="43"/>
        <v>Q4-2025</v>
      </c>
    </row>
    <row r="656" spans="1:12">
      <c r="A656" s="6">
        <v>45979</v>
      </c>
      <c r="B656" t="s">
        <v>26</v>
      </c>
      <c r="C656" t="s">
        <v>27</v>
      </c>
      <c r="D656" s="2">
        <v>370.03047917522917</v>
      </c>
      <c r="E656" s="2">
        <v>370.92306874189489</v>
      </c>
      <c r="F656" s="2">
        <v>366.11296406988168</v>
      </c>
      <c r="G656" s="2">
        <v>368.24526977539063</v>
      </c>
      <c r="H656" s="3">
        <v>17484757</v>
      </c>
      <c r="I656" s="4">
        <f t="shared" si="40"/>
        <v>-1.06</v>
      </c>
      <c r="J656" s="2">
        <f t="shared" si="41"/>
        <v>2.68</v>
      </c>
      <c r="K656" s="7">
        <f t="shared" si="42"/>
        <v>45962</v>
      </c>
      <c r="L656" t="str">
        <f t="shared" si="43"/>
        <v>Q4-2025</v>
      </c>
    </row>
    <row r="657" spans="1:12">
      <c r="A657" s="6">
        <v>45979</v>
      </c>
      <c r="B657" t="s">
        <v>28</v>
      </c>
      <c r="C657" t="s">
        <v>29</v>
      </c>
      <c r="D657" s="2">
        <v>1748.034112224452</v>
      </c>
      <c r="E657" s="2">
        <v>1748.529586746057</v>
      </c>
      <c r="F657" s="2">
        <v>1734.1608256194961</v>
      </c>
      <c r="G657" s="2">
        <v>1742.881225585938</v>
      </c>
      <c r="H657" s="3">
        <v>1429522</v>
      </c>
      <c r="I657" s="4">
        <f t="shared" si="40"/>
        <v>-0.79</v>
      </c>
      <c r="J657" s="2">
        <f t="shared" si="41"/>
        <v>5.65</v>
      </c>
      <c r="K657" s="7">
        <f t="shared" si="42"/>
        <v>45962</v>
      </c>
      <c r="L657" t="str">
        <f t="shared" si="43"/>
        <v>Q4-2025</v>
      </c>
    </row>
    <row r="658" spans="1:12">
      <c r="A658" s="6">
        <v>45979</v>
      </c>
      <c r="B658" t="s">
        <v>30</v>
      </c>
      <c r="C658" t="s">
        <v>31</v>
      </c>
      <c r="D658" s="2">
        <v>2861.1764220981381</v>
      </c>
      <c r="E658" s="2">
        <v>2890.9183807478062</v>
      </c>
      <c r="F658" s="2">
        <v>2837.4820918568398</v>
      </c>
      <c r="G658" s="2">
        <v>2881.00439453125</v>
      </c>
      <c r="H658" s="3">
        <v>1819066</v>
      </c>
      <c r="I658" s="4">
        <f t="shared" si="40"/>
        <v>-0.83</v>
      </c>
      <c r="J658" s="2">
        <f t="shared" si="41"/>
        <v>9.91</v>
      </c>
      <c r="K658" s="7">
        <f t="shared" si="42"/>
        <v>45962</v>
      </c>
      <c r="L658" t="str">
        <f t="shared" si="43"/>
        <v>Q4-2025</v>
      </c>
    </row>
    <row r="659" spans="1:12">
      <c r="A659" s="6">
        <v>45979</v>
      </c>
      <c r="B659" t="s">
        <v>32</v>
      </c>
      <c r="C659" t="s">
        <v>33</v>
      </c>
      <c r="D659" s="2">
        <v>2391.4749332328952</v>
      </c>
      <c r="E659" s="2">
        <v>2398.503297074712</v>
      </c>
      <c r="F659" s="2">
        <v>2377.7147497683022</v>
      </c>
      <c r="G659" s="2">
        <v>2379.793701171875</v>
      </c>
      <c r="H659" s="3">
        <v>1229034</v>
      </c>
      <c r="I659" s="4">
        <f t="shared" si="40"/>
        <v>-0.57999999999999996</v>
      </c>
      <c r="J659" s="2">
        <f t="shared" si="41"/>
        <v>18.71</v>
      </c>
      <c r="K659" s="7">
        <f t="shared" si="42"/>
        <v>45962</v>
      </c>
      <c r="L659" t="str">
        <f t="shared" si="43"/>
        <v>Q4-2025</v>
      </c>
    </row>
    <row r="660" spans="1:12">
      <c r="A660" s="6">
        <v>45979</v>
      </c>
      <c r="B660" t="s">
        <v>34</v>
      </c>
      <c r="C660" t="s">
        <v>35</v>
      </c>
      <c r="D660" s="2">
        <v>3981.1149295809719</v>
      </c>
      <c r="E660" s="2">
        <v>3987.84920219578</v>
      </c>
      <c r="F660" s="2">
        <v>3940.4123891863119</v>
      </c>
      <c r="G660" s="2">
        <v>3960.912353515625</v>
      </c>
      <c r="H660" s="3">
        <v>1748928</v>
      </c>
      <c r="I660" s="4">
        <f t="shared" si="40"/>
        <v>-1.02</v>
      </c>
      <c r="J660" s="2">
        <f t="shared" si="41"/>
        <v>26.94</v>
      </c>
      <c r="K660" s="7">
        <f t="shared" si="42"/>
        <v>45962</v>
      </c>
      <c r="L660" t="str">
        <f t="shared" si="43"/>
        <v>Q4-2025</v>
      </c>
    </row>
    <row r="661" spans="1:12">
      <c r="A661" s="6">
        <v>45979</v>
      </c>
      <c r="B661" t="s">
        <v>36</v>
      </c>
      <c r="C661" t="s">
        <v>37</v>
      </c>
      <c r="D661" s="2">
        <v>1249.0367693639989</v>
      </c>
      <c r="E661" s="2">
        <v>1272.518660628042</v>
      </c>
      <c r="F661" s="2">
        <v>1246.63859437157</v>
      </c>
      <c r="G661" s="2">
        <v>1264.424926757812</v>
      </c>
      <c r="H661" s="3">
        <v>10175969</v>
      </c>
      <c r="I661" s="4">
        <f t="shared" si="40"/>
        <v>-0.19</v>
      </c>
      <c r="J661" s="2">
        <f t="shared" si="41"/>
        <v>8.09</v>
      </c>
      <c r="K661" s="7">
        <f t="shared" si="42"/>
        <v>45962</v>
      </c>
      <c r="L661" t="str">
        <f t="shared" si="43"/>
        <v>Q4-2025</v>
      </c>
    </row>
    <row r="662" spans="1:12">
      <c r="A662" s="6">
        <v>45980</v>
      </c>
      <c r="B662" t="s">
        <v>8</v>
      </c>
      <c r="C662" t="s">
        <v>9</v>
      </c>
      <c r="D662" s="2">
        <v>1510.416449392812</v>
      </c>
      <c r="E662" s="2">
        <v>1515.2939222795569</v>
      </c>
      <c r="F662" s="2">
        <v>1505.0412776708581</v>
      </c>
      <c r="G662" s="2">
        <v>1511.909545898438</v>
      </c>
      <c r="H662" s="3">
        <v>5692366</v>
      </c>
      <c r="I662" s="4">
        <f t="shared" si="40"/>
        <v>-0.36</v>
      </c>
      <c r="J662" s="2">
        <f t="shared" si="41"/>
        <v>3.38</v>
      </c>
      <c r="K662" s="7">
        <f t="shared" si="42"/>
        <v>45962</v>
      </c>
      <c r="L662" t="str">
        <f t="shared" si="43"/>
        <v>Q4-2025</v>
      </c>
    </row>
    <row r="663" spans="1:12">
      <c r="A663" s="6">
        <v>45980</v>
      </c>
      <c r="B663" t="s">
        <v>10</v>
      </c>
      <c r="C663" t="s">
        <v>11</v>
      </c>
      <c r="D663" s="2">
        <v>2984.64931409568</v>
      </c>
      <c r="E663" s="2">
        <v>3040.5452327968578</v>
      </c>
      <c r="F663" s="2">
        <v>2971.6390571566121</v>
      </c>
      <c r="G663" s="2">
        <v>3033.510009765625</v>
      </c>
      <c r="H663" s="3">
        <v>3151053</v>
      </c>
      <c r="I663" s="4">
        <f t="shared" si="40"/>
        <v>-0.44</v>
      </c>
      <c r="J663" s="2">
        <f t="shared" si="41"/>
        <v>7.04</v>
      </c>
      <c r="K663" s="7">
        <f t="shared" si="42"/>
        <v>45962</v>
      </c>
      <c r="L663" t="str">
        <f t="shared" si="43"/>
        <v>Q4-2025</v>
      </c>
    </row>
    <row r="664" spans="1:12">
      <c r="A664" s="6">
        <v>45980</v>
      </c>
      <c r="B664" t="s">
        <v>12</v>
      </c>
      <c r="C664" t="s">
        <v>13</v>
      </c>
      <c r="D664" s="2">
        <v>1458.929669922218</v>
      </c>
      <c r="E664" s="2">
        <v>1510.317665675936</v>
      </c>
      <c r="F664" s="2">
        <v>1458.929669922218</v>
      </c>
      <c r="G664" s="2">
        <v>1508.457885742188</v>
      </c>
      <c r="H664" s="3">
        <v>10981126</v>
      </c>
      <c r="I664" s="4">
        <f t="shared" si="40"/>
        <v>0</v>
      </c>
      <c r="J664" s="2">
        <f t="shared" si="41"/>
        <v>1.86</v>
      </c>
      <c r="K664" s="7">
        <f t="shared" si="42"/>
        <v>45962</v>
      </c>
      <c r="L664" t="str">
        <f t="shared" si="43"/>
        <v>Q4-2025</v>
      </c>
    </row>
    <row r="665" spans="1:12">
      <c r="A665" s="6">
        <v>45980</v>
      </c>
      <c r="B665" t="s">
        <v>14</v>
      </c>
      <c r="C665" t="s">
        <v>15</v>
      </c>
      <c r="D665" s="2">
        <v>973.89234812058237</v>
      </c>
      <c r="E665" s="2">
        <v>980.33576528407275</v>
      </c>
      <c r="F665" s="2">
        <v>967.98997025318488</v>
      </c>
      <c r="G665" s="2">
        <v>978.41748046875</v>
      </c>
      <c r="H665" s="3">
        <v>19813847</v>
      </c>
      <c r="I665" s="4">
        <f t="shared" si="40"/>
        <v>-0.61</v>
      </c>
      <c r="J665" s="2">
        <f t="shared" si="41"/>
        <v>1.92</v>
      </c>
      <c r="K665" s="7">
        <f t="shared" si="42"/>
        <v>45962</v>
      </c>
      <c r="L665" t="str">
        <f t="shared" si="43"/>
        <v>Q4-2025</v>
      </c>
    </row>
    <row r="666" spans="1:12">
      <c r="A666" s="6">
        <v>45980</v>
      </c>
      <c r="B666" t="s">
        <v>16</v>
      </c>
      <c r="C666" t="s">
        <v>17</v>
      </c>
      <c r="D666" s="2">
        <v>1362.0175118520119</v>
      </c>
      <c r="E666" s="2">
        <v>1372.429731636829</v>
      </c>
      <c r="F666" s="2">
        <v>1360.1333716809891</v>
      </c>
      <c r="G666" s="2">
        <v>1371.537231445312</v>
      </c>
      <c r="H666" s="3">
        <v>10393918</v>
      </c>
      <c r="I666" s="4">
        <f t="shared" si="40"/>
        <v>-0.14000000000000001</v>
      </c>
      <c r="J666" s="2">
        <f t="shared" si="41"/>
        <v>0.89</v>
      </c>
      <c r="K666" s="7">
        <f t="shared" si="42"/>
        <v>45962</v>
      </c>
      <c r="L666" t="str">
        <f t="shared" si="43"/>
        <v>Q4-2025</v>
      </c>
    </row>
    <row r="667" spans="1:12">
      <c r="A667" s="6">
        <v>45980</v>
      </c>
      <c r="B667" t="s">
        <v>18</v>
      </c>
      <c r="C667" t="s">
        <v>19</v>
      </c>
      <c r="D667" s="2">
        <v>232.47448403171441</v>
      </c>
      <c r="E667" s="2">
        <v>237.92010169243309</v>
      </c>
      <c r="F667" s="2">
        <v>231.83835628399791</v>
      </c>
      <c r="G667" s="2">
        <v>237.16831970214841</v>
      </c>
      <c r="H667" s="3">
        <v>13298452</v>
      </c>
      <c r="I667" s="4">
        <f t="shared" si="40"/>
        <v>-0.27</v>
      </c>
      <c r="J667" s="2">
        <f t="shared" si="41"/>
        <v>0.75</v>
      </c>
      <c r="K667" s="7">
        <f t="shared" si="42"/>
        <v>45962</v>
      </c>
      <c r="L667" t="str">
        <f t="shared" si="43"/>
        <v>Q4-2025</v>
      </c>
    </row>
    <row r="668" spans="1:12">
      <c r="A668" s="6">
        <v>45980</v>
      </c>
      <c r="B668" t="s">
        <v>20</v>
      </c>
      <c r="C668" t="s">
        <v>21</v>
      </c>
      <c r="D668" s="2">
        <v>1538.3684141194401</v>
      </c>
      <c r="E668" s="2">
        <v>1609.920384105191</v>
      </c>
      <c r="F668" s="2">
        <v>1531.9074470708649</v>
      </c>
      <c r="G668" s="2">
        <v>1603.2666015625</v>
      </c>
      <c r="H668" s="3">
        <v>6342672</v>
      </c>
      <c r="I668" s="4">
        <f t="shared" si="40"/>
        <v>-0.42</v>
      </c>
      <c r="J668" s="2">
        <f t="shared" si="41"/>
        <v>6.65</v>
      </c>
      <c r="K668" s="7">
        <f t="shared" si="42"/>
        <v>45962</v>
      </c>
      <c r="L668" t="str">
        <f t="shared" si="43"/>
        <v>Q4-2025</v>
      </c>
    </row>
    <row r="669" spans="1:12">
      <c r="A669" s="6">
        <v>45980</v>
      </c>
      <c r="B669" t="s">
        <v>22</v>
      </c>
      <c r="C669" t="s">
        <v>23</v>
      </c>
      <c r="D669" s="2">
        <v>1002.835367191175</v>
      </c>
      <c r="E669" s="2">
        <v>1009.89196443971</v>
      </c>
      <c r="F669" s="2">
        <v>998.46222536865105</v>
      </c>
      <c r="G669" s="2">
        <v>999.45611572265625</v>
      </c>
      <c r="H669" s="3">
        <v>5158832</v>
      </c>
      <c r="I669" s="4">
        <f t="shared" si="40"/>
        <v>-0.44</v>
      </c>
      <c r="J669" s="2">
        <f t="shared" si="41"/>
        <v>10.44</v>
      </c>
      <c r="K669" s="7">
        <f t="shared" si="42"/>
        <v>45962</v>
      </c>
      <c r="L669" t="str">
        <f t="shared" si="43"/>
        <v>Q4-2025</v>
      </c>
    </row>
    <row r="670" spans="1:12">
      <c r="A670" s="6">
        <v>45980</v>
      </c>
      <c r="B670" t="s">
        <v>24</v>
      </c>
      <c r="C670" t="s">
        <v>25</v>
      </c>
      <c r="D670" s="2">
        <v>15791.406160196881</v>
      </c>
      <c r="E670" s="2">
        <v>15791.406160196881</v>
      </c>
      <c r="F670" s="2">
        <v>15558.742809247269</v>
      </c>
      <c r="G670" s="2">
        <v>15611.2158203125</v>
      </c>
      <c r="H670" s="3">
        <v>286434</v>
      </c>
      <c r="I670" s="4">
        <f t="shared" si="40"/>
        <v>-1.47</v>
      </c>
      <c r="J670" s="2">
        <f t="shared" si="41"/>
        <v>180.19</v>
      </c>
      <c r="K670" s="7">
        <f t="shared" si="42"/>
        <v>45962</v>
      </c>
      <c r="L670" t="str">
        <f t="shared" si="43"/>
        <v>Q4-2025</v>
      </c>
    </row>
    <row r="671" spans="1:12">
      <c r="A671" s="6">
        <v>45980</v>
      </c>
      <c r="B671" t="s">
        <v>26</v>
      </c>
      <c r="C671" t="s">
        <v>27</v>
      </c>
      <c r="D671" s="2">
        <v>368.14614303847122</v>
      </c>
      <c r="E671" s="2">
        <v>368.19571958096918</v>
      </c>
      <c r="F671" s="2">
        <v>357.3854001300756</v>
      </c>
      <c r="G671" s="2">
        <v>357.88128662109381</v>
      </c>
      <c r="H671" s="3">
        <v>17854517</v>
      </c>
      <c r="I671" s="4">
        <f t="shared" si="40"/>
        <v>-2.92</v>
      </c>
      <c r="J671" s="2">
        <f t="shared" si="41"/>
        <v>10.31</v>
      </c>
      <c r="K671" s="7">
        <f t="shared" si="42"/>
        <v>45962</v>
      </c>
      <c r="L671" t="str">
        <f t="shared" si="43"/>
        <v>Q4-2025</v>
      </c>
    </row>
    <row r="672" spans="1:12">
      <c r="A672" s="6">
        <v>45980</v>
      </c>
      <c r="B672" t="s">
        <v>28</v>
      </c>
      <c r="C672" t="s">
        <v>29</v>
      </c>
      <c r="D672" s="2">
        <v>1746.052198965923</v>
      </c>
      <c r="E672" s="2">
        <v>1774.0961050312969</v>
      </c>
      <c r="F672" s="2">
        <v>1735.250830295686</v>
      </c>
      <c r="G672" s="2">
        <v>1767.9521484375</v>
      </c>
      <c r="H672" s="3">
        <v>2131124</v>
      </c>
      <c r="I672" s="4">
        <f t="shared" si="40"/>
        <v>-0.62</v>
      </c>
      <c r="J672" s="2">
        <f t="shared" si="41"/>
        <v>6.14</v>
      </c>
      <c r="K672" s="7">
        <f t="shared" si="42"/>
        <v>45962</v>
      </c>
      <c r="L672" t="str">
        <f t="shared" si="43"/>
        <v>Q4-2025</v>
      </c>
    </row>
    <row r="673" spans="1:12">
      <c r="A673" s="6">
        <v>45980</v>
      </c>
      <c r="B673" t="s">
        <v>30</v>
      </c>
      <c r="C673" t="s">
        <v>31</v>
      </c>
      <c r="D673" s="2">
        <v>2888.9354984288252</v>
      </c>
      <c r="E673" s="2">
        <v>2890.9182956137461</v>
      </c>
      <c r="F673" s="2">
        <v>2862.365967742759</v>
      </c>
      <c r="G673" s="2">
        <v>2868.81005859375</v>
      </c>
      <c r="H673" s="3">
        <v>1387906</v>
      </c>
      <c r="I673" s="4">
        <f t="shared" si="40"/>
        <v>-0.92</v>
      </c>
      <c r="J673" s="2">
        <f t="shared" si="41"/>
        <v>22.11</v>
      </c>
      <c r="K673" s="7">
        <f t="shared" si="42"/>
        <v>45962</v>
      </c>
      <c r="L673" t="str">
        <f t="shared" si="43"/>
        <v>Q4-2025</v>
      </c>
    </row>
    <row r="674" spans="1:12">
      <c r="A674" s="6">
        <v>45980</v>
      </c>
      <c r="B674" t="s">
        <v>32</v>
      </c>
      <c r="C674" t="s">
        <v>33</v>
      </c>
      <c r="D674" s="2">
        <v>2387.7133295616331</v>
      </c>
      <c r="E674" s="2">
        <v>2426.0236070352939</v>
      </c>
      <c r="F674" s="2">
        <v>2386.7233986621459</v>
      </c>
      <c r="G674" s="2">
        <v>2417.015380859375</v>
      </c>
      <c r="H674" s="3">
        <v>1465143</v>
      </c>
      <c r="I674" s="4">
        <f t="shared" si="40"/>
        <v>-0.04</v>
      </c>
      <c r="J674" s="2">
        <f t="shared" si="41"/>
        <v>9.01</v>
      </c>
      <c r="K674" s="7">
        <f t="shared" si="42"/>
        <v>45962</v>
      </c>
      <c r="L674" t="str">
        <f t="shared" si="43"/>
        <v>Q4-2025</v>
      </c>
    </row>
    <row r="675" spans="1:12">
      <c r="A675" s="6">
        <v>45980</v>
      </c>
      <c r="B675" t="s">
        <v>34</v>
      </c>
      <c r="C675" t="s">
        <v>35</v>
      </c>
      <c r="D675" s="2">
        <v>3968.2407756985699</v>
      </c>
      <c r="E675" s="2">
        <v>3987.5521545670799</v>
      </c>
      <c r="F675" s="2">
        <v>3941.7990899113488</v>
      </c>
      <c r="G675" s="2">
        <v>3980.718994140625</v>
      </c>
      <c r="H675" s="3">
        <v>923032</v>
      </c>
      <c r="I675" s="4">
        <f t="shared" si="40"/>
        <v>-0.67</v>
      </c>
      <c r="J675" s="2">
        <f t="shared" si="41"/>
        <v>6.83</v>
      </c>
      <c r="K675" s="7">
        <f t="shared" si="42"/>
        <v>45962</v>
      </c>
      <c r="L675" t="str">
        <f t="shared" si="43"/>
        <v>Q4-2025</v>
      </c>
    </row>
    <row r="676" spans="1:12">
      <c r="A676" s="6">
        <v>45980</v>
      </c>
      <c r="B676" t="s">
        <v>36</v>
      </c>
      <c r="C676" t="s">
        <v>37</v>
      </c>
      <c r="D676" s="2">
        <v>1267.0228456161301</v>
      </c>
      <c r="E676" s="2">
        <v>1272.0189924837009</v>
      </c>
      <c r="F676" s="2">
        <v>1256.8307547967811</v>
      </c>
      <c r="G676" s="2">
        <v>1269.421020507812</v>
      </c>
      <c r="H676" s="3">
        <v>4101288</v>
      </c>
      <c r="I676" s="4">
        <f t="shared" si="40"/>
        <v>-0.8</v>
      </c>
      <c r="J676" s="2">
        <f t="shared" si="41"/>
        <v>2.6</v>
      </c>
      <c r="K676" s="7">
        <f t="shared" si="42"/>
        <v>45962</v>
      </c>
      <c r="L676" t="str">
        <f t="shared" si="43"/>
        <v>Q4-2025</v>
      </c>
    </row>
    <row r="677" spans="1:12">
      <c r="A677" s="6">
        <v>45981</v>
      </c>
      <c r="B677" t="s">
        <v>8</v>
      </c>
      <c r="C677" t="s">
        <v>9</v>
      </c>
      <c r="D677" s="2">
        <v>1522.958508937626</v>
      </c>
      <c r="E677" s="2">
        <v>1543.762345550959</v>
      </c>
      <c r="F677" s="2">
        <v>1519.6736478639641</v>
      </c>
      <c r="G677" s="2">
        <v>1541.970581054688</v>
      </c>
      <c r="H677" s="3">
        <v>18171724</v>
      </c>
      <c r="I677" s="4">
        <f t="shared" si="40"/>
        <v>-0.22</v>
      </c>
      <c r="J677" s="2">
        <f t="shared" si="41"/>
        <v>1.79</v>
      </c>
      <c r="K677" s="7">
        <f t="shared" si="42"/>
        <v>45962</v>
      </c>
      <c r="L677" t="str">
        <f t="shared" si="43"/>
        <v>Q4-2025</v>
      </c>
    </row>
    <row r="678" spans="1:12">
      <c r="A678" s="6">
        <v>45981</v>
      </c>
      <c r="B678" t="s">
        <v>10</v>
      </c>
      <c r="C678" t="s">
        <v>11</v>
      </c>
      <c r="D678" s="2">
        <v>3033.7994421439598</v>
      </c>
      <c r="E678" s="2">
        <v>3049.7008686990339</v>
      </c>
      <c r="F678" s="2">
        <v>3024.2586803244722</v>
      </c>
      <c r="G678" s="2">
        <v>3030.715576171875</v>
      </c>
      <c r="H678" s="3">
        <v>2700767</v>
      </c>
      <c r="I678" s="4">
        <f t="shared" si="40"/>
        <v>-0.31</v>
      </c>
      <c r="J678" s="2">
        <f t="shared" si="41"/>
        <v>18.989999999999998</v>
      </c>
      <c r="K678" s="7">
        <f t="shared" si="42"/>
        <v>45962</v>
      </c>
      <c r="L678" t="str">
        <f t="shared" si="43"/>
        <v>Q4-2025</v>
      </c>
    </row>
    <row r="679" spans="1:12">
      <c r="A679" s="6">
        <v>45981</v>
      </c>
      <c r="B679" t="s">
        <v>12</v>
      </c>
      <c r="C679" t="s">
        <v>13</v>
      </c>
      <c r="D679" s="2">
        <v>1522.0634729079379</v>
      </c>
      <c r="E679" s="2">
        <v>1522.0634729079379</v>
      </c>
      <c r="F679" s="2">
        <v>1501.5082748815289</v>
      </c>
      <c r="G679" s="2">
        <v>1503.955322265625</v>
      </c>
      <c r="H679" s="3">
        <v>7387584</v>
      </c>
      <c r="I679" s="4">
        <f t="shared" si="40"/>
        <v>-1.35</v>
      </c>
      <c r="J679" s="2">
        <f t="shared" si="41"/>
        <v>18.11</v>
      </c>
      <c r="K679" s="7">
        <f t="shared" si="42"/>
        <v>45962</v>
      </c>
      <c r="L679" t="str">
        <f t="shared" si="43"/>
        <v>Q4-2025</v>
      </c>
    </row>
    <row r="680" spans="1:12">
      <c r="A680" s="6">
        <v>45981</v>
      </c>
      <c r="B680" t="s">
        <v>14</v>
      </c>
      <c r="C680" t="s">
        <v>15</v>
      </c>
      <c r="D680" s="2">
        <v>979.10614371862505</v>
      </c>
      <c r="E680" s="2">
        <v>995.14092557974368</v>
      </c>
      <c r="F680" s="2">
        <v>976.30253813250715</v>
      </c>
      <c r="G680" s="2">
        <v>992.4356689453125</v>
      </c>
      <c r="H680" s="3">
        <v>19850865</v>
      </c>
      <c r="I680" s="4">
        <f t="shared" si="40"/>
        <v>-0.28999999999999998</v>
      </c>
      <c r="J680" s="2">
        <f t="shared" si="41"/>
        <v>2.71</v>
      </c>
      <c r="K680" s="7">
        <f t="shared" si="42"/>
        <v>45962</v>
      </c>
      <c r="L680" t="str">
        <f t="shared" si="43"/>
        <v>Q4-2025</v>
      </c>
    </row>
    <row r="681" spans="1:12">
      <c r="A681" s="6">
        <v>45981</v>
      </c>
      <c r="B681" t="s">
        <v>16</v>
      </c>
      <c r="C681" t="s">
        <v>17</v>
      </c>
      <c r="D681" s="2">
        <v>1368.562330161833</v>
      </c>
      <c r="E681" s="2">
        <v>1376.6938507345089</v>
      </c>
      <c r="F681" s="2">
        <v>1363.9016706145439</v>
      </c>
      <c r="G681" s="2">
        <v>1371.438110351562</v>
      </c>
      <c r="H681" s="3">
        <v>10131863</v>
      </c>
      <c r="I681" s="4">
        <f t="shared" si="40"/>
        <v>-0.34</v>
      </c>
      <c r="J681" s="2">
        <f t="shared" si="41"/>
        <v>5.26</v>
      </c>
      <c r="K681" s="7">
        <f t="shared" si="42"/>
        <v>45962</v>
      </c>
      <c r="L681" t="str">
        <f t="shared" si="43"/>
        <v>Q4-2025</v>
      </c>
    </row>
    <row r="682" spans="1:12">
      <c r="A682" s="6">
        <v>45981</v>
      </c>
      <c r="B682" t="s">
        <v>18</v>
      </c>
      <c r="C682" t="s">
        <v>19</v>
      </c>
      <c r="D682" s="2">
        <v>238.54658822676521</v>
      </c>
      <c r="E682" s="2">
        <v>238.83573854779331</v>
      </c>
      <c r="F682" s="2">
        <v>236.8213486657317</v>
      </c>
      <c r="G682" s="2">
        <v>237.3514404296875</v>
      </c>
      <c r="H682" s="3">
        <v>6705862</v>
      </c>
      <c r="I682" s="4">
        <f t="shared" si="40"/>
        <v>-0.72</v>
      </c>
      <c r="J682" s="2">
        <f t="shared" si="41"/>
        <v>1.48</v>
      </c>
      <c r="K682" s="7">
        <f t="shared" si="42"/>
        <v>45962</v>
      </c>
      <c r="L682" t="str">
        <f t="shared" si="43"/>
        <v>Q4-2025</v>
      </c>
    </row>
    <row r="683" spans="1:12">
      <c r="A683" s="6">
        <v>45981</v>
      </c>
      <c r="B683" t="s">
        <v>20</v>
      </c>
      <c r="C683" t="s">
        <v>21</v>
      </c>
      <c r="D683" s="2">
        <v>1603.266554201133</v>
      </c>
      <c r="E683" s="2">
        <v>1608.8596159330079</v>
      </c>
      <c r="F683" s="2">
        <v>1583.9802968001479</v>
      </c>
      <c r="G683" s="2">
        <v>1586.680419921875</v>
      </c>
      <c r="H683" s="3">
        <v>2724035</v>
      </c>
      <c r="I683" s="4">
        <f t="shared" si="40"/>
        <v>-1.2</v>
      </c>
      <c r="J683" s="2">
        <f t="shared" si="41"/>
        <v>22.18</v>
      </c>
      <c r="K683" s="7">
        <f t="shared" si="42"/>
        <v>45962</v>
      </c>
      <c r="L683" t="str">
        <f t="shared" si="43"/>
        <v>Q4-2025</v>
      </c>
    </row>
    <row r="684" spans="1:12">
      <c r="A684" s="6">
        <v>45981</v>
      </c>
      <c r="B684" t="s">
        <v>22</v>
      </c>
      <c r="C684" t="s">
        <v>23</v>
      </c>
      <c r="D684" s="2">
        <v>1008.798727993135</v>
      </c>
      <c r="E684" s="2">
        <v>1025.3966486825291</v>
      </c>
      <c r="F684" s="2">
        <v>1001.14575999315</v>
      </c>
      <c r="G684" s="2">
        <v>1022.315612792969</v>
      </c>
      <c r="H684" s="3">
        <v>5459073</v>
      </c>
      <c r="I684" s="4">
        <f t="shared" si="40"/>
        <v>-0.76</v>
      </c>
      <c r="J684" s="2">
        <f t="shared" si="41"/>
        <v>3.08</v>
      </c>
      <c r="K684" s="7">
        <f t="shared" si="42"/>
        <v>45962</v>
      </c>
      <c r="L684" t="str">
        <f t="shared" si="43"/>
        <v>Q4-2025</v>
      </c>
    </row>
    <row r="685" spans="1:12">
      <c r="A685" s="6">
        <v>45981</v>
      </c>
      <c r="B685" t="s">
        <v>24</v>
      </c>
      <c r="C685" t="s">
        <v>25</v>
      </c>
      <c r="D685" s="2">
        <v>15652.79820662557</v>
      </c>
      <c r="E685" s="2">
        <v>15665.668945188891</v>
      </c>
      <c r="F685" s="2">
        <v>15462.707298613421</v>
      </c>
      <c r="G685" s="2">
        <v>15643.8876953125</v>
      </c>
      <c r="H685" s="3">
        <v>249492</v>
      </c>
      <c r="I685" s="4">
        <f t="shared" si="40"/>
        <v>-1.21</v>
      </c>
      <c r="J685" s="2">
        <f t="shared" si="41"/>
        <v>21.78</v>
      </c>
      <c r="K685" s="7">
        <f t="shared" si="42"/>
        <v>45962</v>
      </c>
      <c r="L685" t="str">
        <f t="shared" si="43"/>
        <v>Q4-2025</v>
      </c>
    </row>
    <row r="686" spans="1:12">
      <c r="A686" s="6">
        <v>45981</v>
      </c>
      <c r="B686" t="s">
        <v>26</v>
      </c>
      <c r="C686" t="s">
        <v>27</v>
      </c>
      <c r="D686" s="2">
        <v>359.02181743973631</v>
      </c>
      <c r="E686" s="2">
        <v>361.40206652968129</v>
      </c>
      <c r="F686" s="2">
        <v>356.2944417547659</v>
      </c>
      <c r="G686" s="2">
        <v>356.83990478515619</v>
      </c>
      <c r="H686" s="3">
        <v>15999034</v>
      </c>
      <c r="I686" s="4">
        <f t="shared" si="40"/>
        <v>-0.76</v>
      </c>
      <c r="J686" s="2">
        <f t="shared" si="41"/>
        <v>4.5599999999999996</v>
      </c>
      <c r="K686" s="7">
        <f t="shared" si="42"/>
        <v>45962</v>
      </c>
      <c r="L686" t="str">
        <f t="shared" si="43"/>
        <v>Q4-2025</v>
      </c>
    </row>
    <row r="687" spans="1:12">
      <c r="A687" s="6">
        <v>45981</v>
      </c>
      <c r="B687" t="s">
        <v>28</v>
      </c>
      <c r="C687" t="s">
        <v>29</v>
      </c>
      <c r="D687" s="2">
        <v>1773.7988000517289</v>
      </c>
      <c r="E687" s="2">
        <v>1775.7806981523461</v>
      </c>
      <c r="F687" s="2">
        <v>1757.051736908428</v>
      </c>
      <c r="G687" s="2">
        <v>1761.312866210938</v>
      </c>
      <c r="H687" s="3">
        <v>1513894</v>
      </c>
      <c r="I687" s="4">
        <f t="shared" si="40"/>
        <v>-0.94</v>
      </c>
      <c r="J687" s="2">
        <f t="shared" si="41"/>
        <v>14.47</v>
      </c>
      <c r="K687" s="7">
        <f t="shared" si="42"/>
        <v>45962</v>
      </c>
      <c r="L687" t="str">
        <f t="shared" si="43"/>
        <v>Q4-2025</v>
      </c>
    </row>
    <row r="688" spans="1:12">
      <c r="A688" s="6">
        <v>45981</v>
      </c>
      <c r="B688" t="s">
        <v>30</v>
      </c>
      <c r="C688" t="s">
        <v>31</v>
      </c>
      <c r="D688" s="2">
        <v>2872.4783482680068</v>
      </c>
      <c r="E688" s="2">
        <v>2881.1037101452698</v>
      </c>
      <c r="F688" s="2">
        <v>2827.9646457523691</v>
      </c>
      <c r="G688" s="2">
        <v>2835.201904296875</v>
      </c>
      <c r="H688" s="3">
        <v>1062883</v>
      </c>
      <c r="I688" s="4">
        <f t="shared" si="40"/>
        <v>-1.55</v>
      </c>
      <c r="J688" s="2">
        <f t="shared" si="41"/>
        <v>45.9</v>
      </c>
      <c r="K688" s="7">
        <f t="shared" si="42"/>
        <v>45962</v>
      </c>
      <c r="L688" t="str">
        <f t="shared" si="43"/>
        <v>Q4-2025</v>
      </c>
    </row>
    <row r="689" spans="1:12">
      <c r="A689" s="6">
        <v>45981</v>
      </c>
      <c r="B689" t="s">
        <v>32</v>
      </c>
      <c r="C689" t="s">
        <v>33</v>
      </c>
      <c r="D689" s="2">
        <v>2420.4800367155181</v>
      </c>
      <c r="E689" s="2">
        <v>2434.2399789639321</v>
      </c>
      <c r="F689" s="2">
        <v>2400.5823298037972</v>
      </c>
      <c r="G689" s="2">
        <v>2403.947998046875</v>
      </c>
      <c r="H689" s="3">
        <v>1396929</v>
      </c>
      <c r="I689" s="4">
        <f t="shared" si="40"/>
        <v>-0.82</v>
      </c>
      <c r="J689" s="2">
        <f t="shared" si="41"/>
        <v>30.29</v>
      </c>
      <c r="K689" s="7">
        <f t="shared" si="42"/>
        <v>45962</v>
      </c>
      <c r="L689" t="str">
        <f t="shared" si="43"/>
        <v>Q4-2025</v>
      </c>
    </row>
    <row r="690" spans="1:12">
      <c r="A690" s="6">
        <v>45981</v>
      </c>
      <c r="B690" t="s">
        <v>34</v>
      </c>
      <c r="C690" t="s">
        <v>35</v>
      </c>
      <c r="D690" s="2">
        <v>3995.969991274213</v>
      </c>
      <c r="E690" s="2">
        <v>4008.8442440342042</v>
      </c>
      <c r="F690" s="2">
        <v>3968.9340121224141</v>
      </c>
      <c r="G690" s="2">
        <v>3998.3466796875</v>
      </c>
      <c r="H690" s="3">
        <v>1463574</v>
      </c>
      <c r="I690" s="4">
        <f t="shared" si="40"/>
        <v>-0.68</v>
      </c>
      <c r="J690" s="2">
        <f t="shared" si="41"/>
        <v>10.5</v>
      </c>
      <c r="K690" s="7">
        <f t="shared" si="42"/>
        <v>45962</v>
      </c>
      <c r="L690" t="str">
        <f t="shared" si="43"/>
        <v>Q4-2025</v>
      </c>
    </row>
    <row r="691" spans="1:12">
      <c r="A691" s="6">
        <v>45981</v>
      </c>
      <c r="B691" t="s">
        <v>36</v>
      </c>
      <c r="C691" t="s">
        <v>37</v>
      </c>
      <c r="D691" s="2">
        <v>1274.0175034891481</v>
      </c>
      <c r="E691" s="2">
        <v>1286.3080740780131</v>
      </c>
      <c r="F691" s="2">
        <v>1261.627034354083</v>
      </c>
      <c r="G691" s="2">
        <v>1284.209594726562</v>
      </c>
      <c r="H691" s="3">
        <v>4617594</v>
      </c>
      <c r="I691" s="4">
        <f t="shared" si="40"/>
        <v>-0.97</v>
      </c>
      <c r="J691" s="2">
        <f t="shared" si="41"/>
        <v>2.1</v>
      </c>
      <c r="K691" s="7">
        <f t="shared" si="42"/>
        <v>45962</v>
      </c>
      <c r="L691" t="str">
        <f t="shared" si="43"/>
        <v>Q4-2025</v>
      </c>
    </row>
    <row r="692" spans="1:12">
      <c r="A692" s="6">
        <v>45982</v>
      </c>
      <c r="B692" t="s">
        <v>8</v>
      </c>
      <c r="C692" t="s">
        <v>9</v>
      </c>
      <c r="D692" s="2">
        <v>1533.907852856099</v>
      </c>
      <c r="E692" s="2">
        <v>1550.630582788498</v>
      </c>
      <c r="F692" s="2">
        <v>1533.011970626058</v>
      </c>
      <c r="G692" s="2">
        <v>1539.482055664062</v>
      </c>
      <c r="H692" s="3">
        <v>9615271</v>
      </c>
      <c r="I692" s="4">
        <f t="shared" si="40"/>
        <v>-0.06</v>
      </c>
      <c r="J692" s="2">
        <f t="shared" si="41"/>
        <v>11.15</v>
      </c>
      <c r="K692" s="7">
        <f t="shared" si="42"/>
        <v>45962</v>
      </c>
      <c r="L692" t="str">
        <f t="shared" si="43"/>
        <v>Q4-2025</v>
      </c>
    </row>
    <row r="693" spans="1:12">
      <c r="A693" s="6">
        <v>45982</v>
      </c>
      <c r="B693" t="s">
        <v>10</v>
      </c>
      <c r="C693" t="s">
        <v>11</v>
      </c>
      <c r="D693" s="2">
        <v>3030.7155364329492</v>
      </c>
      <c r="E693" s="2">
        <v>3055.00130416003</v>
      </c>
      <c r="F693" s="2">
        <v>3021.4637033541139</v>
      </c>
      <c r="G693" s="2">
        <v>3036.30517578125</v>
      </c>
      <c r="H693" s="3">
        <v>4177037</v>
      </c>
      <c r="I693" s="4">
        <f t="shared" si="40"/>
        <v>-0.31</v>
      </c>
      <c r="J693" s="2">
        <f t="shared" si="41"/>
        <v>18.7</v>
      </c>
      <c r="K693" s="7">
        <f t="shared" si="42"/>
        <v>45962</v>
      </c>
      <c r="L693" t="str">
        <f t="shared" si="43"/>
        <v>Q4-2025</v>
      </c>
    </row>
    <row r="694" spans="1:12">
      <c r="A694" s="6">
        <v>45982</v>
      </c>
      <c r="B694" t="s">
        <v>12</v>
      </c>
      <c r="C694" t="s">
        <v>13</v>
      </c>
      <c r="D694" s="2">
        <v>1498.571803338011</v>
      </c>
      <c r="E694" s="2">
        <v>1518.6375916910019</v>
      </c>
      <c r="F694" s="2">
        <v>1493.971402094877</v>
      </c>
      <c r="G694" s="2">
        <v>1512.275268554688</v>
      </c>
      <c r="H694" s="3">
        <v>9186302</v>
      </c>
      <c r="I694" s="4">
        <f t="shared" si="40"/>
        <v>-0.31</v>
      </c>
      <c r="J694" s="2">
        <f t="shared" si="41"/>
        <v>6.36</v>
      </c>
      <c r="K694" s="7">
        <f t="shared" si="42"/>
        <v>45962</v>
      </c>
      <c r="L694" t="str">
        <f t="shared" si="43"/>
        <v>Q4-2025</v>
      </c>
    </row>
    <row r="695" spans="1:12">
      <c r="A695" s="6">
        <v>45982</v>
      </c>
      <c r="B695" t="s">
        <v>14</v>
      </c>
      <c r="C695" t="s">
        <v>15</v>
      </c>
      <c r="D695" s="2">
        <v>986.7792242744008</v>
      </c>
      <c r="E695" s="2">
        <v>991.89463065139159</v>
      </c>
      <c r="F695" s="2">
        <v>980.33580683779178</v>
      </c>
      <c r="G695" s="2">
        <v>981.8114013671875</v>
      </c>
      <c r="H695" s="3">
        <v>17499897</v>
      </c>
      <c r="I695" s="4">
        <f t="shared" si="40"/>
        <v>-0.65</v>
      </c>
      <c r="J695" s="2">
        <f t="shared" si="41"/>
        <v>10.08</v>
      </c>
      <c r="K695" s="7">
        <f t="shared" si="42"/>
        <v>45962</v>
      </c>
      <c r="L695" t="str">
        <f t="shared" si="43"/>
        <v>Q4-2025</v>
      </c>
    </row>
    <row r="696" spans="1:12">
      <c r="A696" s="6">
        <v>45982</v>
      </c>
      <c r="B696" t="s">
        <v>16</v>
      </c>
      <c r="C696" t="s">
        <v>17</v>
      </c>
      <c r="D696" s="2">
        <v>1361.5216431243441</v>
      </c>
      <c r="E696" s="2">
        <v>1364.496562956371</v>
      </c>
      <c r="F696" s="2">
        <v>1353.191843384709</v>
      </c>
      <c r="G696" s="2">
        <v>1358.050903320312</v>
      </c>
      <c r="H696" s="3">
        <v>11483595</v>
      </c>
      <c r="I696" s="4">
        <f t="shared" si="40"/>
        <v>-0.61</v>
      </c>
      <c r="J696" s="2">
        <f t="shared" si="41"/>
        <v>6.45</v>
      </c>
      <c r="K696" s="7">
        <f t="shared" si="42"/>
        <v>45962</v>
      </c>
      <c r="L696" t="str">
        <f t="shared" si="43"/>
        <v>Q4-2025</v>
      </c>
    </row>
    <row r="697" spans="1:12">
      <c r="A697" s="6">
        <v>45982</v>
      </c>
      <c r="B697" t="s">
        <v>18</v>
      </c>
      <c r="C697" t="s">
        <v>19</v>
      </c>
      <c r="D697" s="2">
        <v>236.13703782780351</v>
      </c>
      <c r="E697" s="2">
        <v>238.30564327724261</v>
      </c>
      <c r="F697" s="2">
        <v>234.7973221606442</v>
      </c>
      <c r="G697" s="2">
        <v>235.64549255371091</v>
      </c>
      <c r="H697" s="3">
        <v>5516450</v>
      </c>
      <c r="I697" s="4">
        <f t="shared" si="40"/>
        <v>-0.56999999999999995</v>
      </c>
      <c r="J697" s="2">
        <f t="shared" si="41"/>
        <v>2.66</v>
      </c>
      <c r="K697" s="7">
        <f t="shared" si="42"/>
        <v>45962</v>
      </c>
      <c r="L697" t="str">
        <f t="shared" si="43"/>
        <v>Q4-2025</v>
      </c>
    </row>
    <row r="698" spans="1:12">
      <c r="A698" s="6">
        <v>45982</v>
      </c>
      <c r="B698" t="s">
        <v>20</v>
      </c>
      <c r="C698" t="s">
        <v>21</v>
      </c>
      <c r="D698" s="2">
        <v>1577.61587296671</v>
      </c>
      <c r="E698" s="2">
        <v>1584.8482195726081</v>
      </c>
      <c r="F698" s="2">
        <v>1548.6864865431151</v>
      </c>
      <c r="G698" s="2">
        <v>1550.615112304688</v>
      </c>
      <c r="H698" s="3">
        <v>2958835</v>
      </c>
      <c r="I698" s="4">
        <f t="shared" si="40"/>
        <v>-1.83</v>
      </c>
      <c r="J698" s="2">
        <f t="shared" si="41"/>
        <v>34.229999999999997</v>
      </c>
      <c r="K698" s="7">
        <f t="shared" si="42"/>
        <v>45962</v>
      </c>
      <c r="L698" t="str">
        <f t="shared" si="43"/>
        <v>Q4-2025</v>
      </c>
    </row>
    <row r="699" spans="1:12">
      <c r="A699" s="6">
        <v>45982</v>
      </c>
      <c r="B699" t="s">
        <v>22</v>
      </c>
      <c r="C699" t="s">
        <v>23</v>
      </c>
      <c r="D699" s="2">
        <v>1013.768151744064</v>
      </c>
      <c r="E699" s="2">
        <v>1021.321694100001</v>
      </c>
      <c r="F699" s="2">
        <v>995.38118036439221</v>
      </c>
      <c r="G699" s="2">
        <v>997.96527099609375</v>
      </c>
      <c r="H699" s="3">
        <v>6304584</v>
      </c>
      <c r="I699" s="4">
        <f t="shared" si="40"/>
        <v>-1.81</v>
      </c>
      <c r="J699" s="2">
        <f t="shared" si="41"/>
        <v>23.36</v>
      </c>
      <c r="K699" s="7">
        <f t="shared" si="42"/>
        <v>45962</v>
      </c>
      <c r="L699" t="str">
        <f t="shared" si="43"/>
        <v>Q4-2025</v>
      </c>
    </row>
    <row r="700" spans="1:12">
      <c r="A700" s="6">
        <v>45982</v>
      </c>
      <c r="B700" t="s">
        <v>24</v>
      </c>
      <c r="C700" t="s">
        <v>25</v>
      </c>
      <c r="D700" s="2">
        <v>15632.99707135159</v>
      </c>
      <c r="E700" s="2">
        <v>15989.41752389666</v>
      </c>
      <c r="F700" s="2">
        <v>15580.52406028246</v>
      </c>
      <c r="G700" s="2">
        <v>15818.1376953125</v>
      </c>
      <c r="H700" s="3">
        <v>586351</v>
      </c>
      <c r="I700" s="4">
        <f t="shared" si="40"/>
        <v>-0.34</v>
      </c>
      <c r="J700" s="2">
        <f t="shared" si="41"/>
        <v>171.28</v>
      </c>
      <c r="K700" s="7">
        <f t="shared" si="42"/>
        <v>45962</v>
      </c>
      <c r="L700" t="str">
        <f t="shared" si="43"/>
        <v>Q4-2025</v>
      </c>
    </row>
    <row r="701" spans="1:12">
      <c r="A701" s="6">
        <v>45982</v>
      </c>
      <c r="B701" t="s">
        <v>26</v>
      </c>
      <c r="C701" t="s">
        <v>27</v>
      </c>
      <c r="D701" s="2">
        <v>356.04648284174971</v>
      </c>
      <c r="E701" s="2">
        <v>361.25329073846052</v>
      </c>
      <c r="F701" s="2">
        <v>355.05470990904291</v>
      </c>
      <c r="G701" s="2">
        <v>359.26974487304688</v>
      </c>
      <c r="H701" s="3">
        <v>10829322</v>
      </c>
      <c r="I701" s="4">
        <f t="shared" si="40"/>
        <v>-0.28000000000000003</v>
      </c>
      <c r="J701" s="2">
        <f t="shared" si="41"/>
        <v>1.98</v>
      </c>
      <c r="K701" s="7">
        <f t="shared" si="42"/>
        <v>45962</v>
      </c>
      <c r="L701" t="str">
        <f t="shared" si="43"/>
        <v>Q4-2025</v>
      </c>
    </row>
    <row r="702" spans="1:12">
      <c r="A702" s="6">
        <v>45982</v>
      </c>
      <c r="B702" t="s">
        <v>28</v>
      </c>
      <c r="C702" t="s">
        <v>29</v>
      </c>
      <c r="D702" s="2">
        <v>1761.9073540008981</v>
      </c>
      <c r="E702" s="2">
        <v>1771.222298963173</v>
      </c>
      <c r="F702" s="2">
        <v>1757.646224837323</v>
      </c>
      <c r="G702" s="2">
        <v>1763.591918945312</v>
      </c>
      <c r="H702" s="3">
        <v>2199311</v>
      </c>
      <c r="I702" s="4">
        <f t="shared" si="40"/>
        <v>-0.24</v>
      </c>
      <c r="J702" s="2">
        <f t="shared" si="41"/>
        <v>7.63</v>
      </c>
      <c r="K702" s="7">
        <f t="shared" si="42"/>
        <v>45962</v>
      </c>
      <c r="L702" t="str">
        <f t="shared" si="43"/>
        <v>Q4-2025</v>
      </c>
    </row>
    <row r="703" spans="1:12">
      <c r="A703" s="6">
        <v>45982</v>
      </c>
      <c r="B703" t="s">
        <v>30</v>
      </c>
      <c r="C703" t="s">
        <v>31</v>
      </c>
      <c r="D703" s="2">
        <v>2844.322695402032</v>
      </c>
      <c r="E703" s="2">
        <v>2870.6939960167351</v>
      </c>
      <c r="F703" s="2">
        <v>2829.5509524966292</v>
      </c>
      <c r="G703" s="2">
        <v>2851.857421875</v>
      </c>
      <c r="H703" s="3">
        <v>857340</v>
      </c>
      <c r="I703" s="4">
        <f t="shared" si="40"/>
        <v>-0.52</v>
      </c>
      <c r="J703" s="2">
        <f t="shared" si="41"/>
        <v>18.84</v>
      </c>
      <c r="K703" s="7">
        <f t="shared" si="42"/>
        <v>45962</v>
      </c>
      <c r="L703" t="str">
        <f t="shared" si="43"/>
        <v>Q4-2025</v>
      </c>
    </row>
    <row r="704" spans="1:12">
      <c r="A704" s="6">
        <v>45982</v>
      </c>
      <c r="B704" t="s">
        <v>32</v>
      </c>
      <c r="C704" t="s">
        <v>33</v>
      </c>
      <c r="D704" s="2">
        <v>2411.669651511098</v>
      </c>
      <c r="E704" s="2">
        <v>2418.599167929674</v>
      </c>
      <c r="F704" s="2">
        <v>2388.7033025745768</v>
      </c>
      <c r="G704" s="2">
        <v>2409.19482421875</v>
      </c>
      <c r="H704" s="3">
        <v>1840712</v>
      </c>
      <c r="I704" s="4">
        <f t="shared" si="40"/>
        <v>-0.95</v>
      </c>
      <c r="J704" s="2">
        <f t="shared" si="41"/>
        <v>9.4</v>
      </c>
      <c r="K704" s="7">
        <f t="shared" si="42"/>
        <v>45962</v>
      </c>
      <c r="L704" t="str">
        <f t="shared" si="43"/>
        <v>Q4-2025</v>
      </c>
    </row>
    <row r="705" spans="1:12">
      <c r="A705" s="6">
        <v>45982</v>
      </c>
      <c r="B705" t="s">
        <v>34</v>
      </c>
      <c r="C705" t="s">
        <v>35</v>
      </c>
      <c r="D705" s="2">
        <v>3987.0569858407048</v>
      </c>
      <c r="E705" s="2">
        <v>4017.7571265662541</v>
      </c>
      <c r="F705" s="2">
        <v>3976.3614045869549</v>
      </c>
      <c r="G705" s="2">
        <v>3985.967529296875</v>
      </c>
      <c r="H705" s="3">
        <v>1241149</v>
      </c>
      <c r="I705" s="4">
        <f t="shared" si="40"/>
        <v>-0.27</v>
      </c>
      <c r="J705" s="2">
        <f t="shared" si="41"/>
        <v>31.79</v>
      </c>
      <c r="K705" s="7">
        <f t="shared" si="42"/>
        <v>45962</v>
      </c>
      <c r="L705" t="str">
        <f t="shared" si="43"/>
        <v>Q4-2025</v>
      </c>
    </row>
    <row r="706" spans="1:12">
      <c r="A706" s="6">
        <v>45982</v>
      </c>
      <c r="B706" t="s">
        <v>36</v>
      </c>
      <c r="C706" t="s">
        <v>37</v>
      </c>
      <c r="D706" s="2">
        <v>1283.0105266743431</v>
      </c>
      <c r="E706" s="2">
        <v>1283.5101413654149</v>
      </c>
      <c r="F706" s="2">
        <v>1272.0190034707459</v>
      </c>
      <c r="G706" s="2">
        <v>1274.81689453125</v>
      </c>
      <c r="H706" s="3">
        <v>6363593</v>
      </c>
      <c r="I706" s="4">
        <f t="shared" ref="I706:I769" si="44">ROUND(((F706-D706)/D706)*100, 2)</f>
        <v>-0.86</v>
      </c>
      <c r="J706" s="2">
        <f t="shared" ref="J706:J769" si="45">ROUND(E706-G706, 2)</f>
        <v>8.69</v>
      </c>
      <c r="K706" s="7">
        <f t="shared" ref="K706:K769" si="46">DATE(YEAR(A706),MONTH(A706),1)</f>
        <v>45962</v>
      </c>
      <c r="L706" t="str">
        <f t="shared" ref="L706:L769" si="47">"Q"&amp;INT((MONTH(A706)-1)/3)+1&amp;"-"&amp;YEAR(A706)</f>
        <v>Q4-2025</v>
      </c>
    </row>
    <row r="707" spans="1:12">
      <c r="A707" s="6">
        <v>45985</v>
      </c>
      <c r="B707" t="s">
        <v>8</v>
      </c>
      <c r="C707" t="s">
        <v>9</v>
      </c>
      <c r="D707" s="2">
        <v>1542.8663816107539</v>
      </c>
      <c r="E707" s="2">
        <v>1542.8663816107539</v>
      </c>
      <c r="F707" s="2">
        <v>1524.7501927010489</v>
      </c>
      <c r="G707" s="2">
        <v>1528.831298828125</v>
      </c>
      <c r="H707" s="3">
        <v>18433951</v>
      </c>
      <c r="I707" s="4">
        <f t="shared" si="44"/>
        <v>-1.17</v>
      </c>
      <c r="J707" s="2">
        <f t="shared" si="45"/>
        <v>14.04</v>
      </c>
      <c r="K707" s="7">
        <f t="shared" si="46"/>
        <v>45962</v>
      </c>
      <c r="L707" t="str">
        <f t="shared" si="47"/>
        <v>Q4-2025</v>
      </c>
    </row>
    <row r="708" spans="1:12">
      <c r="A708" s="6">
        <v>45985</v>
      </c>
      <c r="B708" t="s">
        <v>10</v>
      </c>
      <c r="C708" t="s">
        <v>11</v>
      </c>
      <c r="D708" s="2">
        <v>3043.4366842823779</v>
      </c>
      <c r="E708" s="2">
        <v>3063.5783972307281</v>
      </c>
      <c r="F708" s="2">
        <v>3017.4161679823069</v>
      </c>
      <c r="G708" s="2">
        <v>3027.24609375</v>
      </c>
      <c r="H708" s="3">
        <v>6703764</v>
      </c>
      <c r="I708" s="4">
        <f t="shared" si="44"/>
        <v>-0.85</v>
      </c>
      <c r="J708" s="2">
        <f t="shared" si="45"/>
        <v>36.33</v>
      </c>
      <c r="K708" s="7">
        <f t="shared" si="46"/>
        <v>45962</v>
      </c>
      <c r="L708" t="str">
        <f t="shared" si="47"/>
        <v>Q4-2025</v>
      </c>
    </row>
    <row r="709" spans="1:12">
      <c r="A709" s="6">
        <v>45985</v>
      </c>
      <c r="B709" t="s">
        <v>12</v>
      </c>
      <c r="C709" t="s">
        <v>13</v>
      </c>
      <c r="D709" s="2">
        <v>1530.4813442936099</v>
      </c>
      <c r="E709" s="2">
        <v>1551.4280945139651</v>
      </c>
      <c r="F709" s="2">
        <v>1508.360059082662</v>
      </c>
      <c r="G709" s="2">
        <v>1515.211791992188</v>
      </c>
      <c r="H709" s="3">
        <v>19270381</v>
      </c>
      <c r="I709" s="4">
        <f t="shared" si="44"/>
        <v>-1.45</v>
      </c>
      <c r="J709" s="2">
        <f t="shared" si="45"/>
        <v>36.22</v>
      </c>
      <c r="K709" s="7">
        <f t="shared" si="46"/>
        <v>45962</v>
      </c>
      <c r="L709" t="str">
        <f t="shared" si="47"/>
        <v>Q4-2025</v>
      </c>
    </row>
    <row r="710" spans="1:12">
      <c r="A710" s="6">
        <v>45985</v>
      </c>
      <c r="B710" t="s">
        <v>14</v>
      </c>
      <c r="C710" t="s">
        <v>15</v>
      </c>
      <c r="D710" s="2">
        <v>983.72963982936176</v>
      </c>
      <c r="E710" s="2">
        <v>994.99335621382647</v>
      </c>
      <c r="F710" s="2">
        <v>977.43374611761692</v>
      </c>
      <c r="G710" s="2">
        <v>982.89349365234375</v>
      </c>
      <c r="H710" s="3">
        <v>32204053</v>
      </c>
      <c r="I710" s="4">
        <f t="shared" si="44"/>
        <v>-0.64</v>
      </c>
      <c r="J710" s="2">
        <f t="shared" si="45"/>
        <v>12.1</v>
      </c>
      <c r="K710" s="7">
        <f t="shared" si="46"/>
        <v>45962</v>
      </c>
      <c r="L710" t="str">
        <f t="shared" si="47"/>
        <v>Q4-2025</v>
      </c>
    </row>
    <row r="711" spans="1:12">
      <c r="A711" s="6">
        <v>45985</v>
      </c>
      <c r="B711" t="s">
        <v>16</v>
      </c>
      <c r="C711" t="s">
        <v>17</v>
      </c>
      <c r="D711" s="2">
        <v>1361.819265305518</v>
      </c>
      <c r="E711" s="2">
        <v>1365.488284898759</v>
      </c>
      <c r="F711" s="2">
        <v>1350.1178648436171</v>
      </c>
      <c r="G711" s="2">
        <v>1356.960205078125</v>
      </c>
      <c r="H711" s="3">
        <v>15896003</v>
      </c>
      <c r="I711" s="4">
        <f t="shared" si="44"/>
        <v>-0.86</v>
      </c>
      <c r="J711" s="2">
        <f t="shared" si="45"/>
        <v>8.5299999999999994</v>
      </c>
      <c r="K711" s="7">
        <f t="shared" si="46"/>
        <v>45962</v>
      </c>
      <c r="L711" t="str">
        <f t="shared" si="47"/>
        <v>Q4-2025</v>
      </c>
    </row>
    <row r="712" spans="1:12">
      <c r="A712" s="6">
        <v>45985</v>
      </c>
      <c r="B712" t="s">
        <v>18</v>
      </c>
      <c r="C712" t="s">
        <v>19</v>
      </c>
      <c r="D712" s="2">
        <v>236.1563152342828</v>
      </c>
      <c r="E712" s="2">
        <v>240.35859121422641</v>
      </c>
      <c r="F712" s="2">
        <v>236.1563152342828</v>
      </c>
      <c r="G712" s="2">
        <v>238.3249206542969</v>
      </c>
      <c r="H712" s="3">
        <v>19711070</v>
      </c>
      <c r="I712" s="4">
        <f t="shared" si="44"/>
        <v>0</v>
      </c>
      <c r="J712" s="2">
        <f t="shared" si="45"/>
        <v>2.0299999999999998</v>
      </c>
      <c r="K712" s="7">
        <f t="shared" si="46"/>
        <v>45962</v>
      </c>
      <c r="L712" t="str">
        <f t="shared" si="47"/>
        <v>Q4-2025</v>
      </c>
    </row>
    <row r="713" spans="1:12">
      <c r="A713" s="6">
        <v>45985</v>
      </c>
      <c r="B713" t="s">
        <v>20</v>
      </c>
      <c r="C713" t="s">
        <v>21</v>
      </c>
      <c r="D713" s="2">
        <v>1556.690287032128</v>
      </c>
      <c r="E713" s="2">
        <v>1581.473080290109</v>
      </c>
      <c r="F713" s="2">
        <v>1545.6970969556089</v>
      </c>
      <c r="G713" s="2">
        <v>1552.929443359375</v>
      </c>
      <c r="H713" s="3">
        <v>6392688</v>
      </c>
      <c r="I713" s="4">
        <f t="shared" si="44"/>
        <v>-0.71</v>
      </c>
      <c r="J713" s="2">
        <f t="shared" si="45"/>
        <v>28.54</v>
      </c>
      <c r="K713" s="7">
        <f t="shared" si="46"/>
        <v>45962</v>
      </c>
      <c r="L713" t="str">
        <f t="shared" si="47"/>
        <v>Q4-2025</v>
      </c>
    </row>
    <row r="714" spans="1:12">
      <c r="A714" s="6">
        <v>45985</v>
      </c>
      <c r="B714" t="s">
        <v>22</v>
      </c>
      <c r="C714" t="s">
        <v>23</v>
      </c>
      <c r="D714" s="2">
        <v>998.85979573731458</v>
      </c>
      <c r="E714" s="2">
        <v>1003.133512084138</v>
      </c>
      <c r="F714" s="2">
        <v>983.95144057705613</v>
      </c>
      <c r="G714" s="2">
        <v>987.927001953125</v>
      </c>
      <c r="H714" s="3">
        <v>9574900</v>
      </c>
      <c r="I714" s="4">
        <f t="shared" si="44"/>
        <v>-1.49</v>
      </c>
      <c r="J714" s="2">
        <f t="shared" si="45"/>
        <v>15.21</v>
      </c>
      <c r="K714" s="7">
        <f t="shared" si="46"/>
        <v>45962</v>
      </c>
      <c r="L714" t="str">
        <f t="shared" si="47"/>
        <v>Q4-2025</v>
      </c>
    </row>
    <row r="715" spans="1:12">
      <c r="A715" s="6">
        <v>45985</v>
      </c>
      <c r="B715" t="s">
        <v>24</v>
      </c>
      <c r="C715" t="s">
        <v>25</v>
      </c>
      <c r="D715" s="2">
        <v>15845.858840760709</v>
      </c>
      <c r="E715" s="2">
        <v>15925.06338354489</v>
      </c>
      <c r="F715" s="2">
        <v>15752.793502989291</v>
      </c>
      <c r="G715" s="2">
        <v>15799.326171875</v>
      </c>
      <c r="H715" s="3">
        <v>525788</v>
      </c>
      <c r="I715" s="4">
        <f t="shared" si="44"/>
        <v>-0.59</v>
      </c>
      <c r="J715" s="2">
        <f t="shared" si="45"/>
        <v>125.74</v>
      </c>
      <c r="K715" s="7">
        <f t="shared" si="46"/>
        <v>45962</v>
      </c>
      <c r="L715" t="str">
        <f t="shared" si="47"/>
        <v>Q4-2025</v>
      </c>
    </row>
    <row r="716" spans="1:12">
      <c r="A716" s="6">
        <v>45985</v>
      </c>
      <c r="B716" t="s">
        <v>26</v>
      </c>
      <c r="C716" t="s">
        <v>27</v>
      </c>
      <c r="D716" s="2">
        <v>359.51769235997563</v>
      </c>
      <c r="E716" s="2">
        <v>359.86481894383172</v>
      </c>
      <c r="F716" s="2">
        <v>353.86457447005682</v>
      </c>
      <c r="G716" s="2">
        <v>355.35223388671881</v>
      </c>
      <c r="H716" s="3">
        <v>12671925</v>
      </c>
      <c r="I716" s="4">
        <f t="shared" si="44"/>
        <v>-1.57</v>
      </c>
      <c r="J716" s="2">
        <f t="shared" si="45"/>
        <v>4.51</v>
      </c>
      <c r="K716" s="7">
        <f t="shared" si="46"/>
        <v>45962</v>
      </c>
      <c r="L716" t="str">
        <f t="shared" si="47"/>
        <v>Q4-2025</v>
      </c>
    </row>
    <row r="717" spans="1:12">
      <c r="A717" s="6">
        <v>45985</v>
      </c>
      <c r="B717" t="s">
        <v>28</v>
      </c>
      <c r="C717" t="s">
        <v>29</v>
      </c>
      <c r="D717" s="2">
        <v>1769.735944903327</v>
      </c>
      <c r="E717" s="2">
        <v>1769.735944903327</v>
      </c>
      <c r="F717" s="2">
        <v>1755.7635873941881</v>
      </c>
      <c r="G717" s="2">
        <v>1764.68212890625</v>
      </c>
      <c r="H717" s="3">
        <v>3434492</v>
      </c>
      <c r="I717" s="4">
        <f t="shared" si="44"/>
        <v>-0.79</v>
      </c>
      <c r="J717" s="2">
        <f t="shared" si="45"/>
        <v>5.05</v>
      </c>
      <c r="K717" s="7">
        <f t="shared" si="46"/>
        <v>45962</v>
      </c>
      <c r="L717" t="str">
        <f t="shared" si="47"/>
        <v>Q4-2025</v>
      </c>
    </row>
    <row r="718" spans="1:12">
      <c r="A718" s="6">
        <v>45985</v>
      </c>
      <c r="B718" t="s">
        <v>30</v>
      </c>
      <c r="C718" t="s">
        <v>31</v>
      </c>
      <c r="D718" s="2">
        <v>2851.2623873259881</v>
      </c>
      <c r="E718" s="2">
        <v>2871.5860587238262</v>
      </c>
      <c r="F718" s="2">
        <v>2839.8613033711031</v>
      </c>
      <c r="G718" s="2">
        <v>2854.434814453125</v>
      </c>
      <c r="H718" s="3">
        <v>5404326</v>
      </c>
      <c r="I718" s="4">
        <f t="shared" si="44"/>
        <v>-0.4</v>
      </c>
      <c r="J718" s="2">
        <f t="shared" si="45"/>
        <v>17.149999999999999</v>
      </c>
      <c r="K718" s="7">
        <f t="shared" si="46"/>
        <v>45962</v>
      </c>
      <c r="L718" t="str">
        <f t="shared" si="47"/>
        <v>Q4-2025</v>
      </c>
    </row>
    <row r="719" spans="1:12">
      <c r="A719" s="6">
        <v>45985</v>
      </c>
      <c r="B719" t="s">
        <v>32</v>
      </c>
      <c r="C719" t="s">
        <v>33</v>
      </c>
      <c r="D719" s="2">
        <v>2417.3120106558881</v>
      </c>
      <c r="E719" s="2">
        <v>2420.281803162537</v>
      </c>
      <c r="F719" s="2">
        <v>2388.703106181435</v>
      </c>
      <c r="G719" s="2">
        <v>2399.790283203125</v>
      </c>
      <c r="H719" s="3">
        <v>4092327</v>
      </c>
      <c r="I719" s="4">
        <f t="shared" si="44"/>
        <v>-1.18</v>
      </c>
      <c r="J719" s="2">
        <f t="shared" si="45"/>
        <v>20.49</v>
      </c>
      <c r="K719" s="7">
        <f t="shared" si="46"/>
        <v>45962</v>
      </c>
      <c r="L719" t="str">
        <f t="shared" si="47"/>
        <v>Q4-2025</v>
      </c>
    </row>
    <row r="720" spans="1:12">
      <c r="A720" s="6">
        <v>45985</v>
      </c>
      <c r="B720" t="s">
        <v>34</v>
      </c>
      <c r="C720" t="s">
        <v>35</v>
      </c>
      <c r="D720" s="2">
        <v>3986.066759712593</v>
      </c>
      <c r="E720" s="2">
        <v>3998.9410126011062</v>
      </c>
      <c r="F720" s="2">
        <v>3964.9727431625211</v>
      </c>
      <c r="G720" s="2">
        <v>3974.47998046875</v>
      </c>
      <c r="H720" s="3">
        <v>1584741</v>
      </c>
      <c r="I720" s="4">
        <f t="shared" si="44"/>
        <v>-0.53</v>
      </c>
      <c r="J720" s="2">
        <f t="shared" si="45"/>
        <v>24.46</v>
      </c>
      <c r="K720" s="7">
        <f t="shared" si="46"/>
        <v>45962</v>
      </c>
      <c r="L720" t="str">
        <f t="shared" si="47"/>
        <v>Q4-2025</v>
      </c>
    </row>
    <row r="721" spans="1:12">
      <c r="A721" s="6">
        <v>45985</v>
      </c>
      <c r="B721" t="s">
        <v>36</v>
      </c>
      <c r="C721" t="s">
        <v>37</v>
      </c>
      <c r="D721" s="2">
        <v>1278.2141857045531</v>
      </c>
      <c r="E721" s="2">
        <v>1289.9052427423881</v>
      </c>
      <c r="F721" s="2">
        <v>1265.6239197975519</v>
      </c>
      <c r="G721" s="2">
        <v>1268.022094726562</v>
      </c>
      <c r="H721" s="3">
        <v>10491953</v>
      </c>
      <c r="I721" s="4">
        <f t="shared" si="44"/>
        <v>-0.98</v>
      </c>
      <c r="J721" s="2">
        <f t="shared" si="45"/>
        <v>21.88</v>
      </c>
      <c r="K721" s="7">
        <f t="shared" si="46"/>
        <v>45962</v>
      </c>
      <c r="L721" t="str">
        <f t="shared" si="47"/>
        <v>Q4-2025</v>
      </c>
    </row>
    <row r="722" spans="1:12">
      <c r="A722" s="6">
        <v>45986</v>
      </c>
      <c r="B722" t="s">
        <v>8</v>
      </c>
      <c r="C722" t="s">
        <v>9</v>
      </c>
      <c r="D722" s="2">
        <v>1528.831331227085</v>
      </c>
      <c r="E722" s="2">
        <v>1552.422207797282</v>
      </c>
      <c r="F722" s="2">
        <v>1518.0809876078649</v>
      </c>
      <c r="G722" s="2">
        <v>1532.61376953125</v>
      </c>
      <c r="H722" s="3">
        <v>15033482</v>
      </c>
      <c r="I722" s="4">
        <f t="shared" si="44"/>
        <v>-0.7</v>
      </c>
      <c r="J722" s="2">
        <f t="shared" si="45"/>
        <v>19.809999999999999</v>
      </c>
      <c r="K722" s="7">
        <f t="shared" si="46"/>
        <v>45962</v>
      </c>
      <c r="L722" t="str">
        <f t="shared" si="47"/>
        <v>Q4-2025</v>
      </c>
    </row>
    <row r="723" spans="1:12">
      <c r="A723" s="6">
        <v>45986</v>
      </c>
      <c r="B723" t="s">
        <v>10</v>
      </c>
      <c r="C723" t="s">
        <v>11</v>
      </c>
      <c r="D723" s="2">
        <v>3031.197449305625</v>
      </c>
      <c r="E723" s="2">
        <v>3035.5342020192352</v>
      </c>
      <c r="F723" s="2">
        <v>3001.9966006438672</v>
      </c>
      <c r="G723" s="2">
        <v>3006.044189453125</v>
      </c>
      <c r="H723" s="3">
        <v>2737920</v>
      </c>
      <c r="I723" s="4">
        <f t="shared" si="44"/>
        <v>-0.96</v>
      </c>
      <c r="J723" s="2">
        <f t="shared" si="45"/>
        <v>29.49</v>
      </c>
      <c r="K723" s="7">
        <f t="shared" si="46"/>
        <v>45962</v>
      </c>
      <c r="L723" t="str">
        <f t="shared" si="47"/>
        <v>Q4-2025</v>
      </c>
    </row>
    <row r="724" spans="1:12">
      <c r="A724" s="6">
        <v>45986</v>
      </c>
      <c r="B724" t="s">
        <v>12</v>
      </c>
      <c r="C724" t="s">
        <v>13</v>
      </c>
      <c r="D724" s="2">
        <v>1516.190590871842</v>
      </c>
      <c r="E724" s="2">
        <v>1517.7566773334449</v>
      </c>
      <c r="F724" s="2">
        <v>1493.5798964672149</v>
      </c>
      <c r="G724" s="2">
        <v>1498.180297851562</v>
      </c>
      <c r="H724" s="3">
        <v>8107952</v>
      </c>
      <c r="I724" s="4">
        <f t="shared" si="44"/>
        <v>-1.49</v>
      </c>
      <c r="J724" s="2">
        <f t="shared" si="45"/>
        <v>19.579999999999998</v>
      </c>
      <c r="K724" s="7">
        <f t="shared" si="46"/>
        <v>45962</v>
      </c>
      <c r="L724" t="str">
        <f t="shared" si="47"/>
        <v>Q4-2025</v>
      </c>
    </row>
    <row r="725" spans="1:12">
      <c r="A725" s="6">
        <v>45986</v>
      </c>
      <c r="B725" t="s">
        <v>14</v>
      </c>
      <c r="C725" t="s">
        <v>15</v>
      </c>
      <c r="D725" s="2">
        <v>987.6645910314578</v>
      </c>
      <c r="E725" s="2">
        <v>989.73039932653842</v>
      </c>
      <c r="F725" s="2">
        <v>972.31843215975891</v>
      </c>
      <c r="G725" s="2">
        <v>973.69561767578125</v>
      </c>
      <c r="H725" s="3">
        <v>24989383</v>
      </c>
      <c r="I725" s="4">
        <f t="shared" si="44"/>
        <v>-1.55</v>
      </c>
      <c r="J725" s="2">
        <f t="shared" si="45"/>
        <v>16.03</v>
      </c>
      <c r="K725" s="7">
        <f t="shared" si="46"/>
        <v>45962</v>
      </c>
      <c r="L725" t="str">
        <f t="shared" si="47"/>
        <v>Q4-2025</v>
      </c>
    </row>
    <row r="726" spans="1:12">
      <c r="A726" s="6">
        <v>45986</v>
      </c>
      <c r="B726" t="s">
        <v>16</v>
      </c>
      <c r="C726" t="s">
        <v>17</v>
      </c>
      <c r="D726" s="2">
        <v>1353.5886121834039</v>
      </c>
      <c r="E726" s="2">
        <v>1365.38915249958</v>
      </c>
      <c r="F726" s="2">
        <v>1342.978112507823</v>
      </c>
      <c r="G726" s="2">
        <v>1346.448852539062</v>
      </c>
      <c r="H726" s="3">
        <v>12235000</v>
      </c>
      <c r="I726" s="4">
        <f t="shared" si="44"/>
        <v>-0.78</v>
      </c>
      <c r="J726" s="2">
        <f t="shared" si="45"/>
        <v>18.940000000000001</v>
      </c>
      <c r="K726" s="7">
        <f t="shared" si="46"/>
        <v>45962</v>
      </c>
      <c r="L726" t="str">
        <f t="shared" si="47"/>
        <v>Q4-2025</v>
      </c>
    </row>
    <row r="727" spans="1:12">
      <c r="A727" s="6">
        <v>45986</v>
      </c>
      <c r="B727" t="s">
        <v>18</v>
      </c>
      <c r="C727" t="s">
        <v>19</v>
      </c>
      <c r="D727" s="2">
        <v>239.02851779723071</v>
      </c>
      <c r="E727" s="2">
        <v>239.02851779723071</v>
      </c>
      <c r="F727" s="2">
        <v>235.17321912308179</v>
      </c>
      <c r="G727" s="2">
        <v>236.75389099121091</v>
      </c>
      <c r="H727" s="3">
        <v>8188793</v>
      </c>
      <c r="I727" s="4">
        <f t="shared" si="44"/>
        <v>-1.61</v>
      </c>
      <c r="J727" s="2">
        <f t="shared" si="45"/>
        <v>2.27</v>
      </c>
      <c r="K727" s="7">
        <f t="shared" si="46"/>
        <v>45962</v>
      </c>
      <c r="L727" t="str">
        <f t="shared" si="47"/>
        <v>Q4-2025</v>
      </c>
    </row>
    <row r="728" spans="1:12">
      <c r="A728" s="6">
        <v>45986</v>
      </c>
      <c r="B728" t="s">
        <v>20</v>
      </c>
      <c r="C728" t="s">
        <v>21</v>
      </c>
      <c r="D728" s="2">
        <v>1560.5475556076769</v>
      </c>
      <c r="E728" s="2">
        <v>1561.1261197835461</v>
      </c>
      <c r="F728" s="2">
        <v>1535.7646443632041</v>
      </c>
      <c r="G728" s="2">
        <v>1543.961303710938</v>
      </c>
      <c r="H728" s="3">
        <v>2285950</v>
      </c>
      <c r="I728" s="4">
        <f t="shared" si="44"/>
        <v>-1.59</v>
      </c>
      <c r="J728" s="2">
        <f t="shared" si="45"/>
        <v>17.16</v>
      </c>
      <c r="K728" s="7">
        <f t="shared" si="46"/>
        <v>45962</v>
      </c>
      <c r="L728" t="str">
        <f t="shared" si="47"/>
        <v>Q4-2025</v>
      </c>
    </row>
    <row r="729" spans="1:12">
      <c r="A729" s="6">
        <v>45986</v>
      </c>
      <c r="B729" t="s">
        <v>22</v>
      </c>
      <c r="C729" t="s">
        <v>23</v>
      </c>
      <c r="D729" s="2">
        <v>988.92090563000727</v>
      </c>
      <c r="E729" s="2">
        <v>990.80932157400105</v>
      </c>
      <c r="F729" s="2">
        <v>978.48505687712782</v>
      </c>
      <c r="G729" s="2">
        <v>980.1746826171875</v>
      </c>
      <c r="H729" s="3">
        <v>6376983</v>
      </c>
      <c r="I729" s="4">
        <f t="shared" si="44"/>
        <v>-1.06</v>
      </c>
      <c r="J729" s="2">
        <f t="shared" si="45"/>
        <v>10.63</v>
      </c>
      <c r="K729" s="7">
        <f t="shared" si="46"/>
        <v>45962</v>
      </c>
      <c r="L729" t="str">
        <f t="shared" si="47"/>
        <v>Q4-2025</v>
      </c>
    </row>
    <row r="730" spans="1:12">
      <c r="A730" s="6">
        <v>45986</v>
      </c>
      <c r="B730" t="s">
        <v>24</v>
      </c>
      <c r="C730" t="s">
        <v>25</v>
      </c>
      <c r="D730" s="2">
        <v>15799.326615381509</v>
      </c>
      <c r="E730" s="2">
        <v>15890.4118421402</v>
      </c>
      <c r="F730" s="2">
        <v>15684.48002512056</v>
      </c>
      <c r="G730" s="2">
        <v>15731.0126953125</v>
      </c>
      <c r="H730" s="3">
        <v>214525</v>
      </c>
      <c r="I730" s="4">
        <f t="shared" si="44"/>
        <v>-0.73</v>
      </c>
      <c r="J730" s="2">
        <f t="shared" si="45"/>
        <v>159.4</v>
      </c>
      <c r="K730" s="7">
        <f t="shared" si="46"/>
        <v>45962</v>
      </c>
      <c r="L730" t="str">
        <f t="shared" si="47"/>
        <v>Q4-2025</v>
      </c>
    </row>
    <row r="731" spans="1:12">
      <c r="A731" s="6">
        <v>45986</v>
      </c>
      <c r="B731" t="s">
        <v>26</v>
      </c>
      <c r="C731" t="s">
        <v>27</v>
      </c>
      <c r="D731" s="2">
        <v>355.05471222734411</v>
      </c>
      <c r="E731" s="2">
        <v>355.15389557456399</v>
      </c>
      <c r="F731" s="2">
        <v>349.10407459224899</v>
      </c>
      <c r="G731" s="2">
        <v>349.55038452148438</v>
      </c>
      <c r="H731" s="3">
        <v>12577566</v>
      </c>
      <c r="I731" s="4">
        <f t="shared" si="44"/>
        <v>-1.68</v>
      </c>
      <c r="J731" s="2">
        <f t="shared" si="45"/>
        <v>5.6</v>
      </c>
      <c r="K731" s="7">
        <f t="shared" si="46"/>
        <v>45962</v>
      </c>
      <c r="L731" t="str">
        <f t="shared" si="47"/>
        <v>Q4-2025</v>
      </c>
    </row>
    <row r="732" spans="1:12">
      <c r="A732" s="6">
        <v>45986</v>
      </c>
      <c r="B732" t="s">
        <v>28</v>
      </c>
      <c r="C732" t="s">
        <v>29</v>
      </c>
      <c r="D732" s="2">
        <v>1768.8439952716301</v>
      </c>
      <c r="E732" s="2">
        <v>1775.8797090989469</v>
      </c>
      <c r="F732" s="2">
        <v>1750.1150346580159</v>
      </c>
      <c r="G732" s="2">
        <v>1760.71826171875</v>
      </c>
      <c r="H732" s="3">
        <v>1848114</v>
      </c>
      <c r="I732" s="4">
        <f t="shared" si="44"/>
        <v>-1.06</v>
      </c>
      <c r="J732" s="2">
        <f t="shared" si="45"/>
        <v>15.16</v>
      </c>
      <c r="K732" s="7">
        <f t="shared" si="46"/>
        <v>45962</v>
      </c>
      <c r="L732" t="str">
        <f t="shared" si="47"/>
        <v>Q4-2025</v>
      </c>
    </row>
    <row r="733" spans="1:12">
      <c r="A733" s="6">
        <v>45986</v>
      </c>
      <c r="B733" t="s">
        <v>30</v>
      </c>
      <c r="C733" t="s">
        <v>31</v>
      </c>
      <c r="D733" s="2">
        <v>2874.9567705789</v>
      </c>
      <c r="E733" s="2">
        <v>2883.482895554625</v>
      </c>
      <c r="F733" s="2">
        <v>2844.3226499385319</v>
      </c>
      <c r="G733" s="2">
        <v>2851.064208984375</v>
      </c>
      <c r="H733" s="3">
        <v>972417</v>
      </c>
      <c r="I733" s="4">
        <f t="shared" si="44"/>
        <v>-1.07</v>
      </c>
      <c r="J733" s="2">
        <f t="shared" si="45"/>
        <v>32.42</v>
      </c>
      <c r="K733" s="7">
        <f t="shared" si="46"/>
        <v>45962</v>
      </c>
      <c r="L733" t="str">
        <f t="shared" si="47"/>
        <v>Q4-2025</v>
      </c>
    </row>
    <row r="734" spans="1:12">
      <c r="A734" s="6">
        <v>45986</v>
      </c>
      <c r="B734" t="s">
        <v>32</v>
      </c>
      <c r="C734" t="s">
        <v>33</v>
      </c>
      <c r="D734" s="2">
        <v>2397.6125936145409</v>
      </c>
      <c r="E734" s="2">
        <v>2399.7903932161198</v>
      </c>
      <c r="F734" s="2">
        <v>2381.7736995196469</v>
      </c>
      <c r="G734" s="2">
        <v>2389.792236328125</v>
      </c>
      <c r="H734" s="3">
        <v>1240672</v>
      </c>
      <c r="I734" s="4">
        <f t="shared" si="44"/>
        <v>-0.66</v>
      </c>
      <c r="J734" s="2">
        <f t="shared" si="45"/>
        <v>10</v>
      </c>
      <c r="K734" s="7">
        <f t="shared" si="46"/>
        <v>45962</v>
      </c>
      <c r="L734" t="str">
        <f t="shared" si="47"/>
        <v>Q4-2025</v>
      </c>
    </row>
    <row r="735" spans="1:12">
      <c r="A735" s="6">
        <v>45986</v>
      </c>
      <c r="B735" t="s">
        <v>34</v>
      </c>
      <c r="C735" t="s">
        <v>35</v>
      </c>
      <c r="D735" s="2">
        <v>3974.1826633337578</v>
      </c>
      <c r="E735" s="2">
        <v>4016.2715652006109</v>
      </c>
      <c r="F735" s="2">
        <v>3943.0864890190542</v>
      </c>
      <c r="G735" s="2">
        <v>3958.040283203125</v>
      </c>
      <c r="H735" s="3">
        <v>1749083</v>
      </c>
      <c r="I735" s="4">
        <f t="shared" si="44"/>
        <v>-0.78</v>
      </c>
      <c r="J735" s="2">
        <f t="shared" si="45"/>
        <v>58.23</v>
      </c>
      <c r="K735" s="7">
        <f t="shared" si="46"/>
        <v>45962</v>
      </c>
      <c r="L735" t="str">
        <f t="shared" si="47"/>
        <v>Q4-2025</v>
      </c>
    </row>
    <row r="736" spans="1:12">
      <c r="A736" s="6">
        <v>45986</v>
      </c>
      <c r="B736" t="s">
        <v>36</v>
      </c>
      <c r="C736" t="s">
        <v>37</v>
      </c>
      <c r="D736" s="2">
        <v>1268.1219878416659</v>
      </c>
      <c r="E736" s="2">
        <v>1275.7161067708209</v>
      </c>
      <c r="F736" s="2">
        <v>1262.726124768551</v>
      </c>
      <c r="G736" s="2">
        <v>1265.32421875</v>
      </c>
      <c r="H736" s="3">
        <v>5290156</v>
      </c>
      <c r="I736" s="4">
        <f t="shared" si="44"/>
        <v>-0.43</v>
      </c>
      <c r="J736" s="2">
        <f t="shared" si="45"/>
        <v>10.39</v>
      </c>
      <c r="K736" s="7">
        <f t="shared" si="46"/>
        <v>45962</v>
      </c>
      <c r="L736" t="str">
        <f t="shared" si="47"/>
        <v>Q4-2025</v>
      </c>
    </row>
    <row r="737" spans="1:12">
      <c r="A737" s="6">
        <v>45987</v>
      </c>
      <c r="B737" t="s">
        <v>8</v>
      </c>
      <c r="C737" t="s">
        <v>9</v>
      </c>
      <c r="D737" s="2">
        <v>1535.201853679532</v>
      </c>
      <c r="E737" s="2">
        <v>1564.3669320995491</v>
      </c>
      <c r="F737" s="2">
        <v>1533.410089295066</v>
      </c>
      <c r="G737" s="2">
        <v>1562.6748046875</v>
      </c>
      <c r="H737" s="3">
        <v>14054299</v>
      </c>
      <c r="I737" s="4">
        <f t="shared" si="44"/>
        <v>-0.12</v>
      </c>
      <c r="J737" s="2">
        <f t="shared" si="45"/>
        <v>1.69</v>
      </c>
      <c r="K737" s="7">
        <f t="shared" si="46"/>
        <v>45962</v>
      </c>
      <c r="L737" t="str">
        <f t="shared" si="47"/>
        <v>Q4-2025</v>
      </c>
    </row>
    <row r="738" spans="1:12">
      <c r="A738" s="6">
        <v>45987</v>
      </c>
      <c r="B738" t="s">
        <v>10</v>
      </c>
      <c r="C738" t="s">
        <v>11</v>
      </c>
      <c r="D738" s="2">
        <v>3005.6588986502438</v>
      </c>
      <c r="E738" s="2">
        <v>3062.7112448262242</v>
      </c>
      <c r="F738" s="2">
        <v>3003.9241504478732</v>
      </c>
      <c r="G738" s="2">
        <v>3048.158935546875</v>
      </c>
      <c r="H738" s="3">
        <v>2508527</v>
      </c>
      <c r="I738" s="4">
        <f t="shared" si="44"/>
        <v>-0.06</v>
      </c>
      <c r="J738" s="2">
        <f t="shared" si="45"/>
        <v>14.55</v>
      </c>
      <c r="K738" s="7">
        <f t="shared" si="46"/>
        <v>45962</v>
      </c>
      <c r="L738" t="str">
        <f t="shared" si="47"/>
        <v>Q4-2025</v>
      </c>
    </row>
    <row r="739" spans="1:12">
      <c r="A739" s="6">
        <v>45987</v>
      </c>
      <c r="B739" t="s">
        <v>12</v>
      </c>
      <c r="C739" t="s">
        <v>13</v>
      </c>
      <c r="D739" s="2">
        <v>1499.648522350572</v>
      </c>
      <c r="E739" s="2">
        <v>1527.2512890379419</v>
      </c>
      <c r="F739" s="2">
        <v>1499.648522350572</v>
      </c>
      <c r="G739" s="2">
        <v>1524.902099609375</v>
      </c>
      <c r="H739" s="3">
        <v>7575038</v>
      </c>
      <c r="I739" s="4">
        <f t="shared" si="44"/>
        <v>0</v>
      </c>
      <c r="J739" s="2">
        <f t="shared" si="45"/>
        <v>2.35</v>
      </c>
      <c r="K739" s="7">
        <f t="shared" si="46"/>
        <v>45962</v>
      </c>
      <c r="L739" t="str">
        <f t="shared" si="47"/>
        <v>Q4-2025</v>
      </c>
    </row>
    <row r="740" spans="1:12">
      <c r="A740" s="6">
        <v>45987</v>
      </c>
      <c r="B740" t="s">
        <v>14</v>
      </c>
      <c r="C740" t="s">
        <v>15</v>
      </c>
      <c r="D740" s="2">
        <v>965.33389695064716</v>
      </c>
      <c r="E740" s="2">
        <v>990.56658657922401</v>
      </c>
      <c r="F740" s="2">
        <v>965.33389695064716</v>
      </c>
      <c r="G740" s="2">
        <v>987.56622314453125</v>
      </c>
      <c r="H740" s="3">
        <v>19494356</v>
      </c>
      <c r="I740" s="4">
        <f t="shared" si="44"/>
        <v>0</v>
      </c>
      <c r="J740" s="2">
        <f t="shared" si="45"/>
        <v>3</v>
      </c>
      <c r="K740" s="7">
        <f t="shared" si="46"/>
        <v>45962</v>
      </c>
      <c r="L740" t="str">
        <f t="shared" si="47"/>
        <v>Q4-2025</v>
      </c>
    </row>
    <row r="741" spans="1:12">
      <c r="A741" s="6">
        <v>45987</v>
      </c>
      <c r="B741" t="s">
        <v>16</v>
      </c>
      <c r="C741" t="s">
        <v>17</v>
      </c>
      <c r="D741" s="2">
        <v>1348.6304048295449</v>
      </c>
      <c r="E741" s="2">
        <v>1365.4882848899149</v>
      </c>
      <c r="F741" s="2">
        <v>1348.5312650391511</v>
      </c>
      <c r="G741" s="2">
        <v>1363.505004882812</v>
      </c>
      <c r="H741" s="3">
        <v>9659004</v>
      </c>
      <c r="I741" s="4">
        <f t="shared" si="44"/>
        <v>-0.01</v>
      </c>
      <c r="J741" s="2">
        <f t="shared" si="45"/>
        <v>1.98</v>
      </c>
      <c r="K741" s="7">
        <f t="shared" si="46"/>
        <v>45962</v>
      </c>
      <c r="L741" t="str">
        <f t="shared" si="47"/>
        <v>Q4-2025</v>
      </c>
    </row>
    <row r="742" spans="1:12">
      <c r="A742" s="6">
        <v>45987</v>
      </c>
      <c r="B742" t="s">
        <v>18</v>
      </c>
      <c r="C742" t="s">
        <v>19</v>
      </c>
      <c r="D742" s="2">
        <v>237.1008547458926</v>
      </c>
      <c r="E742" s="2">
        <v>241.48625967543811</v>
      </c>
      <c r="F742" s="2">
        <v>236.7345966868582</v>
      </c>
      <c r="G742" s="2">
        <v>241.1392822265625</v>
      </c>
      <c r="H742" s="3">
        <v>8202096</v>
      </c>
      <c r="I742" s="4">
        <f t="shared" si="44"/>
        <v>-0.15</v>
      </c>
      <c r="J742" s="2">
        <f t="shared" si="45"/>
        <v>0.35</v>
      </c>
      <c r="K742" s="7">
        <f t="shared" si="46"/>
        <v>45962</v>
      </c>
      <c r="L742" t="str">
        <f t="shared" si="47"/>
        <v>Q4-2025</v>
      </c>
    </row>
    <row r="743" spans="1:12">
      <c r="A743" s="6">
        <v>45987</v>
      </c>
      <c r="B743" t="s">
        <v>20</v>
      </c>
      <c r="C743" t="s">
        <v>21</v>
      </c>
      <c r="D743" s="2">
        <v>1543.9612406179169</v>
      </c>
      <c r="E743" s="2">
        <v>1569.4191227415879</v>
      </c>
      <c r="F743" s="2">
        <v>1543.9612406179169</v>
      </c>
      <c r="G743" s="2">
        <v>1560.161743164062</v>
      </c>
      <c r="H743" s="3">
        <v>1243303</v>
      </c>
      <c r="I743" s="4">
        <f t="shared" si="44"/>
        <v>0</v>
      </c>
      <c r="J743" s="2">
        <f t="shared" si="45"/>
        <v>9.26</v>
      </c>
      <c r="K743" s="7">
        <f t="shared" si="46"/>
        <v>45962</v>
      </c>
      <c r="L743" t="str">
        <f t="shared" si="47"/>
        <v>Q4-2025</v>
      </c>
    </row>
    <row r="744" spans="1:12">
      <c r="A744" s="6">
        <v>45987</v>
      </c>
      <c r="B744" t="s">
        <v>22</v>
      </c>
      <c r="C744" t="s">
        <v>23</v>
      </c>
      <c r="D744" s="2">
        <v>980.17465042200695</v>
      </c>
      <c r="E744" s="2">
        <v>1006.612108796026</v>
      </c>
      <c r="F744" s="2">
        <v>975.30456356572654</v>
      </c>
      <c r="G744" s="2">
        <v>1004.524963378906</v>
      </c>
      <c r="H744" s="3">
        <v>9772235</v>
      </c>
      <c r="I744" s="4">
        <f t="shared" si="44"/>
        <v>-0.5</v>
      </c>
      <c r="J744" s="2">
        <f t="shared" si="45"/>
        <v>2.09</v>
      </c>
      <c r="K744" s="7">
        <f t="shared" si="46"/>
        <v>45962</v>
      </c>
      <c r="L744" t="str">
        <f t="shared" si="47"/>
        <v>Q4-2025</v>
      </c>
    </row>
    <row r="745" spans="1:12">
      <c r="A745" s="6">
        <v>45987</v>
      </c>
      <c r="B745" t="s">
        <v>24</v>
      </c>
      <c r="C745" t="s">
        <v>25</v>
      </c>
      <c r="D745" s="2">
        <v>15791.40572412146</v>
      </c>
      <c r="E745" s="2">
        <v>16048.820488276409</v>
      </c>
      <c r="F745" s="2">
        <v>15791.40572412146</v>
      </c>
      <c r="G745" s="2">
        <v>15995.357421875</v>
      </c>
      <c r="H745" s="3">
        <v>314946</v>
      </c>
      <c r="I745" s="4">
        <f t="shared" si="44"/>
        <v>0</v>
      </c>
      <c r="J745" s="2">
        <f t="shared" si="45"/>
        <v>53.46</v>
      </c>
      <c r="K745" s="7">
        <f t="shared" si="46"/>
        <v>45962</v>
      </c>
      <c r="L745" t="str">
        <f t="shared" si="47"/>
        <v>Q4-2025</v>
      </c>
    </row>
    <row r="746" spans="1:12">
      <c r="A746" s="6">
        <v>45987</v>
      </c>
      <c r="B746" t="s">
        <v>26</v>
      </c>
      <c r="C746" t="s">
        <v>27</v>
      </c>
      <c r="D746" s="2">
        <v>351.53393552290038</v>
      </c>
      <c r="E746" s="2">
        <v>359.86482228014148</v>
      </c>
      <c r="F746" s="2">
        <v>351.38514536664809</v>
      </c>
      <c r="G746" s="2">
        <v>356.29443359375</v>
      </c>
      <c r="H746" s="3">
        <v>13130211</v>
      </c>
      <c r="I746" s="4">
        <f t="shared" si="44"/>
        <v>-0.04</v>
      </c>
      <c r="J746" s="2">
        <f t="shared" si="45"/>
        <v>3.57</v>
      </c>
      <c r="K746" s="7">
        <f t="shared" si="46"/>
        <v>45962</v>
      </c>
      <c r="L746" t="str">
        <f t="shared" si="47"/>
        <v>Q4-2025</v>
      </c>
    </row>
    <row r="747" spans="1:12">
      <c r="A747" s="6">
        <v>45987</v>
      </c>
      <c r="B747" t="s">
        <v>28</v>
      </c>
      <c r="C747" t="s">
        <v>29</v>
      </c>
      <c r="D747" s="2">
        <v>1759.430038575679</v>
      </c>
      <c r="E747" s="2">
        <v>1790.5458629440891</v>
      </c>
      <c r="F747" s="2">
        <v>1757.547211187265</v>
      </c>
      <c r="G747" s="2">
        <v>1788.56396484375</v>
      </c>
      <c r="H747" s="3">
        <v>1158948</v>
      </c>
      <c r="I747" s="4">
        <f t="shared" si="44"/>
        <v>-0.11</v>
      </c>
      <c r="J747" s="2">
        <f t="shared" si="45"/>
        <v>1.98</v>
      </c>
      <c r="K747" s="7">
        <f t="shared" si="46"/>
        <v>45962</v>
      </c>
      <c r="L747" t="str">
        <f t="shared" si="47"/>
        <v>Q4-2025</v>
      </c>
    </row>
    <row r="748" spans="1:12">
      <c r="A748" s="6">
        <v>45987</v>
      </c>
      <c r="B748" t="s">
        <v>30</v>
      </c>
      <c r="C748" t="s">
        <v>31</v>
      </c>
      <c r="D748" s="2">
        <v>2855.2281771920671</v>
      </c>
      <c r="E748" s="2">
        <v>2871.2887872806341</v>
      </c>
      <c r="F748" s="2">
        <v>2833.0209437412941</v>
      </c>
      <c r="G748" s="2">
        <v>2849.27978515625</v>
      </c>
      <c r="H748" s="3">
        <v>570376</v>
      </c>
      <c r="I748" s="4">
        <f t="shared" si="44"/>
        <v>-0.78</v>
      </c>
      <c r="J748" s="2">
        <f t="shared" si="45"/>
        <v>22.01</v>
      </c>
      <c r="K748" s="7">
        <f t="shared" si="46"/>
        <v>45962</v>
      </c>
      <c r="L748" t="str">
        <f t="shared" si="47"/>
        <v>Q4-2025</v>
      </c>
    </row>
    <row r="749" spans="1:12">
      <c r="A749" s="6">
        <v>45987</v>
      </c>
      <c r="B749" t="s">
        <v>32</v>
      </c>
      <c r="C749" t="s">
        <v>33</v>
      </c>
      <c r="D749" s="2">
        <v>2387.7132344214128</v>
      </c>
      <c r="E749" s="2">
        <v>2403.2551005876048</v>
      </c>
      <c r="F749" s="2">
        <v>2384.7434418412872</v>
      </c>
      <c r="G749" s="2">
        <v>2400.7802734375</v>
      </c>
      <c r="H749" s="3">
        <v>1242683</v>
      </c>
      <c r="I749" s="4">
        <f t="shared" si="44"/>
        <v>-0.12</v>
      </c>
      <c r="J749" s="2">
        <f t="shared" si="45"/>
        <v>2.4700000000000002</v>
      </c>
      <c r="K749" s="7">
        <f t="shared" si="46"/>
        <v>45962</v>
      </c>
      <c r="L749" t="str">
        <f t="shared" si="47"/>
        <v>Q4-2025</v>
      </c>
    </row>
    <row r="750" spans="1:12">
      <c r="A750" s="6">
        <v>45987</v>
      </c>
      <c r="B750" t="s">
        <v>34</v>
      </c>
      <c r="C750" t="s">
        <v>35</v>
      </c>
      <c r="D750" s="2">
        <v>3960.3181320032659</v>
      </c>
      <c r="E750" s="2">
        <v>4035.1869585922291</v>
      </c>
      <c r="F750" s="2">
        <v>3959.3278048884858</v>
      </c>
      <c r="G750" s="2">
        <v>4022.708740234375</v>
      </c>
      <c r="H750" s="3">
        <v>2058237</v>
      </c>
      <c r="I750" s="4">
        <f t="shared" si="44"/>
        <v>-0.03</v>
      </c>
      <c r="J750" s="2">
        <f t="shared" si="45"/>
        <v>12.48</v>
      </c>
      <c r="K750" s="7">
        <f t="shared" si="46"/>
        <v>45962</v>
      </c>
      <c r="L750" t="str">
        <f t="shared" si="47"/>
        <v>Q4-2025</v>
      </c>
    </row>
    <row r="751" spans="1:12">
      <c r="A751" s="6">
        <v>45987</v>
      </c>
      <c r="B751" t="s">
        <v>36</v>
      </c>
      <c r="C751" t="s">
        <v>37</v>
      </c>
      <c r="D751" s="2">
        <v>1270.9198641332521</v>
      </c>
      <c r="E751" s="2">
        <v>1291.803782427804</v>
      </c>
      <c r="F751" s="2">
        <v>1268.321892158252</v>
      </c>
      <c r="G751" s="2">
        <v>1289.205688476562</v>
      </c>
      <c r="H751" s="3">
        <v>4842021</v>
      </c>
      <c r="I751" s="4">
        <f t="shared" si="44"/>
        <v>-0.2</v>
      </c>
      <c r="J751" s="2">
        <f t="shared" si="45"/>
        <v>2.6</v>
      </c>
      <c r="K751" s="7">
        <f t="shared" si="46"/>
        <v>45962</v>
      </c>
      <c r="L751" t="str">
        <f t="shared" si="47"/>
        <v>Q4-2025</v>
      </c>
    </row>
    <row r="752" spans="1:12">
      <c r="A752" s="6">
        <v>45988</v>
      </c>
      <c r="B752" t="s">
        <v>8</v>
      </c>
      <c r="C752" t="s">
        <v>9</v>
      </c>
      <c r="D752" s="2">
        <v>1567.7513003642509</v>
      </c>
      <c r="E752" s="2">
        <v>1568.2489991897639</v>
      </c>
      <c r="F752" s="2">
        <v>1548.8387449947779</v>
      </c>
      <c r="G752" s="2">
        <v>1556.204711914062</v>
      </c>
      <c r="H752" s="3">
        <v>9794643</v>
      </c>
      <c r="I752" s="4">
        <f t="shared" si="44"/>
        <v>-1.21</v>
      </c>
      <c r="J752" s="2">
        <f t="shared" si="45"/>
        <v>12.04</v>
      </c>
      <c r="K752" s="7">
        <f t="shared" si="46"/>
        <v>45962</v>
      </c>
      <c r="L752" t="str">
        <f t="shared" si="47"/>
        <v>Q4-2025</v>
      </c>
    </row>
    <row r="753" spans="1:12">
      <c r="A753" s="6">
        <v>45988</v>
      </c>
      <c r="B753" t="s">
        <v>10</v>
      </c>
      <c r="C753" t="s">
        <v>11</v>
      </c>
      <c r="D753" s="2">
        <v>3064.6384631299102</v>
      </c>
      <c r="E753" s="2">
        <v>3064.6384631299102</v>
      </c>
      <c r="F753" s="2">
        <v>3011.6337098367831</v>
      </c>
      <c r="G753" s="2">
        <v>3022.81298828125</v>
      </c>
      <c r="H753" s="3">
        <v>2836233</v>
      </c>
      <c r="I753" s="4">
        <f t="shared" si="44"/>
        <v>-1.73</v>
      </c>
      <c r="J753" s="2">
        <f t="shared" si="45"/>
        <v>41.83</v>
      </c>
      <c r="K753" s="7">
        <f t="shared" si="46"/>
        <v>45962</v>
      </c>
      <c r="L753" t="str">
        <f t="shared" si="47"/>
        <v>Q4-2025</v>
      </c>
    </row>
    <row r="754" spans="1:12">
      <c r="A754" s="6">
        <v>45988</v>
      </c>
      <c r="B754" t="s">
        <v>12</v>
      </c>
      <c r="C754" t="s">
        <v>13</v>
      </c>
      <c r="D754" s="2">
        <v>1530.872856492806</v>
      </c>
      <c r="E754" s="2">
        <v>1540.954739594805</v>
      </c>
      <c r="F754" s="2">
        <v>1519.3227449478779</v>
      </c>
      <c r="G754" s="2">
        <v>1533.222045898438</v>
      </c>
      <c r="H754" s="3">
        <v>7552252</v>
      </c>
      <c r="I754" s="4">
        <f t="shared" si="44"/>
        <v>-0.75</v>
      </c>
      <c r="J754" s="2">
        <f t="shared" si="45"/>
        <v>7.73</v>
      </c>
      <c r="K754" s="7">
        <f t="shared" si="46"/>
        <v>45962</v>
      </c>
      <c r="L754" t="str">
        <f t="shared" si="47"/>
        <v>Q4-2025</v>
      </c>
    </row>
    <row r="755" spans="1:12">
      <c r="A755" s="6">
        <v>45988</v>
      </c>
      <c r="B755" t="s">
        <v>14</v>
      </c>
      <c r="C755" t="s">
        <v>15</v>
      </c>
      <c r="D755" s="2">
        <v>985.79544987716611</v>
      </c>
      <c r="E755" s="2">
        <v>1000.256287617789</v>
      </c>
      <c r="F755" s="2">
        <v>984.71337128819187</v>
      </c>
      <c r="G755" s="2">
        <v>993.0750732421875</v>
      </c>
      <c r="H755" s="3">
        <v>25536848</v>
      </c>
      <c r="I755" s="4">
        <f t="shared" si="44"/>
        <v>-0.11</v>
      </c>
      <c r="J755" s="2">
        <f t="shared" si="45"/>
        <v>7.18</v>
      </c>
      <c r="K755" s="7">
        <f t="shared" si="46"/>
        <v>45962</v>
      </c>
      <c r="L755" t="str">
        <f t="shared" si="47"/>
        <v>Q4-2025</v>
      </c>
    </row>
    <row r="756" spans="1:12">
      <c r="A756" s="6">
        <v>45988</v>
      </c>
      <c r="B756" t="s">
        <v>16</v>
      </c>
      <c r="C756" t="s">
        <v>17</v>
      </c>
      <c r="D756" s="2">
        <v>1367.4715576687991</v>
      </c>
      <c r="E756" s="2">
        <v>1382.346157643442</v>
      </c>
      <c r="F756" s="2">
        <v>1364.1990972544561</v>
      </c>
      <c r="G756" s="2">
        <v>1380.561157226562</v>
      </c>
      <c r="H756" s="3">
        <v>15158741</v>
      </c>
      <c r="I756" s="4">
        <f t="shared" si="44"/>
        <v>-0.24</v>
      </c>
      <c r="J756" s="2">
        <f t="shared" si="45"/>
        <v>1.79</v>
      </c>
      <c r="K756" s="7">
        <f t="shared" si="46"/>
        <v>45962</v>
      </c>
      <c r="L756" t="str">
        <f t="shared" si="47"/>
        <v>Q4-2025</v>
      </c>
    </row>
    <row r="757" spans="1:12">
      <c r="A757" s="6">
        <v>45988</v>
      </c>
      <c r="B757" t="s">
        <v>18</v>
      </c>
      <c r="C757" t="s">
        <v>19</v>
      </c>
      <c r="D757" s="2">
        <v>241.34168313978199</v>
      </c>
      <c r="E757" s="2">
        <v>242.80670070542561</v>
      </c>
      <c r="F757" s="2">
        <v>238.72972661020901</v>
      </c>
      <c r="G757" s="2">
        <v>240.5320739746094</v>
      </c>
      <c r="H757" s="3">
        <v>5268129</v>
      </c>
      <c r="I757" s="4">
        <f t="shared" si="44"/>
        <v>-1.08</v>
      </c>
      <c r="J757" s="2">
        <f t="shared" si="45"/>
        <v>2.27</v>
      </c>
      <c r="K757" s="7">
        <f t="shared" si="46"/>
        <v>45962</v>
      </c>
      <c r="L757" t="str">
        <f t="shared" si="47"/>
        <v>Q4-2025</v>
      </c>
    </row>
    <row r="758" spans="1:12">
      <c r="A758" s="6">
        <v>45988</v>
      </c>
      <c r="B758" t="s">
        <v>20</v>
      </c>
      <c r="C758" t="s">
        <v>21</v>
      </c>
      <c r="D758" s="2">
        <v>1561.318880023008</v>
      </c>
      <c r="E758" s="2">
        <v>1574.9156673876801</v>
      </c>
      <c r="F758" s="2">
        <v>1556.400908131186</v>
      </c>
      <c r="G758" s="2">
        <v>1570.865600585938</v>
      </c>
      <c r="H758" s="3">
        <v>2106176</v>
      </c>
      <c r="I758" s="4">
        <f t="shared" si="44"/>
        <v>-0.31</v>
      </c>
      <c r="J758" s="2">
        <f t="shared" si="45"/>
        <v>4.05</v>
      </c>
      <c r="K758" s="7">
        <f t="shared" si="46"/>
        <v>45962</v>
      </c>
      <c r="L758" t="str">
        <f t="shared" si="47"/>
        <v>Q4-2025</v>
      </c>
    </row>
    <row r="759" spans="1:12">
      <c r="A759" s="6">
        <v>45988</v>
      </c>
      <c r="B759" t="s">
        <v>22</v>
      </c>
      <c r="C759" t="s">
        <v>23</v>
      </c>
      <c r="D759" s="2">
        <v>1009.395009653358</v>
      </c>
      <c r="E759" s="2">
        <v>1038.5160452782809</v>
      </c>
      <c r="F759" s="2">
        <v>1004.723773563806</v>
      </c>
      <c r="G759" s="2">
        <v>1027.48388671875</v>
      </c>
      <c r="H759" s="3">
        <v>12076038</v>
      </c>
      <c r="I759" s="4">
        <f t="shared" si="44"/>
        <v>-0.46</v>
      </c>
      <c r="J759" s="2">
        <f t="shared" si="45"/>
        <v>11.03</v>
      </c>
      <c r="K759" s="7">
        <f t="shared" si="46"/>
        <v>45962</v>
      </c>
      <c r="L759" t="str">
        <f t="shared" si="47"/>
        <v>Q4-2025</v>
      </c>
    </row>
    <row r="760" spans="1:12">
      <c r="A760" s="6">
        <v>45988</v>
      </c>
      <c r="B760" t="s">
        <v>24</v>
      </c>
      <c r="C760" t="s">
        <v>25</v>
      </c>
      <c r="D760" s="2">
        <v>16005.25798124764</v>
      </c>
      <c r="E760" s="2">
        <v>16010.208265171081</v>
      </c>
      <c r="F760" s="2">
        <v>15717.15145690377</v>
      </c>
      <c r="G760" s="2">
        <v>15744.873046875</v>
      </c>
      <c r="H760" s="3">
        <v>339986</v>
      </c>
      <c r="I760" s="4">
        <f t="shared" si="44"/>
        <v>-1.8</v>
      </c>
      <c r="J760" s="2">
        <f t="shared" si="45"/>
        <v>265.33999999999997</v>
      </c>
      <c r="K760" s="7">
        <f t="shared" si="46"/>
        <v>45962</v>
      </c>
      <c r="L760" t="str">
        <f t="shared" si="47"/>
        <v>Q4-2025</v>
      </c>
    </row>
    <row r="761" spans="1:12">
      <c r="A761" s="6">
        <v>45988</v>
      </c>
      <c r="B761" t="s">
        <v>26</v>
      </c>
      <c r="C761" t="s">
        <v>27</v>
      </c>
      <c r="D761" s="2">
        <v>359.02181230750602</v>
      </c>
      <c r="E761" s="2">
        <v>359.8152185706428</v>
      </c>
      <c r="F761" s="2">
        <v>353.51748447403588</v>
      </c>
      <c r="G761" s="2">
        <v>354.85635375976563</v>
      </c>
      <c r="H761" s="3">
        <v>8871759</v>
      </c>
      <c r="I761" s="4">
        <f t="shared" si="44"/>
        <v>-1.53</v>
      </c>
      <c r="J761" s="2">
        <f t="shared" si="45"/>
        <v>4.96</v>
      </c>
      <c r="K761" s="7">
        <f t="shared" si="46"/>
        <v>45962</v>
      </c>
      <c r="L761" t="str">
        <f t="shared" si="47"/>
        <v>Q4-2025</v>
      </c>
    </row>
    <row r="762" spans="1:12">
      <c r="A762" s="6">
        <v>45988</v>
      </c>
      <c r="B762" t="s">
        <v>28</v>
      </c>
      <c r="C762" t="s">
        <v>29</v>
      </c>
      <c r="D762" s="2">
        <v>1785.78918461086</v>
      </c>
      <c r="E762" s="2">
        <v>1798.473380310005</v>
      </c>
      <c r="F762" s="2">
        <v>1785.78918461086</v>
      </c>
      <c r="G762" s="2">
        <v>1793.9150390625</v>
      </c>
      <c r="H762" s="3">
        <v>2902053</v>
      </c>
      <c r="I762" s="4">
        <f t="shared" si="44"/>
        <v>0</v>
      </c>
      <c r="J762" s="2">
        <f t="shared" si="45"/>
        <v>4.5599999999999996</v>
      </c>
      <c r="K762" s="7">
        <f t="shared" si="46"/>
        <v>45962</v>
      </c>
      <c r="L762" t="str">
        <f t="shared" si="47"/>
        <v>Q4-2025</v>
      </c>
    </row>
    <row r="763" spans="1:12">
      <c r="A763" s="6">
        <v>45988</v>
      </c>
      <c r="B763" t="s">
        <v>30</v>
      </c>
      <c r="C763" t="s">
        <v>31</v>
      </c>
      <c r="D763" s="2">
        <v>2855.228099464809</v>
      </c>
      <c r="E763" s="2">
        <v>2889.431352739648</v>
      </c>
      <c r="F763" s="2">
        <v>2846.701974295966</v>
      </c>
      <c r="G763" s="2">
        <v>2854.3359375</v>
      </c>
      <c r="H763" s="3">
        <v>1158685</v>
      </c>
      <c r="I763" s="4">
        <f t="shared" si="44"/>
        <v>-0.3</v>
      </c>
      <c r="J763" s="2">
        <f t="shared" si="45"/>
        <v>35.1</v>
      </c>
      <c r="K763" s="7">
        <f t="shared" si="46"/>
        <v>45962</v>
      </c>
      <c r="L763" t="str">
        <f t="shared" si="47"/>
        <v>Q4-2025</v>
      </c>
    </row>
    <row r="764" spans="1:12">
      <c r="A764" s="6">
        <v>45988</v>
      </c>
      <c r="B764" t="s">
        <v>32</v>
      </c>
      <c r="C764" t="s">
        <v>33</v>
      </c>
      <c r="D764" s="2">
        <v>2401.6713428676039</v>
      </c>
      <c r="E764" s="2">
        <v>2434.9328745706789</v>
      </c>
      <c r="F764" s="2">
        <v>2400.5823222546769</v>
      </c>
      <c r="G764" s="2">
        <v>2427.013427734375</v>
      </c>
      <c r="H764" s="3">
        <v>1872248</v>
      </c>
      <c r="I764" s="4">
        <f t="shared" si="44"/>
        <v>-0.05</v>
      </c>
      <c r="J764" s="2">
        <f t="shared" si="45"/>
        <v>7.92</v>
      </c>
      <c r="K764" s="7">
        <f t="shared" si="46"/>
        <v>45962</v>
      </c>
      <c r="L764" t="str">
        <f t="shared" si="47"/>
        <v>Q4-2025</v>
      </c>
    </row>
    <row r="765" spans="1:12">
      <c r="A765" s="6">
        <v>45988</v>
      </c>
      <c r="B765" t="s">
        <v>34</v>
      </c>
      <c r="C765" t="s">
        <v>35</v>
      </c>
      <c r="D765" s="2">
        <v>4031.62160404929</v>
      </c>
      <c r="E765" s="2">
        <v>4099.954173609447</v>
      </c>
      <c r="F765" s="2">
        <v>4020.3319718770681</v>
      </c>
      <c r="G765" s="2">
        <v>4041.822021484375</v>
      </c>
      <c r="H765" s="3">
        <v>2225064</v>
      </c>
      <c r="I765" s="4">
        <f t="shared" si="44"/>
        <v>-0.28000000000000003</v>
      </c>
      <c r="J765" s="2">
        <f t="shared" si="45"/>
        <v>58.13</v>
      </c>
      <c r="K765" s="7">
        <f t="shared" si="46"/>
        <v>45962</v>
      </c>
      <c r="L765" t="str">
        <f t="shared" si="47"/>
        <v>Q4-2025</v>
      </c>
    </row>
    <row r="766" spans="1:12">
      <c r="A766" s="6">
        <v>45988</v>
      </c>
      <c r="B766" t="s">
        <v>36</v>
      </c>
      <c r="C766" t="s">
        <v>37</v>
      </c>
      <c r="D766" s="2">
        <v>1296.0004592453199</v>
      </c>
      <c r="E766" s="2">
        <v>1302.9950646537379</v>
      </c>
      <c r="F766" s="2">
        <v>1280.012789740367</v>
      </c>
      <c r="G766" s="2">
        <v>1286.307983398438</v>
      </c>
      <c r="H766" s="3">
        <v>5924706</v>
      </c>
      <c r="I766" s="4">
        <f t="shared" si="44"/>
        <v>-1.23</v>
      </c>
      <c r="J766" s="2">
        <f t="shared" si="45"/>
        <v>16.690000000000001</v>
      </c>
      <c r="K766" s="7">
        <f t="shared" si="46"/>
        <v>45962</v>
      </c>
      <c r="L766" t="str">
        <f t="shared" si="47"/>
        <v>Q4-2025</v>
      </c>
    </row>
    <row r="767" spans="1:12">
      <c r="A767" s="6">
        <v>45989</v>
      </c>
      <c r="B767" t="s">
        <v>8</v>
      </c>
      <c r="C767" t="s">
        <v>9</v>
      </c>
      <c r="D767" s="2">
        <v>1560.783587519936</v>
      </c>
      <c r="E767" s="2">
        <v>1574.022425481767</v>
      </c>
      <c r="F767" s="2">
        <v>1555.8065990393241</v>
      </c>
      <c r="G767" s="2">
        <v>1560.285888671875</v>
      </c>
      <c r="H767" s="3">
        <v>8959508</v>
      </c>
      <c r="I767" s="4">
        <f t="shared" si="44"/>
        <v>-0.32</v>
      </c>
      <c r="J767" s="2">
        <f t="shared" si="45"/>
        <v>13.74</v>
      </c>
      <c r="K767" s="7">
        <f t="shared" si="46"/>
        <v>45962</v>
      </c>
      <c r="L767" t="str">
        <f t="shared" si="47"/>
        <v>Q4-2025</v>
      </c>
    </row>
    <row r="768" spans="1:12">
      <c r="A768" s="6">
        <v>45989</v>
      </c>
      <c r="B768" t="s">
        <v>10</v>
      </c>
      <c r="C768" t="s">
        <v>11</v>
      </c>
      <c r="D768" s="2">
        <v>3026.0894826942231</v>
      </c>
      <c r="E768" s="2">
        <v>3033.1247059368802</v>
      </c>
      <c r="F768" s="2">
        <v>3011.6336412163851</v>
      </c>
      <c r="G768" s="2">
        <v>3023.68017578125</v>
      </c>
      <c r="H768" s="3">
        <v>1616690</v>
      </c>
      <c r="I768" s="4">
        <f t="shared" si="44"/>
        <v>-0.48</v>
      </c>
      <c r="J768" s="2">
        <f t="shared" si="45"/>
        <v>9.44</v>
      </c>
      <c r="K768" s="7">
        <f t="shared" si="46"/>
        <v>45962</v>
      </c>
      <c r="L768" t="str">
        <f t="shared" si="47"/>
        <v>Q4-2025</v>
      </c>
    </row>
    <row r="769" spans="1:12">
      <c r="A769" s="6">
        <v>45989</v>
      </c>
      <c r="B769" t="s">
        <v>12</v>
      </c>
      <c r="C769" t="s">
        <v>13</v>
      </c>
      <c r="D769" s="2">
        <v>1531.851656673583</v>
      </c>
      <c r="E769" s="2">
        <v>1535.1796650003639</v>
      </c>
      <c r="F769" s="2">
        <v>1524.021105073974</v>
      </c>
      <c r="G769" s="2">
        <v>1527.055419921875</v>
      </c>
      <c r="H769" s="3">
        <v>4453221</v>
      </c>
      <c r="I769" s="4">
        <f t="shared" si="44"/>
        <v>-0.51</v>
      </c>
      <c r="J769" s="2">
        <f t="shared" si="45"/>
        <v>8.1199999999999992</v>
      </c>
      <c r="K769" s="7">
        <f t="shared" si="46"/>
        <v>45962</v>
      </c>
      <c r="L769" t="str">
        <f t="shared" si="47"/>
        <v>Q4-2025</v>
      </c>
    </row>
    <row r="770" spans="1:12">
      <c r="A770" s="6">
        <v>45989</v>
      </c>
      <c r="B770" t="s">
        <v>14</v>
      </c>
      <c r="C770" t="s">
        <v>15</v>
      </c>
      <c r="D770" s="2">
        <v>990.61577986588497</v>
      </c>
      <c r="E770" s="2">
        <v>995.58360270187802</v>
      </c>
      <c r="F770" s="2">
        <v>987.86134879225369</v>
      </c>
      <c r="G770" s="2">
        <v>991.20599365234375</v>
      </c>
      <c r="H770" s="3">
        <v>15988807</v>
      </c>
      <c r="I770" s="4">
        <f t="shared" ref="I770:I833" si="48">ROUND(((F770-D770)/D770)*100, 2)</f>
        <v>-0.28000000000000003</v>
      </c>
      <c r="J770" s="2">
        <f t="shared" ref="J770:J833" si="49">ROUND(E770-G770, 2)</f>
        <v>4.38</v>
      </c>
      <c r="K770" s="7">
        <f t="shared" ref="K770:K833" si="50">DATE(YEAR(A770),MONTH(A770),1)</f>
        <v>45962</v>
      </c>
      <c r="L770" t="str">
        <f t="shared" ref="L770:L833" si="51">"Q"&amp;INT((MONTH(A770)-1)/3)+1&amp;"-"&amp;YEAR(A770)</f>
        <v>Q4-2025</v>
      </c>
    </row>
    <row r="771" spans="1:12">
      <c r="A771" s="6">
        <v>45989</v>
      </c>
      <c r="B771" t="s">
        <v>16</v>
      </c>
      <c r="C771" t="s">
        <v>17</v>
      </c>
      <c r="D771" s="2">
        <v>1380.362896884518</v>
      </c>
      <c r="E771" s="2">
        <v>1386.8085569633599</v>
      </c>
      <c r="F771" s="2">
        <v>1374.016376596926</v>
      </c>
      <c r="G771" s="2">
        <v>1377.189697265625</v>
      </c>
      <c r="H771" s="3">
        <v>7683986</v>
      </c>
      <c r="I771" s="4">
        <f t="shared" si="48"/>
        <v>-0.46</v>
      </c>
      <c r="J771" s="2">
        <f t="shared" si="49"/>
        <v>9.6199999999999992</v>
      </c>
      <c r="K771" s="7">
        <f t="shared" si="50"/>
        <v>45962</v>
      </c>
      <c r="L771" t="str">
        <f t="shared" si="51"/>
        <v>Q4-2025</v>
      </c>
    </row>
    <row r="772" spans="1:12">
      <c r="A772" s="6">
        <v>45989</v>
      </c>
      <c r="B772" t="s">
        <v>18</v>
      </c>
      <c r="C772" t="s">
        <v>19</v>
      </c>
      <c r="D772" s="2">
        <v>241.91998195093089</v>
      </c>
      <c r="E772" s="2">
        <v>242.87417362837149</v>
      </c>
      <c r="F772" s="2">
        <v>239.60680872336181</v>
      </c>
      <c r="G772" s="2">
        <v>240.50315856933591</v>
      </c>
      <c r="H772" s="3">
        <v>7049965</v>
      </c>
      <c r="I772" s="4">
        <f t="shared" si="48"/>
        <v>-0.96</v>
      </c>
      <c r="J772" s="2">
        <f t="shared" si="49"/>
        <v>2.37</v>
      </c>
      <c r="K772" s="7">
        <f t="shared" si="50"/>
        <v>45962</v>
      </c>
      <c r="L772" t="str">
        <f t="shared" si="51"/>
        <v>Q4-2025</v>
      </c>
    </row>
    <row r="773" spans="1:12">
      <c r="A773" s="6">
        <v>45989</v>
      </c>
      <c r="B773" t="s">
        <v>20</v>
      </c>
      <c r="C773" t="s">
        <v>21</v>
      </c>
      <c r="D773" s="2">
        <v>1570.8656874034889</v>
      </c>
      <c r="E773" s="2">
        <v>1578.4837827268159</v>
      </c>
      <c r="F773" s="2">
        <v>1561.2225585673721</v>
      </c>
      <c r="G773" s="2">
        <v>1566.236938476562</v>
      </c>
      <c r="H773" s="3">
        <v>1841289</v>
      </c>
      <c r="I773" s="4">
        <f t="shared" si="48"/>
        <v>-0.61</v>
      </c>
      <c r="J773" s="2">
        <f t="shared" si="49"/>
        <v>12.25</v>
      </c>
      <c r="K773" s="7">
        <f t="shared" si="50"/>
        <v>45962</v>
      </c>
      <c r="L773" t="str">
        <f t="shared" si="51"/>
        <v>Q4-2025</v>
      </c>
    </row>
    <row r="774" spans="1:12">
      <c r="A774" s="6">
        <v>45989</v>
      </c>
      <c r="B774" t="s">
        <v>22</v>
      </c>
      <c r="C774" t="s">
        <v>23</v>
      </c>
      <c r="D774" s="2">
        <v>1031.6582000658891</v>
      </c>
      <c r="E774" s="2">
        <v>1037.1245970797249</v>
      </c>
      <c r="F774" s="2">
        <v>1024.7009675028239</v>
      </c>
      <c r="G774" s="2">
        <v>1031.161254882812</v>
      </c>
      <c r="H774" s="3">
        <v>4983147</v>
      </c>
      <c r="I774" s="4">
        <f t="shared" si="48"/>
        <v>-0.67</v>
      </c>
      <c r="J774" s="2">
        <f t="shared" si="49"/>
        <v>5.96</v>
      </c>
      <c r="K774" s="7">
        <f t="shared" si="50"/>
        <v>45962</v>
      </c>
      <c r="L774" t="str">
        <f t="shared" si="51"/>
        <v>Q4-2025</v>
      </c>
    </row>
    <row r="775" spans="1:12">
      <c r="A775" s="6">
        <v>45989</v>
      </c>
      <c r="B775" t="s">
        <v>24</v>
      </c>
      <c r="C775" t="s">
        <v>25</v>
      </c>
      <c r="D775" s="2">
        <v>15747.84366118809</v>
      </c>
      <c r="E775" s="2">
        <v>15889.421785389641</v>
      </c>
      <c r="F775" s="2">
        <v>15692.400479682579</v>
      </c>
      <c r="G775" s="2">
        <v>15741.9033203125</v>
      </c>
      <c r="H775" s="3">
        <v>352340</v>
      </c>
      <c r="I775" s="4">
        <f t="shared" si="48"/>
        <v>-0.35</v>
      </c>
      <c r="J775" s="2">
        <f t="shared" si="49"/>
        <v>147.52000000000001</v>
      </c>
      <c r="K775" s="7">
        <f t="shared" si="50"/>
        <v>45962</v>
      </c>
      <c r="L775" t="str">
        <f t="shared" si="51"/>
        <v>Q4-2025</v>
      </c>
    </row>
    <row r="776" spans="1:12">
      <c r="A776" s="6">
        <v>45989</v>
      </c>
      <c r="B776" t="s">
        <v>26</v>
      </c>
      <c r="C776" t="s">
        <v>27</v>
      </c>
      <c r="D776" s="2">
        <v>355.05470258959792</v>
      </c>
      <c r="E776" s="2">
        <v>356.79030518605538</v>
      </c>
      <c r="F776" s="2">
        <v>352.17856719734118</v>
      </c>
      <c r="G776" s="2">
        <v>353.86456298828119</v>
      </c>
      <c r="H776" s="3">
        <v>10905212</v>
      </c>
      <c r="I776" s="4">
        <f t="shared" si="48"/>
        <v>-0.81</v>
      </c>
      <c r="J776" s="2">
        <f t="shared" si="49"/>
        <v>2.93</v>
      </c>
      <c r="K776" s="7">
        <f t="shared" si="50"/>
        <v>45962</v>
      </c>
      <c r="L776" t="str">
        <f t="shared" si="51"/>
        <v>Q4-2025</v>
      </c>
    </row>
    <row r="777" spans="1:12">
      <c r="A777" s="6">
        <v>45989</v>
      </c>
      <c r="B777" t="s">
        <v>28</v>
      </c>
      <c r="C777" t="s">
        <v>29</v>
      </c>
      <c r="D777" s="2">
        <v>1793.915075064572</v>
      </c>
      <c r="E777" s="2">
        <v>1816.409569630164</v>
      </c>
      <c r="F777" s="2">
        <v>1791.140369397993</v>
      </c>
      <c r="G777" s="2">
        <v>1815.022216796875</v>
      </c>
      <c r="H777" s="3">
        <v>1623103</v>
      </c>
      <c r="I777" s="4">
        <f t="shared" si="48"/>
        <v>-0.15</v>
      </c>
      <c r="J777" s="2">
        <f t="shared" si="49"/>
        <v>1.39</v>
      </c>
      <c r="K777" s="7">
        <f t="shared" si="50"/>
        <v>45962</v>
      </c>
      <c r="L777" t="str">
        <f t="shared" si="51"/>
        <v>Q4-2025</v>
      </c>
    </row>
    <row r="778" spans="1:12">
      <c r="A778" s="6">
        <v>45989</v>
      </c>
      <c r="B778" t="s">
        <v>30</v>
      </c>
      <c r="C778" t="s">
        <v>31</v>
      </c>
      <c r="D778" s="2">
        <v>2855.2279543403338</v>
      </c>
      <c r="E778" s="2">
        <v>2865.04270361711</v>
      </c>
      <c r="F778" s="2">
        <v>2831.2361567432472</v>
      </c>
      <c r="G778" s="2">
        <v>2849.676025390625</v>
      </c>
      <c r="H778" s="3">
        <v>748446</v>
      </c>
      <c r="I778" s="4">
        <f t="shared" si="48"/>
        <v>-0.84</v>
      </c>
      <c r="J778" s="2">
        <f t="shared" si="49"/>
        <v>15.37</v>
      </c>
      <c r="K778" s="7">
        <f t="shared" si="50"/>
        <v>45962</v>
      </c>
      <c r="L778" t="str">
        <f t="shared" si="51"/>
        <v>Q4-2025</v>
      </c>
    </row>
    <row r="779" spans="1:12">
      <c r="A779" s="6">
        <v>45989</v>
      </c>
      <c r="B779" t="s">
        <v>32</v>
      </c>
      <c r="C779" t="s">
        <v>33</v>
      </c>
      <c r="D779" s="2">
        <v>2425.3307221458881</v>
      </c>
      <c r="E779" s="2">
        <v>2445.1293402858541</v>
      </c>
      <c r="F779" s="2">
        <v>2422.5588672698218</v>
      </c>
      <c r="G779" s="2">
        <v>2441.763671875</v>
      </c>
      <c r="H779" s="3">
        <v>973225</v>
      </c>
      <c r="I779" s="4">
        <f t="shared" si="48"/>
        <v>-0.11</v>
      </c>
      <c r="J779" s="2">
        <f t="shared" si="49"/>
        <v>3.37</v>
      </c>
      <c r="K779" s="7">
        <f t="shared" si="50"/>
        <v>45962</v>
      </c>
      <c r="L779" t="str">
        <f t="shared" si="51"/>
        <v>Q4-2025</v>
      </c>
    </row>
    <row r="780" spans="1:12">
      <c r="A780" s="6">
        <v>45989</v>
      </c>
      <c r="B780" t="s">
        <v>34</v>
      </c>
      <c r="C780" t="s">
        <v>35</v>
      </c>
      <c r="D780" s="2">
        <v>4045.486292526487</v>
      </c>
      <c r="E780" s="2">
        <v>4064.5007666881879</v>
      </c>
      <c r="F780" s="2">
        <v>4015.4793323803269</v>
      </c>
      <c r="G780" s="2">
        <v>4030.2353515625</v>
      </c>
      <c r="H780" s="3">
        <v>1318133</v>
      </c>
      <c r="I780" s="4">
        <f t="shared" si="48"/>
        <v>-0.74</v>
      </c>
      <c r="J780" s="2">
        <f t="shared" si="49"/>
        <v>34.270000000000003</v>
      </c>
      <c r="K780" s="7">
        <f t="shared" si="50"/>
        <v>45962</v>
      </c>
      <c r="L780" t="str">
        <f t="shared" si="51"/>
        <v>Q4-2025</v>
      </c>
    </row>
    <row r="781" spans="1:12">
      <c r="A781" s="6">
        <v>45989</v>
      </c>
      <c r="B781" t="s">
        <v>36</v>
      </c>
      <c r="C781" t="s">
        <v>37</v>
      </c>
      <c r="D781" s="2">
        <v>1286.307985726778</v>
      </c>
      <c r="E781" s="2">
        <v>1288.0066268242581</v>
      </c>
      <c r="F781" s="2">
        <v>1274.017415982102</v>
      </c>
      <c r="G781" s="2">
        <v>1278.713745117188</v>
      </c>
      <c r="H781" s="3">
        <v>3093636</v>
      </c>
      <c r="I781" s="4">
        <f t="shared" si="48"/>
        <v>-0.96</v>
      </c>
      <c r="J781" s="2">
        <f t="shared" si="49"/>
        <v>9.2899999999999991</v>
      </c>
      <c r="K781" s="7">
        <f t="shared" si="50"/>
        <v>45962</v>
      </c>
      <c r="L781" t="str">
        <f t="shared" si="51"/>
        <v>Q4-2025</v>
      </c>
    </row>
    <row r="782" spans="1:12">
      <c r="A782" s="6">
        <v>45992</v>
      </c>
      <c r="B782" t="s">
        <v>8</v>
      </c>
      <c r="C782" t="s">
        <v>9</v>
      </c>
      <c r="D782" s="2">
        <v>1567.7513979315311</v>
      </c>
      <c r="E782" s="2">
        <v>1570.2398922139621</v>
      </c>
      <c r="F782" s="2">
        <v>1556.403839701944</v>
      </c>
      <c r="G782" s="2">
        <v>1558.892333984375</v>
      </c>
      <c r="H782" s="3">
        <v>8920233</v>
      </c>
      <c r="I782" s="4">
        <f t="shared" si="48"/>
        <v>-0.72</v>
      </c>
      <c r="J782" s="2">
        <f t="shared" si="49"/>
        <v>11.35</v>
      </c>
      <c r="K782" s="7">
        <f t="shared" si="50"/>
        <v>45992</v>
      </c>
      <c r="L782" t="str">
        <f t="shared" si="51"/>
        <v>Q4-2025</v>
      </c>
    </row>
    <row r="783" spans="1:12">
      <c r="A783" s="6">
        <v>45992</v>
      </c>
      <c r="B783" t="s">
        <v>10</v>
      </c>
      <c r="C783" t="s">
        <v>11</v>
      </c>
      <c r="D783" s="2">
        <v>3024.065756616114</v>
      </c>
      <c r="E783" s="2">
        <v>3039.5817882027418</v>
      </c>
      <c r="F783" s="2">
        <v>3008.9353553295882</v>
      </c>
      <c r="G783" s="2">
        <v>3019.72900390625</v>
      </c>
      <c r="H783" s="3">
        <v>1747647</v>
      </c>
      <c r="I783" s="4">
        <f t="shared" si="48"/>
        <v>-0.5</v>
      </c>
      <c r="J783" s="2">
        <f t="shared" si="49"/>
        <v>19.850000000000001</v>
      </c>
      <c r="K783" s="7">
        <f t="shared" si="50"/>
        <v>45992</v>
      </c>
      <c r="L783" t="str">
        <f t="shared" si="51"/>
        <v>Q4-2025</v>
      </c>
    </row>
    <row r="784" spans="1:12">
      <c r="A784" s="6">
        <v>45992</v>
      </c>
      <c r="B784" t="s">
        <v>12</v>
      </c>
      <c r="C784" t="s">
        <v>13</v>
      </c>
      <c r="D784" s="2">
        <v>1529.4045743430061</v>
      </c>
      <c r="E784" s="2">
        <v>1540.66099201017</v>
      </c>
      <c r="F784" s="2">
        <v>1523.0422513137389</v>
      </c>
      <c r="G784" s="2">
        <v>1530.872802734375</v>
      </c>
      <c r="H784" s="3">
        <v>5341800</v>
      </c>
      <c r="I784" s="4">
        <f t="shared" si="48"/>
        <v>-0.42</v>
      </c>
      <c r="J784" s="2">
        <f t="shared" si="49"/>
        <v>9.7899999999999991</v>
      </c>
      <c r="K784" s="7">
        <f t="shared" si="50"/>
        <v>45992</v>
      </c>
      <c r="L784" t="str">
        <f t="shared" si="51"/>
        <v>Q4-2025</v>
      </c>
    </row>
    <row r="785" spans="1:12">
      <c r="A785" s="6">
        <v>45992</v>
      </c>
      <c r="B785" t="s">
        <v>14</v>
      </c>
      <c r="C785" t="s">
        <v>15</v>
      </c>
      <c r="D785" s="2">
        <v>1000.944932017152</v>
      </c>
      <c r="E785" s="2">
        <v>1000.944932017152</v>
      </c>
      <c r="F785" s="2">
        <v>983.04104014365987</v>
      </c>
      <c r="G785" s="2">
        <v>985.79547119140625</v>
      </c>
      <c r="H785" s="3">
        <v>16746566</v>
      </c>
      <c r="I785" s="4">
        <f t="shared" si="48"/>
        <v>-1.79</v>
      </c>
      <c r="J785" s="2">
        <f t="shared" si="49"/>
        <v>15.15</v>
      </c>
      <c r="K785" s="7">
        <f t="shared" si="50"/>
        <v>45992</v>
      </c>
      <c r="L785" t="str">
        <f t="shared" si="51"/>
        <v>Q4-2025</v>
      </c>
    </row>
    <row r="786" spans="1:12">
      <c r="A786" s="6">
        <v>45992</v>
      </c>
      <c r="B786" t="s">
        <v>16</v>
      </c>
      <c r="C786" t="s">
        <v>17</v>
      </c>
      <c r="D786" s="2">
        <v>1382.346180031629</v>
      </c>
      <c r="E786" s="2">
        <v>1388.296020117848</v>
      </c>
      <c r="F786" s="2">
        <v>1373.8181001180089</v>
      </c>
      <c r="G786" s="2">
        <v>1378.478759765625</v>
      </c>
      <c r="H786" s="3">
        <v>8867593</v>
      </c>
      <c r="I786" s="4">
        <f t="shared" si="48"/>
        <v>-0.62</v>
      </c>
      <c r="J786" s="2">
        <f t="shared" si="49"/>
        <v>9.82</v>
      </c>
      <c r="K786" s="7">
        <f t="shared" si="50"/>
        <v>45992</v>
      </c>
      <c r="L786" t="str">
        <f t="shared" si="51"/>
        <v>Q4-2025</v>
      </c>
    </row>
    <row r="787" spans="1:12">
      <c r="A787" s="6">
        <v>45992</v>
      </c>
      <c r="B787" t="s">
        <v>18</v>
      </c>
      <c r="C787" t="s">
        <v>19</v>
      </c>
      <c r="D787" s="2">
        <v>241.05254706736599</v>
      </c>
      <c r="E787" s="2">
        <v>241.67902719732231</v>
      </c>
      <c r="F787" s="2">
        <v>239.85739922566219</v>
      </c>
      <c r="G787" s="2">
        <v>241.22602844238281</v>
      </c>
      <c r="H787" s="3">
        <v>3865446</v>
      </c>
      <c r="I787" s="4">
        <f t="shared" si="48"/>
        <v>-0.5</v>
      </c>
      <c r="J787" s="2">
        <f t="shared" si="49"/>
        <v>0.45</v>
      </c>
      <c r="K787" s="7">
        <f t="shared" si="50"/>
        <v>45992</v>
      </c>
      <c r="L787" t="str">
        <f t="shared" si="51"/>
        <v>Q4-2025</v>
      </c>
    </row>
    <row r="788" spans="1:12">
      <c r="A788" s="6">
        <v>45992</v>
      </c>
      <c r="B788" t="s">
        <v>20</v>
      </c>
      <c r="C788" t="s">
        <v>21</v>
      </c>
      <c r="D788" s="2">
        <v>1571.8299936315991</v>
      </c>
      <c r="E788" s="2">
        <v>1587.74115614382</v>
      </c>
      <c r="F788" s="2">
        <v>1569.9013678725421</v>
      </c>
      <c r="G788" s="2">
        <v>1584.269653320312</v>
      </c>
      <c r="H788" s="3">
        <v>2034350</v>
      </c>
      <c r="I788" s="4">
        <f t="shared" si="48"/>
        <v>-0.12</v>
      </c>
      <c r="J788" s="2">
        <f t="shared" si="49"/>
        <v>3.47</v>
      </c>
      <c r="K788" s="7">
        <f t="shared" si="50"/>
        <v>45992</v>
      </c>
      <c r="L788" t="str">
        <f t="shared" si="51"/>
        <v>Q4-2025</v>
      </c>
    </row>
    <row r="789" spans="1:12">
      <c r="A789" s="6">
        <v>45992</v>
      </c>
      <c r="B789" t="s">
        <v>22</v>
      </c>
      <c r="C789" t="s">
        <v>23</v>
      </c>
      <c r="D789" s="2">
        <v>1035.534356502259</v>
      </c>
      <c r="E789" s="2">
        <v>1035.6337212701101</v>
      </c>
      <c r="F789" s="2">
        <v>1012.575453539323</v>
      </c>
      <c r="G789" s="2">
        <v>1014.861389160156</v>
      </c>
      <c r="H789" s="3">
        <v>6459837</v>
      </c>
      <c r="I789" s="4">
        <f t="shared" si="48"/>
        <v>-2.2200000000000002</v>
      </c>
      <c r="J789" s="2">
        <f t="shared" si="49"/>
        <v>20.77</v>
      </c>
      <c r="K789" s="7">
        <f t="shared" si="50"/>
        <v>45992</v>
      </c>
      <c r="L789" t="str">
        <f t="shared" si="51"/>
        <v>Q4-2025</v>
      </c>
    </row>
    <row r="790" spans="1:12">
      <c r="A790" s="6">
        <v>45992</v>
      </c>
      <c r="B790" t="s">
        <v>24</v>
      </c>
      <c r="C790" t="s">
        <v>25</v>
      </c>
      <c r="D790" s="2">
        <v>15816.157406137891</v>
      </c>
      <c r="E790" s="2">
        <v>16016.148880068389</v>
      </c>
      <c r="F790" s="2">
        <v>15693.390362734999</v>
      </c>
      <c r="G790" s="2">
        <v>15936.9443359375</v>
      </c>
      <c r="H790" s="3">
        <v>434052</v>
      </c>
      <c r="I790" s="4">
        <f t="shared" si="48"/>
        <v>-0.78</v>
      </c>
      <c r="J790" s="2">
        <f t="shared" si="49"/>
        <v>79.2</v>
      </c>
      <c r="K790" s="7">
        <f t="shared" si="50"/>
        <v>45992</v>
      </c>
      <c r="L790" t="str">
        <f t="shared" si="51"/>
        <v>Q4-2025</v>
      </c>
    </row>
    <row r="791" spans="1:12">
      <c r="A791" s="6">
        <v>45992</v>
      </c>
      <c r="B791" t="s">
        <v>26</v>
      </c>
      <c r="C791" t="s">
        <v>27</v>
      </c>
      <c r="D791" s="2">
        <v>356.04647840726079</v>
      </c>
      <c r="E791" s="2">
        <v>361.99711592938769</v>
      </c>
      <c r="F791" s="2">
        <v>355.74895863775748</v>
      </c>
      <c r="G791" s="2">
        <v>360.80697631835938</v>
      </c>
      <c r="H791" s="3">
        <v>12714139</v>
      </c>
      <c r="I791" s="4">
        <f t="shared" si="48"/>
        <v>-0.08</v>
      </c>
      <c r="J791" s="2">
        <f t="shared" si="49"/>
        <v>1.19</v>
      </c>
      <c r="K791" s="7">
        <f t="shared" si="50"/>
        <v>45992</v>
      </c>
      <c r="L791" t="str">
        <f t="shared" si="51"/>
        <v>Q4-2025</v>
      </c>
    </row>
    <row r="792" spans="1:12">
      <c r="A792" s="6">
        <v>45992</v>
      </c>
      <c r="B792" t="s">
        <v>28</v>
      </c>
      <c r="C792" t="s">
        <v>29</v>
      </c>
      <c r="D792" s="2">
        <v>1824.3371222136971</v>
      </c>
      <c r="E792" s="2">
        <v>1832.264714271116</v>
      </c>
      <c r="F792" s="2">
        <v>1784.699161926598</v>
      </c>
      <c r="G792" s="2">
        <v>1791.041259765625</v>
      </c>
      <c r="H792" s="3">
        <v>1869293</v>
      </c>
      <c r="I792" s="4">
        <f t="shared" si="48"/>
        <v>-2.17</v>
      </c>
      <c r="J792" s="2">
        <f t="shared" si="49"/>
        <v>41.22</v>
      </c>
      <c r="K792" s="7">
        <f t="shared" si="50"/>
        <v>45992</v>
      </c>
      <c r="L792" t="str">
        <f t="shared" si="51"/>
        <v>Q4-2025</v>
      </c>
    </row>
    <row r="793" spans="1:12">
      <c r="A793" s="6">
        <v>45992</v>
      </c>
      <c r="B793" t="s">
        <v>30</v>
      </c>
      <c r="C793" t="s">
        <v>31</v>
      </c>
      <c r="D793" s="2">
        <v>2852.9477954137251</v>
      </c>
      <c r="E793" s="2">
        <v>2862.6635504172168</v>
      </c>
      <c r="F793" s="2">
        <v>2823.503304446142</v>
      </c>
      <c r="G793" s="2">
        <v>2842.934814453125</v>
      </c>
      <c r="H793" s="3">
        <v>499153</v>
      </c>
      <c r="I793" s="4">
        <f t="shared" si="48"/>
        <v>-1.03</v>
      </c>
      <c r="J793" s="2">
        <f t="shared" si="49"/>
        <v>19.73</v>
      </c>
      <c r="K793" s="7">
        <f t="shared" si="50"/>
        <v>45992</v>
      </c>
      <c r="L793" t="str">
        <f t="shared" si="51"/>
        <v>Q4-2025</v>
      </c>
    </row>
    <row r="794" spans="1:12">
      <c r="A794" s="6">
        <v>45992</v>
      </c>
      <c r="B794" t="s">
        <v>32</v>
      </c>
      <c r="C794" t="s">
        <v>33</v>
      </c>
      <c r="D794" s="2">
        <v>2441.7635217623279</v>
      </c>
      <c r="E794" s="2">
        <v>2462.947945196795</v>
      </c>
      <c r="F794" s="2">
        <v>2434.042012825968</v>
      </c>
      <c r="G794" s="2">
        <v>2439.6845703125</v>
      </c>
      <c r="H794" s="3">
        <v>1924828</v>
      </c>
      <c r="I794" s="4">
        <f t="shared" si="48"/>
        <v>-0.32</v>
      </c>
      <c r="J794" s="2">
        <f t="shared" si="49"/>
        <v>23.26</v>
      </c>
      <c r="K794" s="7">
        <f t="shared" si="50"/>
        <v>45992</v>
      </c>
      <c r="L794" t="str">
        <f t="shared" si="51"/>
        <v>Q4-2025</v>
      </c>
    </row>
    <row r="795" spans="1:12">
      <c r="A795" s="6">
        <v>45992</v>
      </c>
      <c r="B795" t="s">
        <v>34</v>
      </c>
      <c r="C795" t="s">
        <v>35</v>
      </c>
      <c r="D795" s="2">
        <v>4047.4668552964499</v>
      </c>
      <c r="E795" s="2">
        <v>4063.7081230151739</v>
      </c>
      <c r="F795" s="2">
        <v>4010.824752618209</v>
      </c>
      <c r="G795" s="2">
        <v>4033.80029296875</v>
      </c>
      <c r="H795" s="3">
        <v>1251770</v>
      </c>
      <c r="I795" s="4">
        <f t="shared" si="48"/>
        <v>-0.91</v>
      </c>
      <c r="J795" s="2">
        <f t="shared" si="49"/>
        <v>29.91</v>
      </c>
      <c r="K795" s="7">
        <f t="shared" si="50"/>
        <v>45992</v>
      </c>
      <c r="L795" t="str">
        <f t="shared" si="51"/>
        <v>Q4-2025</v>
      </c>
    </row>
    <row r="796" spans="1:12">
      <c r="A796" s="6">
        <v>45992</v>
      </c>
      <c r="B796" t="s">
        <v>36</v>
      </c>
      <c r="C796" t="s">
        <v>37</v>
      </c>
      <c r="D796" s="2">
        <v>1287.0074895694329</v>
      </c>
      <c r="E796" s="2">
        <v>1288.0067189868</v>
      </c>
      <c r="F796" s="2">
        <v>1267.5225159307649</v>
      </c>
      <c r="G796" s="2">
        <v>1274.716918945312</v>
      </c>
      <c r="H796" s="3">
        <v>4098016</v>
      </c>
      <c r="I796" s="4">
        <f t="shared" si="48"/>
        <v>-1.51</v>
      </c>
      <c r="J796" s="2">
        <f t="shared" si="49"/>
        <v>13.29</v>
      </c>
      <c r="K796" s="7">
        <f t="shared" si="50"/>
        <v>45992</v>
      </c>
      <c r="L796" t="str">
        <f t="shared" si="51"/>
        <v>Q4-2025</v>
      </c>
    </row>
    <row r="797" spans="1:12">
      <c r="A797" s="6">
        <v>45993</v>
      </c>
      <c r="B797" t="s">
        <v>8</v>
      </c>
      <c r="C797" t="s">
        <v>9</v>
      </c>
      <c r="D797" s="2">
        <v>1553.915284347584</v>
      </c>
      <c r="E797" s="2">
        <v>1560.2858537619329</v>
      </c>
      <c r="F797" s="2">
        <v>1534.903213078725</v>
      </c>
      <c r="G797" s="2">
        <v>1539.183471679688</v>
      </c>
      <c r="H797" s="3">
        <v>11389150</v>
      </c>
      <c r="I797" s="4">
        <f t="shared" si="48"/>
        <v>-1.22</v>
      </c>
      <c r="J797" s="2">
        <f t="shared" si="49"/>
        <v>21.1</v>
      </c>
      <c r="K797" s="7">
        <f t="shared" si="50"/>
        <v>45992</v>
      </c>
      <c r="L797" t="str">
        <f t="shared" si="51"/>
        <v>Q4-2025</v>
      </c>
    </row>
    <row r="798" spans="1:12">
      <c r="A798" s="6">
        <v>45993</v>
      </c>
      <c r="B798" t="s">
        <v>10</v>
      </c>
      <c r="C798" t="s">
        <v>11</v>
      </c>
      <c r="D798" s="2">
        <v>3017.4161065078192</v>
      </c>
      <c r="E798" s="2">
        <v>3029.944502989646</v>
      </c>
      <c r="F798" s="2">
        <v>3007.200550647543</v>
      </c>
      <c r="G798" s="2">
        <v>3021.945556640625</v>
      </c>
      <c r="H798" s="3">
        <v>2512003</v>
      </c>
      <c r="I798" s="4">
        <f t="shared" si="48"/>
        <v>-0.34</v>
      </c>
      <c r="J798" s="2">
        <f t="shared" si="49"/>
        <v>8</v>
      </c>
      <c r="K798" s="7">
        <f t="shared" si="50"/>
        <v>45992</v>
      </c>
      <c r="L798" t="str">
        <f t="shared" si="51"/>
        <v>Q4-2025</v>
      </c>
    </row>
    <row r="799" spans="1:12">
      <c r="A799" s="6">
        <v>45993</v>
      </c>
      <c r="B799" t="s">
        <v>12</v>
      </c>
      <c r="C799" t="s">
        <v>13</v>
      </c>
      <c r="D799" s="2">
        <v>1533.8093151456651</v>
      </c>
      <c r="E799" s="2">
        <v>1546.436103666339</v>
      </c>
      <c r="F799" s="2">
        <v>1523.1401645511501</v>
      </c>
      <c r="G799" s="2">
        <v>1527.936401367188</v>
      </c>
      <c r="H799" s="3">
        <v>6335969</v>
      </c>
      <c r="I799" s="4">
        <f t="shared" si="48"/>
        <v>-0.7</v>
      </c>
      <c r="J799" s="2">
        <f t="shared" si="49"/>
        <v>18.5</v>
      </c>
      <c r="K799" s="7">
        <f t="shared" si="50"/>
        <v>45992</v>
      </c>
      <c r="L799" t="str">
        <f t="shared" si="51"/>
        <v>Q4-2025</v>
      </c>
    </row>
    <row r="800" spans="1:12">
      <c r="A800" s="6">
        <v>45993</v>
      </c>
      <c r="B800" t="s">
        <v>14</v>
      </c>
      <c r="C800" t="s">
        <v>15</v>
      </c>
      <c r="D800" s="2">
        <v>971.92491627398431</v>
      </c>
      <c r="E800" s="2">
        <v>978.22081019381142</v>
      </c>
      <c r="F800" s="2">
        <v>968.97372725695811</v>
      </c>
      <c r="G800" s="2">
        <v>973.69561767578125</v>
      </c>
      <c r="H800" s="3">
        <v>27316662</v>
      </c>
      <c r="I800" s="4">
        <f t="shared" si="48"/>
        <v>-0.3</v>
      </c>
      <c r="J800" s="2">
        <f t="shared" si="49"/>
        <v>4.53</v>
      </c>
      <c r="K800" s="7">
        <f t="shared" si="50"/>
        <v>45992</v>
      </c>
      <c r="L800" t="str">
        <f t="shared" si="51"/>
        <v>Q4-2025</v>
      </c>
    </row>
    <row r="801" spans="1:12">
      <c r="A801" s="6">
        <v>45993</v>
      </c>
      <c r="B801" t="s">
        <v>16</v>
      </c>
      <c r="C801" t="s">
        <v>17</v>
      </c>
      <c r="D801" s="2">
        <v>1370.2482089901271</v>
      </c>
      <c r="E801" s="2">
        <v>1370.2482089901271</v>
      </c>
      <c r="F801" s="2">
        <v>1359.1417682907791</v>
      </c>
      <c r="G801" s="2">
        <v>1361.521728515625</v>
      </c>
      <c r="H801" s="3">
        <v>12126396</v>
      </c>
      <c r="I801" s="4">
        <f t="shared" si="48"/>
        <v>-0.81</v>
      </c>
      <c r="J801" s="2">
        <f t="shared" si="49"/>
        <v>8.73</v>
      </c>
      <c r="K801" s="7">
        <f t="shared" si="50"/>
        <v>45992</v>
      </c>
      <c r="L801" t="str">
        <f t="shared" si="51"/>
        <v>Q4-2025</v>
      </c>
    </row>
    <row r="802" spans="1:12">
      <c r="A802" s="6">
        <v>45993</v>
      </c>
      <c r="B802" t="s">
        <v>18</v>
      </c>
      <c r="C802" t="s">
        <v>19</v>
      </c>
      <c r="D802" s="2">
        <v>240.95616195066569</v>
      </c>
      <c r="E802" s="2">
        <v>242.3537047486202</v>
      </c>
      <c r="F802" s="2">
        <v>239.8670353924737</v>
      </c>
      <c r="G802" s="2">
        <v>241.12001037597659</v>
      </c>
      <c r="H802" s="3">
        <v>8535708</v>
      </c>
      <c r="I802" s="4">
        <f t="shared" si="48"/>
        <v>-0.45</v>
      </c>
      <c r="J802" s="2">
        <f t="shared" si="49"/>
        <v>1.23</v>
      </c>
      <c r="K802" s="7">
        <f t="shared" si="50"/>
        <v>45992</v>
      </c>
      <c r="L802" t="str">
        <f t="shared" si="51"/>
        <v>Q4-2025</v>
      </c>
    </row>
    <row r="803" spans="1:12">
      <c r="A803" s="6">
        <v>45993</v>
      </c>
      <c r="B803" t="s">
        <v>20</v>
      </c>
      <c r="C803" t="s">
        <v>21</v>
      </c>
      <c r="D803" s="2">
        <v>1592.080516174932</v>
      </c>
      <c r="E803" s="2">
        <v>1593.9127341336759</v>
      </c>
      <c r="F803" s="2">
        <v>1566.044069211441</v>
      </c>
      <c r="G803" s="2">
        <v>1577.133666992188</v>
      </c>
      <c r="H803" s="3">
        <v>2326220</v>
      </c>
      <c r="I803" s="4">
        <f t="shared" si="48"/>
        <v>-1.64</v>
      </c>
      <c r="J803" s="2">
        <f t="shared" si="49"/>
        <v>16.78</v>
      </c>
      <c r="K803" s="7">
        <f t="shared" si="50"/>
        <v>45992</v>
      </c>
      <c r="L803" t="str">
        <f t="shared" si="51"/>
        <v>Q4-2025</v>
      </c>
    </row>
    <row r="804" spans="1:12">
      <c r="A804" s="6">
        <v>45993</v>
      </c>
      <c r="B804" t="s">
        <v>22</v>
      </c>
      <c r="C804" t="s">
        <v>23</v>
      </c>
      <c r="D804" s="2">
        <v>1008.301764210627</v>
      </c>
      <c r="E804" s="2">
        <v>1029.6704068232721</v>
      </c>
      <c r="F804" s="2">
        <v>1007.7054542630819</v>
      </c>
      <c r="G804" s="2">
        <v>1019.234558105469</v>
      </c>
      <c r="H804" s="3">
        <v>6706145</v>
      </c>
      <c r="I804" s="4">
        <f t="shared" si="48"/>
        <v>-0.06</v>
      </c>
      <c r="J804" s="2">
        <f t="shared" si="49"/>
        <v>10.44</v>
      </c>
      <c r="K804" s="7">
        <f t="shared" si="50"/>
        <v>45992</v>
      </c>
      <c r="L804" t="str">
        <f t="shared" si="51"/>
        <v>Q4-2025</v>
      </c>
    </row>
    <row r="805" spans="1:12">
      <c r="A805" s="6">
        <v>45993</v>
      </c>
      <c r="B805" t="s">
        <v>24</v>
      </c>
      <c r="C805" t="s">
        <v>25</v>
      </c>
      <c r="D805" s="2">
        <v>15966.64586598765</v>
      </c>
      <c r="E805" s="2">
        <v>16099.313475961129</v>
      </c>
      <c r="F805" s="2">
        <v>15934.964048680549</v>
      </c>
      <c r="G805" s="2">
        <v>16077.5322265625</v>
      </c>
      <c r="H805" s="3">
        <v>383165</v>
      </c>
      <c r="I805" s="4">
        <f t="shared" si="48"/>
        <v>-0.2</v>
      </c>
      <c r="J805" s="2">
        <f t="shared" si="49"/>
        <v>21.78</v>
      </c>
      <c r="K805" s="7">
        <f t="shared" si="50"/>
        <v>45992</v>
      </c>
      <c r="L805" t="str">
        <f t="shared" si="51"/>
        <v>Q4-2025</v>
      </c>
    </row>
    <row r="806" spans="1:12">
      <c r="A806" s="6">
        <v>45993</v>
      </c>
      <c r="B806" t="s">
        <v>26</v>
      </c>
      <c r="C806" t="s">
        <v>27</v>
      </c>
      <c r="D806" s="2">
        <v>361.00535388411367</v>
      </c>
      <c r="E806" s="2">
        <v>361.00535388411367</v>
      </c>
      <c r="F806" s="2">
        <v>356.64155895639863</v>
      </c>
      <c r="G806" s="2">
        <v>358.77386474609381</v>
      </c>
      <c r="H806" s="3">
        <v>8576018</v>
      </c>
      <c r="I806" s="4">
        <f t="shared" si="48"/>
        <v>-1.21</v>
      </c>
      <c r="J806" s="2">
        <f t="shared" si="49"/>
        <v>2.23</v>
      </c>
      <c r="K806" s="7">
        <f t="shared" si="50"/>
        <v>45992</v>
      </c>
      <c r="L806" t="str">
        <f t="shared" si="51"/>
        <v>Q4-2025</v>
      </c>
    </row>
    <row r="807" spans="1:12">
      <c r="A807" s="6">
        <v>45993</v>
      </c>
      <c r="B807" t="s">
        <v>28</v>
      </c>
      <c r="C807" t="s">
        <v>29</v>
      </c>
      <c r="D807" s="2">
        <v>1787.6720391623539</v>
      </c>
      <c r="E807" s="2">
        <v>1798.4734077162379</v>
      </c>
      <c r="F807" s="2">
        <v>1772.411400000803</v>
      </c>
      <c r="G807" s="2">
        <v>1783.212768554688</v>
      </c>
      <c r="H807" s="3">
        <v>2948688</v>
      </c>
      <c r="I807" s="4">
        <f t="shared" si="48"/>
        <v>-0.85</v>
      </c>
      <c r="J807" s="2">
        <f t="shared" si="49"/>
        <v>15.26</v>
      </c>
      <c r="K807" s="7">
        <f t="shared" si="50"/>
        <v>45992</v>
      </c>
      <c r="L807" t="str">
        <f t="shared" si="51"/>
        <v>Q4-2025</v>
      </c>
    </row>
    <row r="808" spans="1:12">
      <c r="A808" s="6">
        <v>45993</v>
      </c>
      <c r="B808" t="s">
        <v>30</v>
      </c>
      <c r="C808" t="s">
        <v>31</v>
      </c>
      <c r="D808" s="2">
        <v>2842.339893028985</v>
      </c>
      <c r="E808" s="2">
        <v>2936.5227635688361</v>
      </c>
      <c r="F808" s="2">
        <v>2836.5897325247311</v>
      </c>
      <c r="G808" s="2">
        <v>2928.988037109375</v>
      </c>
      <c r="H808" s="3">
        <v>2102147</v>
      </c>
      <c r="I808" s="4">
        <f t="shared" si="48"/>
        <v>-0.2</v>
      </c>
      <c r="J808" s="2">
        <f t="shared" si="49"/>
        <v>7.53</v>
      </c>
      <c r="K808" s="7">
        <f t="shared" si="50"/>
        <v>45992</v>
      </c>
      <c r="L808" t="str">
        <f t="shared" si="51"/>
        <v>Q4-2025</v>
      </c>
    </row>
    <row r="809" spans="1:12">
      <c r="A809" s="6">
        <v>45993</v>
      </c>
      <c r="B809" t="s">
        <v>32</v>
      </c>
      <c r="C809" t="s">
        <v>33</v>
      </c>
      <c r="D809" s="2">
        <v>2446.1192516279079</v>
      </c>
      <c r="E809" s="2">
        <v>2459.3842290026469</v>
      </c>
      <c r="F809" s="2">
        <v>2435.2300117380219</v>
      </c>
      <c r="G809" s="2">
        <v>2452.850830078125</v>
      </c>
      <c r="H809" s="3">
        <v>2179406</v>
      </c>
      <c r="I809" s="4">
        <f t="shared" si="48"/>
        <v>-0.45</v>
      </c>
      <c r="J809" s="2">
        <f t="shared" si="49"/>
        <v>6.53</v>
      </c>
      <c r="K809" s="7">
        <f t="shared" si="50"/>
        <v>45992</v>
      </c>
      <c r="L809" t="str">
        <f t="shared" si="51"/>
        <v>Q4-2025</v>
      </c>
    </row>
    <row r="810" spans="1:12">
      <c r="A810" s="6">
        <v>45993</v>
      </c>
      <c r="B810" t="s">
        <v>34</v>
      </c>
      <c r="C810" t="s">
        <v>35</v>
      </c>
      <c r="D810" s="2">
        <v>4027.1652037915478</v>
      </c>
      <c r="E810" s="2">
        <v>4049.0515296938338</v>
      </c>
      <c r="F810" s="2">
        <v>3984.8782844351058</v>
      </c>
      <c r="G810" s="2">
        <v>3991.513427734375</v>
      </c>
      <c r="H810" s="3">
        <v>1490917</v>
      </c>
      <c r="I810" s="4">
        <f t="shared" si="48"/>
        <v>-1.05</v>
      </c>
      <c r="J810" s="2">
        <f t="shared" si="49"/>
        <v>57.54</v>
      </c>
      <c r="K810" s="7">
        <f t="shared" si="50"/>
        <v>45992</v>
      </c>
      <c r="L810" t="str">
        <f t="shared" si="51"/>
        <v>Q4-2025</v>
      </c>
    </row>
    <row r="811" spans="1:12">
      <c r="A811" s="6">
        <v>45993</v>
      </c>
      <c r="B811" t="s">
        <v>36</v>
      </c>
      <c r="C811" t="s">
        <v>37</v>
      </c>
      <c r="D811" s="2">
        <v>1269.7206814849601</v>
      </c>
      <c r="E811" s="2">
        <v>1280.0127925417951</v>
      </c>
      <c r="F811" s="2">
        <v>1254.1327280787621</v>
      </c>
      <c r="G811" s="2">
        <v>1257.030517578125</v>
      </c>
      <c r="H811" s="3">
        <v>8115347</v>
      </c>
      <c r="I811" s="4">
        <f t="shared" si="48"/>
        <v>-1.23</v>
      </c>
      <c r="J811" s="2">
        <f t="shared" si="49"/>
        <v>22.98</v>
      </c>
      <c r="K811" s="7">
        <f t="shared" si="50"/>
        <v>45992</v>
      </c>
      <c r="L811" t="str">
        <f t="shared" si="51"/>
        <v>Q4-2025</v>
      </c>
    </row>
    <row r="812" spans="1:12">
      <c r="A812" s="6">
        <v>45994</v>
      </c>
      <c r="B812" t="s">
        <v>8</v>
      </c>
      <c r="C812" t="s">
        <v>9</v>
      </c>
      <c r="D812" s="2">
        <v>1538.0884656023029</v>
      </c>
      <c r="E812" s="2">
        <v>1545.2554018922649</v>
      </c>
      <c r="F812" s="2">
        <v>1525.944662359143</v>
      </c>
      <c r="G812" s="2">
        <v>1531.718017578125</v>
      </c>
      <c r="H812" s="3">
        <v>6090883</v>
      </c>
      <c r="I812" s="4">
        <f t="shared" si="48"/>
        <v>-0.79</v>
      </c>
      <c r="J812" s="2">
        <f t="shared" si="49"/>
        <v>13.54</v>
      </c>
      <c r="K812" s="7">
        <f t="shared" si="50"/>
        <v>45992</v>
      </c>
      <c r="L812" t="str">
        <f t="shared" si="51"/>
        <v>Q4-2025</v>
      </c>
    </row>
    <row r="813" spans="1:12">
      <c r="A813" s="6">
        <v>45994</v>
      </c>
      <c r="B813" t="s">
        <v>10</v>
      </c>
      <c r="C813" t="s">
        <v>11</v>
      </c>
      <c r="D813" s="2">
        <v>3026.0895166936912</v>
      </c>
      <c r="E813" s="2">
        <v>3095.3810901757679</v>
      </c>
      <c r="F813" s="2">
        <v>3025.1257939176739</v>
      </c>
      <c r="G813" s="2">
        <v>3064.638427734375</v>
      </c>
      <c r="H813" s="3">
        <v>3952112</v>
      </c>
      <c r="I813" s="4">
        <f t="shared" si="48"/>
        <v>-0.03</v>
      </c>
      <c r="J813" s="2">
        <f t="shared" si="49"/>
        <v>30.74</v>
      </c>
      <c r="K813" s="7">
        <f t="shared" si="50"/>
        <v>45992</v>
      </c>
      <c r="L813" t="str">
        <f t="shared" si="51"/>
        <v>Q4-2025</v>
      </c>
    </row>
    <row r="814" spans="1:12">
      <c r="A814" s="6">
        <v>45994</v>
      </c>
      <c r="B814" t="s">
        <v>12</v>
      </c>
      <c r="C814" t="s">
        <v>13</v>
      </c>
      <c r="D814" s="2">
        <v>1522.161370598096</v>
      </c>
      <c r="E814" s="2">
        <v>1552.4069009511541</v>
      </c>
      <c r="F814" s="2">
        <v>1521.182551618934</v>
      </c>
      <c r="G814" s="2">
        <v>1545.261474609375</v>
      </c>
      <c r="H814" s="3">
        <v>12895312</v>
      </c>
      <c r="I814" s="4">
        <f t="shared" si="48"/>
        <v>-0.06</v>
      </c>
      <c r="J814" s="2">
        <f t="shared" si="49"/>
        <v>7.15</v>
      </c>
      <c r="K814" s="7">
        <f t="shared" si="50"/>
        <v>45992</v>
      </c>
      <c r="L814" t="str">
        <f t="shared" si="51"/>
        <v>Q4-2025</v>
      </c>
    </row>
    <row r="815" spans="1:12">
      <c r="A815" s="6">
        <v>45994</v>
      </c>
      <c r="B815" t="s">
        <v>14</v>
      </c>
      <c r="C815" t="s">
        <v>15</v>
      </c>
      <c r="D815" s="2">
        <v>969.95741692142201</v>
      </c>
      <c r="E815" s="2">
        <v>985.9921979107919</v>
      </c>
      <c r="F815" s="2">
        <v>969.95741692142201</v>
      </c>
      <c r="G815" s="2">
        <v>984.22149658203125</v>
      </c>
      <c r="H815" s="3">
        <v>15448777</v>
      </c>
      <c r="I815" s="4">
        <f t="shared" si="48"/>
        <v>0</v>
      </c>
      <c r="J815" s="2">
        <f t="shared" si="49"/>
        <v>1.77</v>
      </c>
      <c r="K815" s="7">
        <f t="shared" si="50"/>
        <v>45992</v>
      </c>
      <c r="L815" t="str">
        <f t="shared" si="51"/>
        <v>Q4-2025</v>
      </c>
    </row>
    <row r="816" spans="1:12">
      <c r="A816" s="6">
        <v>45994</v>
      </c>
      <c r="B816" t="s">
        <v>16</v>
      </c>
      <c r="C816" t="s">
        <v>17</v>
      </c>
      <c r="D816" s="2">
        <v>1355.5718853340879</v>
      </c>
      <c r="E816" s="2">
        <v>1382.5444450203011</v>
      </c>
      <c r="F816" s="2">
        <v>1355.5718853340879</v>
      </c>
      <c r="G816" s="2">
        <v>1379.867065429688</v>
      </c>
      <c r="H816" s="3">
        <v>7955933</v>
      </c>
      <c r="I816" s="4">
        <f t="shared" si="48"/>
        <v>0</v>
      </c>
      <c r="J816" s="2">
        <f t="shared" si="49"/>
        <v>2.68</v>
      </c>
      <c r="K816" s="7">
        <f t="shared" si="50"/>
        <v>45992</v>
      </c>
      <c r="L816" t="str">
        <f t="shared" si="51"/>
        <v>Q4-2025</v>
      </c>
    </row>
    <row r="817" spans="1:12">
      <c r="A817" s="6">
        <v>45994</v>
      </c>
      <c r="B817" t="s">
        <v>18</v>
      </c>
      <c r="C817" t="s">
        <v>19</v>
      </c>
      <c r="D817" s="2">
        <v>241.5344621919815</v>
      </c>
      <c r="E817" s="2">
        <v>247.82823595438219</v>
      </c>
      <c r="F817" s="2">
        <v>241.48626801831779</v>
      </c>
      <c r="G817" s="2">
        <v>245.47650146484381</v>
      </c>
      <c r="H817" s="3">
        <v>17215454</v>
      </c>
      <c r="I817" s="4">
        <f t="shared" si="48"/>
        <v>-0.02</v>
      </c>
      <c r="J817" s="2">
        <f t="shared" si="49"/>
        <v>2.35</v>
      </c>
      <c r="K817" s="7">
        <f t="shared" si="50"/>
        <v>45992</v>
      </c>
      <c r="L817" t="str">
        <f t="shared" si="51"/>
        <v>Q4-2025</v>
      </c>
    </row>
    <row r="818" spans="1:12">
      <c r="A818" s="6">
        <v>45994</v>
      </c>
      <c r="B818" t="s">
        <v>20</v>
      </c>
      <c r="C818" t="s">
        <v>21</v>
      </c>
      <c r="D818" s="2">
        <v>1577.133636037448</v>
      </c>
      <c r="E818" s="2">
        <v>1595.5519875776961</v>
      </c>
      <c r="F818" s="2">
        <v>1570.672787151497</v>
      </c>
      <c r="G818" s="2">
        <v>1581.955200195312</v>
      </c>
      <c r="H818" s="3">
        <v>2371611</v>
      </c>
      <c r="I818" s="4">
        <f t="shared" si="48"/>
        <v>-0.41</v>
      </c>
      <c r="J818" s="2">
        <f t="shared" si="49"/>
        <v>13.6</v>
      </c>
      <c r="K818" s="7">
        <f t="shared" si="50"/>
        <v>45992</v>
      </c>
      <c r="L818" t="str">
        <f t="shared" si="51"/>
        <v>Q4-2025</v>
      </c>
    </row>
    <row r="819" spans="1:12">
      <c r="A819" s="6">
        <v>45994</v>
      </c>
      <c r="B819" t="s">
        <v>22</v>
      </c>
      <c r="C819" t="s">
        <v>23</v>
      </c>
      <c r="D819" s="2">
        <v>1014.762026536847</v>
      </c>
      <c r="E819" s="2">
        <v>1020.029693813608</v>
      </c>
      <c r="F819" s="2">
        <v>1008.0035844279161</v>
      </c>
      <c r="G819" s="2">
        <v>1015.159606933594</v>
      </c>
      <c r="H819" s="3">
        <v>5895670</v>
      </c>
      <c r="I819" s="4">
        <f t="shared" si="48"/>
        <v>-0.67</v>
      </c>
      <c r="J819" s="2">
        <f t="shared" si="49"/>
        <v>4.87</v>
      </c>
      <c r="K819" s="7">
        <f t="shared" si="50"/>
        <v>45992</v>
      </c>
      <c r="L819" t="str">
        <f t="shared" si="51"/>
        <v>Q4-2025</v>
      </c>
    </row>
    <row r="820" spans="1:12">
      <c r="A820" s="6">
        <v>45994</v>
      </c>
      <c r="B820" t="s">
        <v>24</v>
      </c>
      <c r="C820" t="s">
        <v>25</v>
      </c>
      <c r="D820" s="2">
        <v>16057.73153409091</v>
      </c>
      <c r="E820" s="2">
        <v>16086.44318181818</v>
      </c>
      <c r="F820" s="2">
        <v>15850.80965909091</v>
      </c>
      <c r="G820" s="2">
        <v>15922.09375</v>
      </c>
      <c r="H820" s="3">
        <v>264397</v>
      </c>
      <c r="I820" s="4">
        <f t="shared" si="48"/>
        <v>-1.29</v>
      </c>
      <c r="J820" s="2">
        <f t="shared" si="49"/>
        <v>164.35</v>
      </c>
      <c r="K820" s="7">
        <f t="shared" si="50"/>
        <v>45992</v>
      </c>
      <c r="L820" t="str">
        <f t="shared" si="51"/>
        <v>Q4-2025</v>
      </c>
    </row>
    <row r="821" spans="1:12">
      <c r="A821" s="6">
        <v>45994</v>
      </c>
      <c r="B821" t="s">
        <v>26</v>
      </c>
      <c r="C821" t="s">
        <v>27</v>
      </c>
      <c r="D821" s="2">
        <v>358.72428944891197</v>
      </c>
      <c r="E821" s="2">
        <v>358.72428944891197</v>
      </c>
      <c r="F821" s="2">
        <v>351.18680894772098</v>
      </c>
      <c r="G821" s="2">
        <v>353.9141845703125</v>
      </c>
      <c r="H821" s="3">
        <v>9504331</v>
      </c>
      <c r="I821" s="4">
        <f t="shared" si="48"/>
        <v>-2.1</v>
      </c>
      <c r="J821" s="2">
        <f t="shared" si="49"/>
        <v>4.8099999999999996</v>
      </c>
      <c r="K821" s="7">
        <f t="shared" si="50"/>
        <v>45992</v>
      </c>
      <c r="L821" t="str">
        <f t="shared" si="51"/>
        <v>Q4-2025</v>
      </c>
    </row>
    <row r="822" spans="1:12">
      <c r="A822" s="6">
        <v>45994</v>
      </c>
      <c r="B822" t="s">
        <v>28</v>
      </c>
      <c r="C822" t="s">
        <v>29</v>
      </c>
      <c r="D822" s="2">
        <v>1788.662969243037</v>
      </c>
      <c r="E822" s="2">
        <v>1799.563408390778</v>
      </c>
      <c r="F822" s="2">
        <v>1766.366616440838</v>
      </c>
      <c r="G822" s="2">
        <v>1790.347534179688</v>
      </c>
      <c r="H822" s="3">
        <v>2114510</v>
      </c>
      <c r="I822" s="4">
        <f t="shared" si="48"/>
        <v>-1.25</v>
      </c>
      <c r="J822" s="2">
        <f t="shared" si="49"/>
        <v>9.2200000000000006</v>
      </c>
      <c r="K822" s="7">
        <f t="shared" si="50"/>
        <v>45992</v>
      </c>
      <c r="L822" t="str">
        <f t="shared" si="51"/>
        <v>Q4-2025</v>
      </c>
    </row>
    <row r="823" spans="1:12">
      <c r="A823" s="6">
        <v>45994</v>
      </c>
      <c r="B823" t="s">
        <v>30</v>
      </c>
      <c r="C823" t="s">
        <v>31</v>
      </c>
      <c r="D823" s="2">
        <v>2943.462626521632</v>
      </c>
      <c r="E823" s="2">
        <v>2943.6608578458299</v>
      </c>
      <c r="F823" s="2">
        <v>2907.3758120528332</v>
      </c>
      <c r="G823" s="2">
        <v>2928.095947265625</v>
      </c>
      <c r="H823" s="3">
        <v>1252456</v>
      </c>
      <c r="I823" s="4">
        <f t="shared" si="48"/>
        <v>-1.23</v>
      </c>
      <c r="J823" s="2">
        <f t="shared" si="49"/>
        <v>15.56</v>
      </c>
      <c r="K823" s="7">
        <f t="shared" si="50"/>
        <v>45992</v>
      </c>
      <c r="L823" t="str">
        <f t="shared" si="51"/>
        <v>Q4-2025</v>
      </c>
    </row>
    <row r="824" spans="1:12">
      <c r="A824" s="6">
        <v>45994</v>
      </c>
      <c r="B824" t="s">
        <v>32</v>
      </c>
      <c r="C824" t="s">
        <v>33</v>
      </c>
      <c r="D824" s="2">
        <v>2453.2466947597759</v>
      </c>
      <c r="E824" s="2">
        <v>2459.8791834173931</v>
      </c>
      <c r="F824" s="2">
        <v>2378.9030295817388</v>
      </c>
      <c r="G824" s="2">
        <v>2423.350830078125</v>
      </c>
      <c r="H824" s="3">
        <v>3535932</v>
      </c>
      <c r="I824" s="4">
        <f t="shared" si="48"/>
        <v>-3.03</v>
      </c>
      <c r="J824" s="2">
        <f t="shared" si="49"/>
        <v>36.53</v>
      </c>
      <c r="K824" s="7">
        <f t="shared" si="50"/>
        <v>45992</v>
      </c>
      <c r="L824" t="str">
        <f t="shared" si="51"/>
        <v>Q4-2025</v>
      </c>
    </row>
    <row r="825" spans="1:12">
      <c r="A825" s="6">
        <v>45994</v>
      </c>
      <c r="B825" t="s">
        <v>34</v>
      </c>
      <c r="C825" t="s">
        <v>35</v>
      </c>
      <c r="D825" s="2">
        <v>3992.998953892929</v>
      </c>
      <c r="E825" s="2">
        <v>4007.754731291664</v>
      </c>
      <c r="F825" s="2">
        <v>3931.6978017836359</v>
      </c>
      <c r="G825" s="2">
        <v>3949.424560546875</v>
      </c>
      <c r="H825" s="3">
        <v>1123990</v>
      </c>
      <c r="I825" s="4">
        <f t="shared" si="48"/>
        <v>-1.54</v>
      </c>
      <c r="J825" s="2">
        <f t="shared" si="49"/>
        <v>58.33</v>
      </c>
      <c r="K825" s="7">
        <f t="shared" si="50"/>
        <v>45992</v>
      </c>
      <c r="L825" t="str">
        <f t="shared" si="51"/>
        <v>Q4-2025</v>
      </c>
    </row>
    <row r="826" spans="1:12">
      <c r="A826" s="6">
        <v>45994</v>
      </c>
      <c r="B826" t="s">
        <v>36</v>
      </c>
      <c r="C826" t="s">
        <v>37</v>
      </c>
      <c r="D826" s="2">
        <v>1254.032850912055</v>
      </c>
      <c r="E826" s="2">
        <v>1271.919080909953</v>
      </c>
      <c r="F826" s="2">
        <v>1254.032850912055</v>
      </c>
      <c r="G826" s="2">
        <v>1269.720703125</v>
      </c>
      <c r="H826" s="3">
        <v>3582794</v>
      </c>
      <c r="I826" s="4">
        <f t="shared" si="48"/>
        <v>0</v>
      </c>
      <c r="J826" s="2">
        <f t="shared" si="49"/>
        <v>2.2000000000000002</v>
      </c>
      <c r="K826" s="7">
        <f t="shared" si="50"/>
        <v>45992</v>
      </c>
      <c r="L826" t="str">
        <f t="shared" si="51"/>
        <v>Q4-2025</v>
      </c>
    </row>
    <row r="827" spans="1:12">
      <c r="A827" s="6">
        <v>45995</v>
      </c>
      <c r="B827" t="s">
        <v>8</v>
      </c>
      <c r="C827" t="s">
        <v>9</v>
      </c>
      <c r="D827" s="2">
        <v>1528.930898233534</v>
      </c>
      <c r="E827" s="2">
        <v>1553.318142378535</v>
      </c>
      <c r="F827" s="2">
        <v>1510.615555880076</v>
      </c>
      <c r="G827" s="2">
        <v>1528.53271484375</v>
      </c>
      <c r="H827" s="3">
        <v>11867930</v>
      </c>
      <c r="I827" s="4">
        <f t="shared" si="48"/>
        <v>-1.2</v>
      </c>
      <c r="J827" s="2">
        <f t="shared" si="49"/>
        <v>24.79</v>
      </c>
      <c r="K827" s="7">
        <f t="shared" si="50"/>
        <v>45992</v>
      </c>
      <c r="L827" t="str">
        <f t="shared" si="51"/>
        <v>Q4-2025</v>
      </c>
    </row>
    <row r="828" spans="1:12">
      <c r="A828" s="6">
        <v>45995</v>
      </c>
      <c r="B828" t="s">
        <v>10</v>
      </c>
      <c r="C828" t="s">
        <v>11</v>
      </c>
      <c r="D828" s="2">
        <v>3078.13047294951</v>
      </c>
      <c r="E828" s="2">
        <v>3132.098947115187</v>
      </c>
      <c r="F828" s="2">
        <v>3071.7698086664341</v>
      </c>
      <c r="G828" s="2">
        <v>3112.053466796875</v>
      </c>
      <c r="H828" s="3">
        <v>5025905</v>
      </c>
      <c r="I828" s="4">
        <f t="shared" si="48"/>
        <v>-0.21</v>
      </c>
      <c r="J828" s="2">
        <f t="shared" si="49"/>
        <v>20.05</v>
      </c>
      <c r="K828" s="7">
        <f t="shared" si="50"/>
        <v>45992</v>
      </c>
      <c r="L828" t="str">
        <f t="shared" si="51"/>
        <v>Q4-2025</v>
      </c>
    </row>
    <row r="829" spans="1:12">
      <c r="A829" s="6">
        <v>45995</v>
      </c>
      <c r="B829" t="s">
        <v>12</v>
      </c>
      <c r="C829" t="s">
        <v>13</v>
      </c>
      <c r="D829" s="2">
        <v>1534.7880917871571</v>
      </c>
      <c r="E829" s="2">
        <v>1565.131478805909</v>
      </c>
      <c r="F829" s="2">
        <v>1534.7880917871571</v>
      </c>
      <c r="G829" s="2">
        <v>1563.761108398438</v>
      </c>
      <c r="H829" s="3">
        <v>12609619</v>
      </c>
      <c r="I829" s="4">
        <f t="shared" si="48"/>
        <v>0</v>
      </c>
      <c r="J829" s="2">
        <f t="shared" si="49"/>
        <v>1.37</v>
      </c>
      <c r="K829" s="7">
        <f t="shared" si="50"/>
        <v>45992</v>
      </c>
      <c r="L829" t="str">
        <f t="shared" si="51"/>
        <v>Q4-2025</v>
      </c>
    </row>
    <row r="830" spans="1:12">
      <c r="A830" s="6">
        <v>45995</v>
      </c>
      <c r="B830" t="s">
        <v>14</v>
      </c>
      <c r="C830" t="s">
        <v>15</v>
      </c>
      <c r="D830" s="2">
        <v>983.72965074021658</v>
      </c>
      <c r="E830" s="2">
        <v>988.35319210711418</v>
      </c>
      <c r="F830" s="2">
        <v>976.84354318503506</v>
      </c>
      <c r="G830" s="2">
        <v>980.9752197265625</v>
      </c>
      <c r="H830" s="3">
        <v>14528169</v>
      </c>
      <c r="I830" s="4">
        <f t="shared" si="48"/>
        <v>-0.7</v>
      </c>
      <c r="J830" s="2">
        <f t="shared" si="49"/>
        <v>7.38</v>
      </c>
      <c r="K830" s="7">
        <f t="shared" si="50"/>
        <v>45992</v>
      </c>
      <c r="L830" t="str">
        <f t="shared" si="51"/>
        <v>Q4-2025</v>
      </c>
    </row>
    <row r="831" spans="1:12">
      <c r="A831" s="6">
        <v>45995</v>
      </c>
      <c r="B831" t="s">
        <v>16</v>
      </c>
      <c r="C831" t="s">
        <v>17</v>
      </c>
      <c r="D831" s="2">
        <v>1375.404596065827</v>
      </c>
      <c r="E831" s="2">
        <v>1379.9661155774991</v>
      </c>
      <c r="F831" s="2">
        <v>1368.3639767054419</v>
      </c>
      <c r="G831" s="2">
        <v>1375.107055664062</v>
      </c>
      <c r="H831" s="3">
        <v>7373909</v>
      </c>
      <c r="I831" s="4">
        <f t="shared" si="48"/>
        <v>-0.51</v>
      </c>
      <c r="J831" s="2">
        <f t="shared" si="49"/>
        <v>4.8600000000000003</v>
      </c>
      <c r="K831" s="7">
        <f t="shared" si="50"/>
        <v>45992</v>
      </c>
      <c r="L831" t="str">
        <f t="shared" si="51"/>
        <v>Q4-2025</v>
      </c>
    </row>
    <row r="832" spans="1:12">
      <c r="A832" s="6">
        <v>45995</v>
      </c>
      <c r="B832" t="s">
        <v>18</v>
      </c>
      <c r="C832" t="s">
        <v>19</v>
      </c>
      <c r="D832" s="2">
        <v>246.73910243420841</v>
      </c>
      <c r="E832" s="2">
        <v>249.43779960164531</v>
      </c>
      <c r="F832" s="2">
        <v>246.25719012476659</v>
      </c>
      <c r="G832" s="2">
        <v>247.63545227050781</v>
      </c>
      <c r="H832" s="3">
        <v>10687381</v>
      </c>
      <c r="I832" s="4">
        <f t="shared" si="48"/>
        <v>-0.2</v>
      </c>
      <c r="J832" s="2">
        <f t="shared" si="49"/>
        <v>1.8</v>
      </c>
      <c r="K832" s="7">
        <f t="shared" si="50"/>
        <v>45992</v>
      </c>
      <c r="L832" t="str">
        <f t="shared" si="51"/>
        <v>Q4-2025</v>
      </c>
    </row>
    <row r="833" spans="1:12">
      <c r="A833" s="6">
        <v>45995</v>
      </c>
      <c r="B833" t="s">
        <v>20</v>
      </c>
      <c r="C833" t="s">
        <v>21</v>
      </c>
      <c r="D833" s="2">
        <v>1591.116186430718</v>
      </c>
      <c r="E833" s="2">
        <v>1612.3310689164609</v>
      </c>
      <c r="F833" s="2">
        <v>1586.3910299706449</v>
      </c>
      <c r="G833" s="2">
        <v>1595.552001953125</v>
      </c>
      <c r="H833" s="3">
        <v>3935708</v>
      </c>
      <c r="I833" s="4">
        <f t="shared" si="48"/>
        <v>-0.3</v>
      </c>
      <c r="J833" s="2">
        <f t="shared" si="49"/>
        <v>16.78</v>
      </c>
      <c r="K833" s="7">
        <f t="shared" si="50"/>
        <v>45992</v>
      </c>
      <c r="L833" t="str">
        <f t="shared" si="51"/>
        <v>Q4-2025</v>
      </c>
    </row>
    <row r="834" spans="1:12">
      <c r="A834" s="6">
        <v>45995</v>
      </c>
      <c r="B834" t="s">
        <v>22</v>
      </c>
      <c r="C834" t="s">
        <v>23</v>
      </c>
      <c r="D834" s="2">
        <v>1011.780341756553</v>
      </c>
      <c r="E834" s="2">
        <v>1025.9930218061161</v>
      </c>
      <c r="F834" s="2">
        <v>1009.7925611244179</v>
      </c>
      <c r="G834" s="2">
        <v>1022.8125</v>
      </c>
      <c r="H834" s="3">
        <v>5404918</v>
      </c>
      <c r="I834" s="4">
        <f t="shared" ref="I834:I897" si="52">ROUND(((F834-D834)/D834)*100, 2)</f>
        <v>-0.2</v>
      </c>
      <c r="J834" s="2">
        <f t="shared" ref="J834:J897" si="53">ROUND(E834-G834, 2)</f>
        <v>3.18</v>
      </c>
      <c r="K834" s="7">
        <f t="shared" ref="K834:K897" si="54">DATE(YEAR(A834),MONTH(A834),1)</f>
        <v>45992</v>
      </c>
      <c r="L834" t="str">
        <f t="shared" ref="L834:L897" si="55">"Q"&amp;INT((MONTH(A834)-1)/3)+1&amp;"-"&amp;YEAR(A834)</f>
        <v>Q4-2025</v>
      </c>
    </row>
    <row r="835" spans="1:12">
      <c r="A835" s="6">
        <v>45995</v>
      </c>
      <c r="B835" t="s">
        <v>24</v>
      </c>
      <c r="C835" t="s">
        <v>25</v>
      </c>
      <c r="D835" s="2">
        <v>15898.33238636364</v>
      </c>
      <c r="E835" s="2">
        <v>15974.56676136364</v>
      </c>
      <c r="F835" s="2">
        <v>15729.03267045455</v>
      </c>
      <c r="G835" s="2">
        <v>15834.96875</v>
      </c>
      <c r="H835" s="3">
        <v>248812</v>
      </c>
      <c r="I835" s="4">
        <f t="shared" si="52"/>
        <v>-1.06</v>
      </c>
      <c r="J835" s="2">
        <f t="shared" si="53"/>
        <v>139.6</v>
      </c>
      <c r="K835" s="7">
        <f t="shared" si="54"/>
        <v>45992</v>
      </c>
      <c r="L835" t="str">
        <f t="shared" si="55"/>
        <v>Q4-2025</v>
      </c>
    </row>
    <row r="836" spans="1:12">
      <c r="A836" s="6">
        <v>45995</v>
      </c>
      <c r="B836" t="s">
        <v>26</v>
      </c>
      <c r="C836" t="s">
        <v>27</v>
      </c>
      <c r="D836" s="2">
        <v>354.06294959809611</v>
      </c>
      <c r="E836" s="2">
        <v>356.54238201825081</v>
      </c>
      <c r="F836" s="2">
        <v>351.38515047772529</v>
      </c>
      <c r="G836" s="2">
        <v>353.51748657226563</v>
      </c>
      <c r="H836" s="3">
        <v>9173145</v>
      </c>
      <c r="I836" s="4">
        <f t="shared" si="52"/>
        <v>-0.76</v>
      </c>
      <c r="J836" s="2">
        <f t="shared" si="53"/>
        <v>3.02</v>
      </c>
      <c r="K836" s="7">
        <f t="shared" si="54"/>
        <v>45992</v>
      </c>
      <c r="L836" t="str">
        <f t="shared" si="55"/>
        <v>Q4-2025</v>
      </c>
    </row>
    <row r="837" spans="1:12">
      <c r="A837" s="6">
        <v>45995</v>
      </c>
      <c r="B837" t="s">
        <v>28</v>
      </c>
      <c r="C837" t="s">
        <v>29</v>
      </c>
      <c r="D837" s="2">
        <v>1792.0323532822399</v>
      </c>
      <c r="E837" s="2">
        <v>1806.6983271918571</v>
      </c>
      <c r="F837" s="2">
        <v>1782.023791695749</v>
      </c>
      <c r="G837" s="2">
        <v>1801.8427734375</v>
      </c>
      <c r="H837" s="3">
        <v>1713961</v>
      </c>
      <c r="I837" s="4">
        <f t="shared" si="52"/>
        <v>-0.56000000000000005</v>
      </c>
      <c r="J837" s="2">
        <f t="shared" si="53"/>
        <v>4.8600000000000003</v>
      </c>
      <c r="K837" s="7">
        <f t="shared" si="54"/>
        <v>45992</v>
      </c>
      <c r="L837" t="str">
        <f t="shared" si="55"/>
        <v>Q4-2025</v>
      </c>
    </row>
    <row r="838" spans="1:12">
      <c r="A838" s="6">
        <v>45995</v>
      </c>
      <c r="B838" t="s">
        <v>30</v>
      </c>
      <c r="C838" t="s">
        <v>31</v>
      </c>
      <c r="D838" s="2">
        <v>2924.6258944441001</v>
      </c>
      <c r="E838" s="2">
        <v>2960.0187763517802</v>
      </c>
      <c r="F838" s="2">
        <v>2908.7635167115218</v>
      </c>
      <c r="G838" s="2">
        <v>2931.763916015625</v>
      </c>
      <c r="H838" s="3">
        <v>1466098</v>
      </c>
      <c r="I838" s="4">
        <f t="shared" si="52"/>
        <v>-0.54</v>
      </c>
      <c r="J838" s="2">
        <f t="shared" si="53"/>
        <v>28.25</v>
      </c>
      <c r="K838" s="7">
        <f t="shared" si="54"/>
        <v>45992</v>
      </c>
      <c r="L838" t="str">
        <f t="shared" si="55"/>
        <v>Q4-2025</v>
      </c>
    </row>
    <row r="839" spans="1:12">
      <c r="A839" s="6">
        <v>45995</v>
      </c>
      <c r="B839" t="s">
        <v>32</v>
      </c>
      <c r="C839" t="s">
        <v>33</v>
      </c>
      <c r="D839" s="2">
        <v>2415.431298091029</v>
      </c>
      <c r="E839" s="2">
        <v>2457.9983250655841</v>
      </c>
      <c r="F839" s="2">
        <v>2398.800411308689</v>
      </c>
      <c r="G839" s="2">
        <v>2437.40771484375</v>
      </c>
      <c r="H839" s="3">
        <v>2587753</v>
      </c>
      <c r="I839" s="4">
        <f t="shared" si="52"/>
        <v>-0.69</v>
      </c>
      <c r="J839" s="2">
        <f t="shared" si="53"/>
        <v>20.59</v>
      </c>
      <c r="K839" s="7">
        <f t="shared" si="54"/>
        <v>45992</v>
      </c>
      <c r="L839" t="str">
        <f t="shared" si="55"/>
        <v>Q4-2025</v>
      </c>
    </row>
    <row r="840" spans="1:12">
      <c r="A840" s="6">
        <v>45995</v>
      </c>
      <c r="B840" t="s">
        <v>34</v>
      </c>
      <c r="C840" t="s">
        <v>35</v>
      </c>
      <c r="D840" s="2">
        <v>3951.4051354105268</v>
      </c>
      <c r="E840" s="2">
        <v>3970.4193674055591</v>
      </c>
      <c r="F840" s="2">
        <v>3923.378830079243</v>
      </c>
      <c r="G840" s="2">
        <v>3945.067138671875</v>
      </c>
      <c r="H840" s="3">
        <v>1026968</v>
      </c>
      <c r="I840" s="4">
        <f t="shared" si="52"/>
        <v>-0.71</v>
      </c>
      <c r="J840" s="2">
        <f t="shared" si="53"/>
        <v>25.35</v>
      </c>
      <c r="K840" s="7">
        <f t="shared" si="54"/>
        <v>45992</v>
      </c>
      <c r="L840" t="str">
        <f t="shared" si="55"/>
        <v>Q4-2025</v>
      </c>
    </row>
    <row r="841" spans="1:12">
      <c r="A841" s="6">
        <v>45995</v>
      </c>
      <c r="B841" t="s">
        <v>36</v>
      </c>
      <c r="C841" t="s">
        <v>37</v>
      </c>
      <c r="D841" s="2">
        <v>1269.7206681913931</v>
      </c>
      <c r="E841" s="2">
        <v>1281.8114407353801</v>
      </c>
      <c r="F841" s="2">
        <v>1268.4217432406149</v>
      </c>
      <c r="G841" s="2">
        <v>1279.013549804688</v>
      </c>
      <c r="H841" s="3">
        <v>3216108</v>
      </c>
      <c r="I841" s="4">
        <f t="shared" si="52"/>
        <v>-0.1</v>
      </c>
      <c r="J841" s="2">
        <f t="shared" si="53"/>
        <v>2.8</v>
      </c>
      <c r="K841" s="7">
        <f t="shared" si="54"/>
        <v>45992</v>
      </c>
      <c r="L841" t="str">
        <f t="shared" si="55"/>
        <v>Q4-2025</v>
      </c>
    </row>
    <row r="842" spans="1:12">
      <c r="A842" s="6">
        <v>45996</v>
      </c>
      <c r="B842" t="s">
        <v>8</v>
      </c>
      <c r="C842" t="s">
        <v>9</v>
      </c>
      <c r="D842" s="2">
        <v>1523.3566358085279</v>
      </c>
      <c r="E842" s="2">
        <v>1538.6857844027049</v>
      </c>
      <c r="F842" s="2">
        <v>1513.6016899280951</v>
      </c>
      <c r="G842" s="2">
        <v>1533.509643554688</v>
      </c>
      <c r="H842" s="3">
        <v>10183266</v>
      </c>
      <c r="I842" s="4">
        <f t="shared" si="52"/>
        <v>-0.64</v>
      </c>
      <c r="J842" s="2">
        <f t="shared" si="53"/>
        <v>5.18</v>
      </c>
      <c r="K842" s="7">
        <f t="shared" si="54"/>
        <v>45992</v>
      </c>
      <c r="L842" t="str">
        <f t="shared" si="55"/>
        <v>Q4-2025</v>
      </c>
    </row>
    <row r="843" spans="1:12">
      <c r="A843" s="6">
        <v>45996</v>
      </c>
      <c r="B843" t="s">
        <v>10</v>
      </c>
      <c r="C843" t="s">
        <v>11</v>
      </c>
      <c r="D843" s="2">
        <v>3112.8245710631909</v>
      </c>
      <c r="E843" s="2">
        <v>3152.9155327173712</v>
      </c>
      <c r="F843" s="2">
        <v>3105.500183841255</v>
      </c>
      <c r="G843" s="2">
        <v>3120.72705078125</v>
      </c>
      <c r="H843" s="3">
        <v>5244013</v>
      </c>
      <c r="I843" s="4">
        <f t="shared" si="52"/>
        <v>-0.24</v>
      </c>
      <c r="J843" s="2">
        <f t="shared" si="53"/>
        <v>32.19</v>
      </c>
      <c r="K843" s="7">
        <f t="shared" si="54"/>
        <v>45992</v>
      </c>
      <c r="L843" t="str">
        <f t="shared" si="55"/>
        <v>Q4-2025</v>
      </c>
    </row>
    <row r="844" spans="1:12">
      <c r="A844" s="6">
        <v>45996</v>
      </c>
      <c r="B844" t="s">
        <v>12</v>
      </c>
      <c r="C844" t="s">
        <v>13</v>
      </c>
      <c r="D844" s="2">
        <v>1575.898533298187</v>
      </c>
      <c r="E844" s="2">
        <v>1597.2368345243181</v>
      </c>
      <c r="F844" s="2">
        <v>1566.110343650372</v>
      </c>
      <c r="G844" s="2">
        <v>1581.967163085938</v>
      </c>
      <c r="H844" s="3">
        <v>10344725</v>
      </c>
      <c r="I844" s="4">
        <f t="shared" si="52"/>
        <v>-0.62</v>
      </c>
      <c r="J844" s="2">
        <f t="shared" si="53"/>
        <v>15.27</v>
      </c>
      <c r="K844" s="7">
        <f t="shared" si="54"/>
        <v>45992</v>
      </c>
      <c r="L844" t="str">
        <f t="shared" si="55"/>
        <v>Q4-2025</v>
      </c>
    </row>
    <row r="845" spans="1:12">
      <c r="A845" s="6">
        <v>45996</v>
      </c>
      <c r="B845" t="s">
        <v>14</v>
      </c>
      <c r="C845" t="s">
        <v>15</v>
      </c>
      <c r="D845" s="2">
        <v>975.85981904076675</v>
      </c>
      <c r="E845" s="2">
        <v>991.59949354142429</v>
      </c>
      <c r="F845" s="2">
        <v>974.0891176678615</v>
      </c>
      <c r="G845" s="2">
        <v>986.9759521484375</v>
      </c>
      <c r="H845" s="3">
        <v>12843366</v>
      </c>
      <c r="I845" s="4">
        <f t="shared" si="52"/>
        <v>-0.18</v>
      </c>
      <c r="J845" s="2">
        <f t="shared" si="53"/>
        <v>4.62</v>
      </c>
      <c r="K845" s="7">
        <f t="shared" si="54"/>
        <v>45992</v>
      </c>
      <c r="L845" t="str">
        <f t="shared" si="55"/>
        <v>Q4-2025</v>
      </c>
    </row>
    <row r="846" spans="1:12">
      <c r="A846" s="6">
        <v>45996</v>
      </c>
      <c r="B846" t="s">
        <v>16</v>
      </c>
      <c r="C846" t="s">
        <v>17</v>
      </c>
      <c r="D846" s="2">
        <v>1369.454783052345</v>
      </c>
      <c r="E846" s="2">
        <v>1383.635282882582</v>
      </c>
      <c r="F846" s="2">
        <v>1369.454783052345</v>
      </c>
      <c r="G846" s="2">
        <v>1380.858642578125</v>
      </c>
      <c r="H846" s="3">
        <v>4942638</v>
      </c>
      <c r="I846" s="4">
        <f t="shared" si="52"/>
        <v>0</v>
      </c>
      <c r="J846" s="2">
        <f t="shared" si="53"/>
        <v>2.78</v>
      </c>
      <c r="K846" s="7">
        <f t="shared" si="54"/>
        <v>45992</v>
      </c>
      <c r="L846" t="str">
        <f t="shared" si="55"/>
        <v>Q4-2025</v>
      </c>
    </row>
    <row r="847" spans="1:12">
      <c r="A847" s="6">
        <v>45996</v>
      </c>
      <c r="B847" t="s">
        <v>18</v>
      </c>
      <c r="C847" t="s">
        <v>19</v>
      </c>
      <c r="D847" s="2">
        <v>248.85952805167429</v>
      </c>
      <c r="E847" s="2">
        <v>251.65461356024181</v>
      </c>
      <c r="F847" s="2">
        <v>248.37761574283181</v>
      </c>
      <c r="G847" s="2">
        <v>250.5076599121094</v>
      </c>
      <c r="H847" s="3">
        <v>7886562</v>
      </c>
      <c r="I847" s="4">
        <f t="shared" si="52"/>
        <v>-0.19</v>
      </c>
      <c r="J847" s="2">
        <f t="shared" si="53"/>
        <v>1.1499999999999999</v>
      </c>
      <c r="K847" s="7">
        <f t="shared" si="54"/>
        <v>45992</v>
      </c>
      <c r="L847" t="str">
        <f t="shared" si="55"/>
        <v>Q4-2025</v>
      </c>
    </row>
    <row r="848" spans="1:12">
      <c r="A848" s="6">
        <v>45996</v>
      </c>
      <c r="B848" t="s">
        <v>20</v>
      </c>
      <c r="C848" t="s">
        <v>21</v>
      </c>
      <c r="D848" s="2">
        <v>1603.3629998227741</v>
      </c>
      <c r="E848" s="2">
        <v>1630.6531017754519</v>
      </c>
      <c r="F848" s="2">
        <v>1592.080586062254</v>
      </c>
      <c r="G848" s="2">
        <v>1622.938598632812</v>
      </c>
      <c r="H848" s="3">
        <v>3391204</v>
      </c>
      <c r="I848" s="4">
        <f t="shared" si="52"/>
        <v>-0.7</v>
      </c>
      <c r="J848" s="2">
        <f t="shared" si="53"/>
        <v>7.71</v>
      </c>
      <c r="K848" s="7">
        <f t="shared" si="54"/>
        <v>45992</v>
      </c>
      <c r="L848" t="str">
        <f t="shared" si="55"/>
        <v>Q4-2025</v>
      </c>
    </row>
    <row r="849" spans="1:12">
      <c r="A849" s="6">
        <v>45996</v>
      </c>
      <c r="B849" t="s">
        <v>22</v>
      </c>
      <c r="C849" t="s">
        <v>23</v>
      </c>
      <c r="D849" s="2">
        <v>1022.613765223776</v>
      </c>
      <c r="E849" s="2">
        <v>1054.517619941071</v>
      </c>
      <c r="F849" s="2">
        <v>1020.228404212544</v>
      </c>
      <c r="G849" s="2">
        <v>1041.597045898438</v>
      </c>
      <c r="H849" s="3">
        <v>13123572</v>
      </c>
      <c r="I849" s="4">
        <f t="shared" si="52"/>
        <v>-0.23</v>
      </c>
      <c r="J849" s="2">
        <f t="shared" si="53"/>
        <v>12.92</v>
      </c>
      <c r="K849" s="7">
        <f t="shared" si="54"/>
        <v>45992</v>
      </c>
      <c r="L849" t="str">
        <f t="shared" si="55"/>
        <v>Q4-2025</v>
      </c>
    </row>
    <row r="850" spans="1:12">
      <c r="A850" s="6">
        <v>45996</v>
      </c>
      <c r="B850" t="s">
        <v>24</v>
      </c>
      <c r="C850" t="s">
        <v>25</v>
      </c>
      <c r="D850" s="2">
        <v>15840.90943987225</v>
      </c>
      <c r="E850" s="2">
        <v>16175.54865178955</v>
      </c>
      <c r="F850" s="2">
        <v>15820.11824623242</v>
      </c>
      <c r="G850" s="2">
        <v>16120.10546875</v>
      </c>
      <c r="H850" s="3">
        <v>332032</v>
      </c>
      <c r="I850" s="4">
        <f t="shared" si="52"/>
        <v>-0.13</v>
      </c>
      <c r="J850" s="2">
        <f t="shared" si="53"/>
        <v>55.44</v>
      </c>
      <c r="K850" s="7">
        <f t="shared" si="54"/>
        <v>45992</v>
      </c>
      <c r="L850" t="str">
        <f t="shared" si="55"/>
        <v>Q4-2025</v>
      </c>
    </row>
    <row r="851" spans="1:12">
      <c r="A851" s="6">
        <v>45996</v>
      </c>
      <c r="B851" t="s">
        <v>26</v>
      </c>
      <c r="C851" t="s">
        <v>27</v>
      </c>
      <c r="D851" s="2">
        <v>352.07939403276072</v>
      </c>
      <c r="E851" s="2">
        <v>353.61662998461031</v>
      </c>
      <c r="F851" s="2">
        <v>350.09584815088601</v>
      </c>
      <c r="G851" s="2">
        <v>350.69091796875</v>
      </c>
      <c r="H851" s="3">
        <v>5667381</v>
      </c>
      <c r="I851" s="4">
        <f t="shared" si="52"/>
        <v>-0.56000000000000005</v>
      </c>
      <c r="J851" s="2">
        <f t="shared" si="53"/>
        <v>2.93</v>
      </c>
      <c r="K851" s="7">
        <f t="shared" si="54"/>
        <v>45992</v>
      </c>
      <c r="L851" t="str">
        <f t="shared" si="55"/>
        <v>Q4-2025</v>
      </c>
    </row>
    <row r="852" spans="1:12">
      <c r="A852" s="6">
        <v>45996</v>
      </c>
      <c r="B852" t="s">
        <v>28</v>
      </c>
      <c r="C852" t="s">
        <v>29</v>
      </c>
      <c r="D852" s="2">
        <v>1802.5362804345771</v>
      </c>
      <c r="E852" s="2">
        <v>1803.725370881006</v>
      </c>
      <c r="F852" s="2">
        <v>1783.9063903374699</v>
      </c>
      <c r="G852" s="2">
        <v>1788.960327148438</v>
      </c>
      <c r="H852" s="3">
        <v>1777401</v>
      </c>
      <c r="I852" s="4">
        <f t="shared" si="52"/>
        <v>-1.03</v>
      </c>
      <c r="J852" s="2">
        <f t="shared" si="53"/>
        <v>14.77</v>
      </c>
      <c r="K852" s="7">
        <f t="shared" si="54"/>
        <v>45992</v>
      </c>
      <c r="L852" t="str">
        <f t="shared" si="55"/>
        <v>Q4-2025</v>
      </c>
    </row>
    <row r="853" spans="1:12">
      <c r="A853" s="6">
        <v>45996</v>
      </c>
      <c r="B853" t="s">
        <v>30</v>
      </c>
      <c r="C853" t="s">
        <v>31</v>
      </c>
      <c r="D853" s="2">
        <v>2929.582915534992</v>
      </c>
      <c r="E853" s="2">
        <v>2947.923789963892</v>
      </c>
      <c r="F853" s="2">
        <v>2915.7033348860959</v>
      </c>
      <c r="G853" s="2">
        <v>2942.966796875</v>
      </c>
      <c r="H853" s="3">
        <v>944978</v>
      </c>
      <c r="I853" s="4">
        <f t="shared" si="52"/>
        <v>-0.47</v>
      </c>
      <c r="J853" s="2">
        <f t="shared" si="53"/>
        <v>4.96</v>
      </c>
      <c r="K853" s="7">
        <f t="shared" si="54"/>
        <v>45992</v>
      </c>
      <c r="L853" t="str">
        <f t="shared" si="55"/>
        <v>Q4-2025</v>
      </c>
    </row>
    <row r="854" spans="1:12">
      <c r="A854" s="6">
        <v>45996</v>
      </c>
      <c r="B854" t="s">
        <v>32</v>
      </c>
      <c r="C854" t="s">
        <v>33</v>
      </c>
      <c r="D854" s="2">
        <v>2397.612630294107</v>
      </c>
      <c r="E854" s="2">
        <v>2397.612630294107</v>
      </c>
      <c r="F854" s="2">
        <v>2263.6749317186641</v>
      </c>
      <c r="G854" s="2">
        <v>2315.052490234375</v>
      </c>
      <c r="H854" s="3">
        <v>4008271</v>
      </c>
      <c r="I854" s="4">
        <f t="shared" si="52"/>
        <v>-5.59</v>
      </c>
      <c r="J854" s="2">
        <f t="shared" si="53"/>
        <v>82.56</v>
      </c>
      <c r="K854" s="7">
        <f t="shared" si="54"/>
        <v>45992</v>
      </c>
      <c r="L854" t="str">
        <f t="shared" si="55"/>
        <v>Q4-2025</v>
      </c>
    </row>
    <row r="855" spans="1:12">
      <c r="A855" s="6">
        <v>45996</v>
      </c>
      <c r="B855" t="s">
        <v>34</v>
      </c>
      <c r="C855" t="s">
        <v>35</v>
      </c>
      <c r="D855" s="2">
        <v>3960.3181413801681</v>
      </c>
      <c r="E855" s="2">
        <v>4008.8441701192601</v>
      </c>
      <c r="F855" s="2">
        <v>3936.6494199925291</v>
      </c>
      <c r="G855" s="2">
        <v>3999.138916015625</v>
      </c>
      <c r="H855" s="3">
        <v>1073758</v>
      </c>
      <c r="I855" s="4">
        <f t="shared" si="52"/>
        <v>-0.6</v>
      </c>
      <c r="J855" s="2">
        <f t="shared" si="53"/>
        <v>9.7100000000000009</v>
      </c>
      <c r="K855" s="7">
        <f t="shared" si="54"/>
        <v>45992</v>
      </c>
      <c r="L855" t="str">
        <f t="shared" si="55"/>
        <v>Q4-2025</v>
      </c>
    </row>
    <row r="856" spans="1:12">
      <c r="A856" s="6">
        <v>45996</v>
      </c>
      <c r="B856" t="s">
        <v>36</v>
      </c>
      <c r="C856" t="s">
        <v>37</v>
      </c>
      <c r="D856" s="2">
        <v>1274.2172952640819</v>
      </c>
      <c r="E856" s="2">
        <v>1284.009792275828</v>
      </c>
      <c r="F856" s="2">
        <v>1266.323480503461</v>
      </c>
      <c r="G856" s="2">
        <v>1281.51171875</v>
      </c>
      <c r="H856" s="3">
        <v>2728214</v>
      </c>
      <c r="I856" s="4">
        <f t="shared" si="52"/>
        <v>-0.62</v>
      </c>
      <c r="J856" s="2">
        <f t="shared" si="53"/>
        <v>2.5</v>
      </c>
      <c r="K856" s="7">
        <f t="shared" si="54"/>
        <v>45992</v>
      </c>
      <c r="L856" t="str">
        <f t="shared" si="55"/>
        <v>Q4-2025</v>
      </c>
    </row>
    <row r="857" spans="1:12">
      <c r="A857" s="6">
        <v>45999</v>
      </c>
      <c r="B857" t="s">
        <v>8</v>
      </c>
      <c r="C857" t="s">
        <v>9</v>
      </c>
      <c r="D857" s="2">
        <v>1532.1161217020069</v>
      </c>
      <c r="E857" s="2">
        <v>1543.861863398969</v>
      </c>
      <c r="F857" s="2">
        <v>1527.935499882281</v>
      </c>
      <c r="G857" s="2">
        <v>1535.898681640625</v>
      </c>
      <c r="H857" s="3">
        <v>11301491</v>
      </c>
      <c r="I857" s="4">
        <f t="shared" si="52"/>
        <v>-0.27</v>
      </c>
      <c r="J857" s="2">
        <f t="shared" si="53"/>
        <v>7.96</v>
      </c>
      <c r="K857" s="7">
        <f t="shared" si="54"/>
        <v>45992</v>
      </c>
      <c r="L857" t="str">
        <f t="shared" si="55"/>
        <v>Q4-2025</v>
      </c>
    </row>
    <row r="858" spans="1:12">
      <c r="A858" s="6">
        <v>45999</v>
      </c>
      <c r="B858" t="s">
        <v>10</v>
      </c>
      <c r="C858" t="s">
        <v>11</v>
      </c>
      <c r="D858" s="2">
        <v>3125.352820806741</v>
      </c>
      <c r="E858" s="2">
        <v>3141.6396408688429</v>
      </c>
      <c r="F858" s="2">
        <v>3092.2008529296158</v>
      </c>
      <c r="G858" s="2">
        <v>3119.088623046875</v>
      </c>
      <c r="H858" s="3">
        <v>2544725</v>
      </c>
      <c r="I858" s="4">
        <f t="shared" si="52"/>
        <v>-1.06</v>
      </c>
      <c r="J858" s="2">
        <f t="shared" si="53"/>
        <v>22.55</v>
      </c>
      <c r="K858" s="7">
        <f t="shared" si="54"/>
        <v>45992</v>
      </c>
      <c r="L858" t="str">
        <f t="shared" si="55"/>
        <v>Q4-2025</v>
      </c>
    </row>
    <row r="859" spans="1:12">
      <c r="A859" s="6">
        <v>45999</v>
      </c>
      <c r="B859" t="s">
        <v>12</v>
      </c>
      <c r="C859" t="s">
        <v>13</v>
      </c>
      <c r="D859" s="2">
        <v>1582.848128429338</v>
      </c>
      <c r="E859" s="2">
        <v>1595.4749170068919</v>
      </c>
      <c r="F859" s="2">
        <v>1566.3060639818279</v>
      </c>
      <c r="G859" s="2">
        <v>1576.681640625</v>
      </c>
      <c r="H859" s="3">
        <v>7550413</v>
      </c>
      <c r="I859" s="4">
        <f t="shared" si="52"/>
        <v>-1.05</v>
      </c>
      <c r="J859" s="2">
        <f t="shared" si="53"/>
        <v>18.79</v>
      </c>
      <c r="K859" s="7">
        <f t="shared" si="54"/>
        <v>45992</v>
      </c>
      <c r="L859" t="str">
        <f t="shared" si="55"/>
        <v>Q4-2025</v>
      </c>
    </row>
    <row r="860" spans="1:12">
      <c r="A860" s="6">
        <v>45999</v>
      </c>
      <c r="B860" t="s">
        <v>14</v>
      </c>
      <c r="C860" t="s">
        <v>15</v>
      </c>
      <c r="D860" s="2">
        <v>983.72963694698865</v>
      </c>
      <c r="E860" s="2">
        <v>990.12387958714407</v>
      </c>
      <c r="F860" s="2">
        <v>981.27031285462124</v>
      </c>
      <c r="G860" s="2">
        <v>986.7791748046875</v>
      </c>
      <c r="H860" s="3">
        <v>12901022</v>
      </c>
      <c r="I860" s="4">
        <f t="shared" si="52"/>
        <v>-0.25</v>
      </c>
      <c r="J860" s="2">
        <f t="shared" si="53"/>
        <v>3.34</v>
      </c>
      <c r="K860" s="7">
        <f t="shared" si="54"/>
        <v>45992</v>
      </c>
      <c r="L860" t="str">
        <f t="shared" si="55"/>
        <v>Q4-2025</v>
      </c>
    </row>
    <row r="861" spans="1:12">
      <c r="A861" s="6">
        <v>45999</v>
      </c>
      <c r="B861" t="s">
        <v>16</v>
      </c>
      <c r="C861" t="s">
        <v>17</v>
      </c>
      <c r="D861" s="2">
        <v>1375.4046703842359</v>
      </c>
      <c r="E861" s="2">
        <v>1383.2386505394279</v>
      </c>
      <c r="F861" s="2">
        <v>1371.7356508298089</v>
      </c>
      <c r="G861" s="2">
        <v>1377.98291015625</v>
      </c>
      <c r="H861" s="3">
        <v>7826227</v>
      </c>
      <c r="I861" s="4">
        <f t="shared" si="52"/>
        <v>-0.27</v>
      </c>
      <c r="J861" s="2">
        <f t="shared" si="53"/>
        <v>5.26</v>
      </c>
      <c r="K861" s="7">
        <f t="shared" si="54"/>
        <v>45992</v>
      </c>
      <c r="L861" t="str">
        <f t="shared" si="55"/>
        <v>Q4-2025</v>
      </c>
    </row>
    <row r="862" spans="1:12">
      <c r="A862" s="6">
        <v>45999</v>
      </c>
      <c r="B862" t="s">
        <v>18</v>
      </c>
      <c r="C862" t="s">
        <v>19</v>
      </c>
      <c r="D862" s="2">
        <v>250.60404922775919</v>
      </c>
      <c r="E862" s="2">
        <v>253.5533502162169</v>
      </c>
      <c r="F862" s="2">
        <v>250.31488419317731</v>
      </c>
      <c r="G862" s="2">
        <v>251.92448425292969</v>
      </c>
      <c r="H862" s="3">
        <v>9684253</v>
      </c>
      <c r="I862" s="4">
        <f t="shared" si="52"/>
        <v>-0.12</v>
      </c>
      <c r="J862" s="2">
        <f t="shared" si="53"/>
        <v>1.63</v>
      </c>
      <c r="K862" s="7">
        <f t="shared" si="54"/>
        <v>45992</v>
      </c>
      <c r="L862" t="str">
        <f t="shared" si="55"/>
        <v>Q4-2025</v>
      </c>
    </row>
    <row r="863" spans="1:12">
      <c r="A863" s="6">
        <v>45999</v>
      </c>
      <c r="B863" t="s">
        <v>20</v>
      </c>
      <c r="C863" t="s">
        <v>21</v>
      </c>
      <c r="D863" s="2">
        <v>1622.9384947355279</v>
      </c>
      <c r="E863" s="2">
        <v>1634.8959973839189</v>
      </c>
      <c r="F863" s="2">
        <v>1617.0562100086329</v>
      </c>
      <c r="G863" s="2">
        <v>1628.338623046875</v>
      </c>
      <c r="H863" s="3">
        <v>2702407</v>
      </c>
      <c r="I863" s="4">
        <f t="shared" si="52"/>
        <v>-0.36</v>
      </c>
      <c r="J863" s="2">
        <f t="shared" si="53"/>
        <v>6.56</v>
      </c>
      <c r="K863" s="7">
        <f t="shared" si="54"/>
        <v>45992</v>
      </c>
      <c r="L863" t="str">
        <f t="shared" si="55"/>
        <v>Q4-2025</v>
      </c>
    </row>
    <row r="864" spans="1:12">
      <c r="A864" s="6">
        <v>45999</v>
      </c>
      <c r="B864" t="s">
        <v>22</v>
      </c>
      <c r="C864" t="s">
        <v>23</v>
      </c>
      <c r="D864" s="2">
        <v>1041.597096857867</v>
      </c>
      <c r="E864" s="2">
        <v>1043.3861480349451</v>
      </c>
      <c r="F864" s="2">
        <v>1016.749837867937</v>
      </c>
      <c r="G864" s="2">
        <v>1020.129089355469</v>
      </c>
      <c r="H864" s="3">
        <v>5189635</v>
      </c>
      <c r="I864" s="4">
        <f t="shared" si="52"/>
        <v>-2.39</v>
      </c>
      <c r="J864" s="2">
        <f t="shared" si="53"/>
        <v>23.26</v>
      </c>
      <c r="K864" s="7">
        <f t="shared" si="54"/>
        <v>45992</v>
      </c>
      <c r="L864" t="str">
        <f t="shared" si="55"/>
        <v>Q4-2025</v>
      </c>
    </row>
    <row r="865" spans="1:12">
      <c r="A865" s="6">
        <v>45999</v>
      </c>
      <c r="B865" t="s">
        <v>24</v>
      </c>
      <c r="C865" t="s">
        <v>25</v>
      </c>
      <c r="D865" s="2">
        <v>16038.920543395159</v>
      </c>
      <c r="E865" s="2">
        <v>16094.363725520479</v>
      </c>
      <c r="F865" s="2">
        <v>15933.974520086531</v>
      </c>
      <c r="G865" s="2">
        <v>16026.0498046875</v>
      </c>
      <c r="H865" s="3">
        <v>220513</v>
      </c>
      <c r="I865" s="4">
        <f t="shared" si="52"/>
        <v>-0.65</v>
      </c>
      <c r="J865" s="2">
        <f t="shared" si="53"/>
        <v>68.31</v>
      </c>
      <c r="K865" s="7">
        <f t="shared" si="54"/>
        <v>45992</v>
      </c>
      <c r="L865" t="str">
        <f t="shared" si="55"/>
        <v>Q4-2025</v>
      </c>
    </row>
    <row r="866" spans="1:12">
      <c r="A866" s="6">
        <v>45999</v>
      </c>
      <c r="B866" t="s">
        <v>26</v>
      </c>
      <c r="C866" t="s">
        <v>27</v>
      </c>
      <c r="D866" s="2">
        <v>351.03805070507639</v>
      </c>
      <c r="E866" s="2">
        <v>353.26953986130349</v>
      </c>
      <c r="F866" s="2">
        <v>342.95507688153589</v>
      </c>
      <c r="G866" s="2">
        <v>345.43450927734381</v>
      </c>
      <c r="H866" s="3">
        <v>7186158</v>
      </c>
      <c r="I866" s="4">
        <f t="shared" si="52"/>
        <v>-2.2999999999999998</v>
      </c>
      <c r="J866" s="2">
        <f t="shared" si="53"/>
        <v>7.84</v>
      </c>
      <c r="K866" s="7">
        <f t="shared" si="54"/>
        <v>45992</v>
      </c>
      <c r="L866" t="str">
        <f t="shared" si="55"/>
        <v>Q4-2025</v>
      </c>
    </row>
    <row r="867" spans="1:12">
      <c r="A867" s="6">
        <v>45999</v>
      </c>
      <c r="B867" t="s">
        <v>28</v>
      </c>
      <c r="C867" t="s">
        <v>29</v>
      </c>
      <c r="D867" s="2">
        <v>1788.960360038591</v>
      </c>
      <c r="E867" s="2">
        <v>1789.6539759841839</v>
      </c>
      <c r="F867" s="2">
        <v>1769.5376619764729</v>
      </c>
      <c r="G867" s="2">
        <v>1779.942626953125</v>
      </c>
      <c r="H867" s="3">
        <v>2410074</v>
      </c>
      <c r="I867" s="4">
        <f t="shared" si="52"/>
        <v>-1.0900000000000001</v>
      </c>
      <c r="J867" s="2">
        <f t="shared" si="53"/>
        <v>9.7100000000000009</v>
      </c>
      <c r="K867" s="7">
        <f t="shared" si="54"/>
        <v>45992</v>
      </c>
      <c r="L867" t="str">
        <f t="shared" si="55"/>
        <v>Q4-2025</v>
      </c>
    </row>
    <row r="868" spans="1:12">
      <c r="A868" s="6">
        <v>45999</v>
      </c>
      <c r="B868" t="s">
        <v>30</v>
      </c>
      <c r="C868" t="s">
        <v>31</v>
      </c>
      <c r="D868" s="2">
        <v>2944.4538217557529</v>
      </c>
      <c r="E868" s="2">
        <v>2948.9151154250799</v>
      </c>
      <c r="F868" s="2">
        <v>2889.728667820144</v>
      </c>
      <c r="G868" s="2">
        <v>2903.112548828125</v>
      </c>
      <c r="H868" s="3">
        <v>983544</v>
      </c>
      <c r="I868" s="4">
        <f t="shared" si="52"/>
        <v>-1.86</v>
      </c>
      <c r="J868" s="2">
        <f t="shared" si="53"/>
        <v>45.8</v>
      </c>
      <c r="K868" s="7">
        <f t="shared" si="54"/>
        <v>45992</v>
      </c>
      <c r="L868" t="str">
        <f t="shared" si="55"/>
        <v>Q4-2025</v>
      </c>
    </row>
    <row r="869" spans="1:12">
      <c r="A869" s="6">
        <v>45999</v>
      </c>
      <c r="B869" t="s">
        <v>32</v>
      </c>
      <c r="C869" t="s">
        <v>33</v>
      </c>
      <c r="D869" s="2">
        <v>2326.4365509724239</v>
      </c>
      <c r="E869" s="2">
        <v>2331.3862051452252</v>
      </c>
      <c r="F869" s="2">
        <v>2278.8207811571551</v>
      </c>
      <c r="G869" s="2">
        <v>2290.699951171875</v>
      </c>
      <c r="H869" s="3">
        <v>1898154</v>
      </c>
      <c r="I869" s="4">
        <f t="shared" si="52"/>
        <v>-2.0499999999999998</v>
      </c>
      <c r="J869" s="2">
        <f t="shared" si="53"/>
        <v>40.69</v>
      </c>
      <c r="K869" s="7">
        <f t="shared" si="54"/>
        <v>45992</v>
      </c>
      <c r="L869" t="str">
        <f t="shared" si="55"/>
        <v>Q4-2025</v>
      </c>
    </row>
    <row r="870" spans="1:12">
      <c r="A870" s="6">
        <v>45999</v>
      </c>
      <c r="B870" t="s">
        <v>34</v>
      </c>
      <c r="C870" t="s">
        <v>35</v>
      </c>
      <c r="D870" s="2">
        <v>4007.8537848272408</v>
      </c>
      <c r="E870" s="2">
        <v>4008.7449825080839</v>
      </c>
      <c r="F870" s="2">
        <v>3938.4317582128701</v>
      </c>
      <c r="G870" s="2">
        <v>3958.040283203125</v>
      </c>
      <c r="H870" s="3">
        <v>1127841</v>
      </c>
      <c r="I870" s="4">
        <f t="shared" si="52"/>
        <v>-1.73</v>
      </c>
      <c r="J870" s="2">
        <f t="shared" si="53"/>
        <v>50.7</v>
      </c>
      <c r="K870" s="7">
        <f t="shared" si="54"/>
        <v>45992</v>
      </c>
      <c r="L870" t="str">
        <f t="shared" si="55"/>
        <v>Q4-2025</v>
      </c>
    </row>
    <row r="871" spans="1:12">
      <c r="A871" s="6">
        <v>45999</v>
      </c>
      <c r="B871" t="s">
        <v>36</v>
      </c>
      <c r="C871" t="s">
        <v>37</v>
      </c>
      <c r="D871" s="2">
        <v>1283.010572718465</v>
      </c>
      <c r="E871" s="2">
        <v>1287.8069227153881</v>
      </c>
      <c r="F871" s="2">
        <v>1264.1251123229199</v>
      </c>
      <c r="G871" s="2">
        <v>1272.818481445312</v>
      </c>
      <c r="H871" s="3">
        <v>2969478</v>
      </c>
      <c r="I871" s="4">
        <f t="shared" si="52"/>
        <v>-1.47</v>
      </c>
      <c r="J871" s="2">
        <f t="shared" si="53"/>
        <v>14.99</v>
      </c>
      <c r="K871" s="7">
        <f t="shared" si="54"/>
        <v>45992</v>
      </c>
      <c r="L871" t="str">
        <f t="shared" si="55"/>
        <v>Q4-2025</v>
      </c>
    </row>
    <row r="872" spans="1:12">
      <c r="A872" s="6">
        <v>46000</v>
      </c>
      <c r="B872" t="s">
        <v>8</v>
      </c>
      <c r="C872" t="s">
        <v>9</v>
      </c>
      <c r="D872" s="2">
        <v>1533.211064854301</v>
      </c>
      <c r="E872" s="2">
        <v>1535.400891103689</v>
      </c>
      <c r="F872" s="2">
        <v>1513.103959209948</v>
      </c>
      <c r="G872" s="2">
        <v>1522.361206054688</v>
      </c>
      <c r="H872" s="3">
        <v>11503971</v>
      </c>
      <c r="I872" s="4">
        <f t="shared" si="52"/>
        <v>-1.31</v>
      </c>
      <c r="J872" s="2">
        <f t="shared" si="53"/>
        <v>13.04</v>
      </c>
      <c r="K872" s="7">
        <f t="shared" si="54"/>
        <v>45992</v>
      </c>
      <c r="L872" t="str">
        <f t="shared" si="55"/>
        <v>Q4-2025</v>
      </c>
    </row>
    <row r="873" spans="1:12">
      <c r="A873" s="6">
        <v>46000</v>
      </c>
      <c r="B873" t="s">
        <v>10</v>
      </c>
      <c r="C873" t="s">
        <v>11</v>
      </c>
      <c r="D873" s="2">
        <v>3112.8248484517808</v>
      </c>
      <c r="E873" s="2">
        <v>3116.3905759892018</v>
      </c>
      <c r="F873" s="2">
        <v>3065.795125666069</v>
      </c>
      <c r="G873" s="2">
        <v>3091.912109375</v>
      </c>
      <c r="H873" s="3">
        <v>2734893</v>
      </c>
      <c r="I873" s="4">
        <f t="shared" si="52"/>
        <v>-1.51</v>
      </c>
      <c r="J873" s="2">
        <f t="shared" si="53"/>
        <v>24.48</v>
      </c>
      <c r="K873" s="7">
        <f t="shared" si="54"/>
        <v>45992</v>
      </c>
      <c r="L873" t="str">
        <f t="shared" si="55"/>
        <v>Q4-2025</v>
      </c>
    </row>
    <row r="874" spans="1:12">
      <c r="A874" s="6">
        <v>46000</v>
      </c>
      <c r="B874" t="s">
        <v>12</v>
      </c>
      <c r="C874" t="s">
        <v>13</v>
      </c>
      <c r="D874" s="2">
        <v>1567.284823579573</v>
      </c>
      <c r="E874" s="2">
        <v>1572.864163173753</v>
      </c>
      <c r="F874" s="2">
        <v>1548.883099378693</v>
      </c>
      <c r="G874" s="2">
        <v>1565.131469726562</v>
      </c>
      <c r="H874" s="3">
        <v>6957599</v>
      </c>
      <c r="I874" s="4">
        <f t="shared" si="52"/>
        <v>-1.17</v>
      </c>
      <c r="J874" s="2">
        <f t="shared" si="53"/>
        <v>7.73</v>
      </c>
      <c r="K874" s="7">
        <f t="shared" si="54"/>
        <v>45992</v>
      </c>
      <c r="L874" t="str">
        <f t="shared" si="55"/>
        <v>Q4-2025</v>
      </c>
    </row>
    <row r="875" spans="1:12">
      <c r="A875" s="6">
        <v>46000</v>
      </c>
      <c r="B875" t="s">
        <v>14</v>
      </c>
      <c r="C875" t="s">
        <v>15</v>
      </c>
      <c r="D875" s="2">
        <v>978.71267381190376</v>
      </c>
      <c r="E875" s="2">
        <v>986.48410218847755</v>
      </c>
      <c r="F875" s="2">
        <v>977.82729309106003</v>
      </c>
      <c r="G875" s="2">
        <v>980.8768310546875</v>
      </c>
      <c r="H875" s="3">
        <v>15294322</v>
      </c>
      <c r="I875" s="4">
        <f t="shared" si="52"/>
        <v>-0.09</v>
      </c>
      <c r="J875" s="2">
        <f t="shared" si="53"/>
        <v>5.61</v>
      </c>
      <c r="K875" s="7">
        <f t="shared" si="54"/>
        <v>45992</v>
      </c>
      <c r="L875" t="str">
        <f t="shared" si="55"/>
        <v>Q4-2025</v>
      </c>
    </row>
    <row r="876" spans="1:12">
      <c r="A876" s="6">
        <v>46000</v>
      </c>
      <c r="B876" t="s">
        <v>16</v>
      </c>
      <c r="C876" t="s">
        <v>17</v>
      </c>
      <c r="D876" s="2">
        <v>1368.364027589085</v>
      </c>
      <c r="E876" s="2">
        <v>1372.7272676950299</v>
      </c>
      <c r="F876" s="2">
        <v>1361.9183677427461</v>
      </c>
      <c r="G876" s="2">
        <v>1363.703247070312</v>
      </c>
      <c r="H876" s="3">
        <v>10492030</v>
      </c>
      <c r="I876" s="4">
        <f t="shared" si="52"/>
        <v>-0.47</v>
      </c>
      <c r="J876" s="2">
        <f t="shared" si="53"/>
        <v>9.02</v>
      </c>
      <c r="K876" s="7">
        <f t="shared" si="54"/>
        <v>45992</v>
      </c>
      <c r="L876" t="str">
        <f t="shared" si="55"/>
        <v>Q4-2025</v>
      </c>
    </row>
    <row r="877" spans="1:12">
      <c r="A877" s="6">
        <v>46000</v>
      </c>
      <c r="B877" t="s">
        <v>18</v>
      </c>
      <c r="C877" t="s">
        <v>19</v>
      </c>
      <c r="D877" s="2">
        <v>251.92448366960389</v>
      </c>
      <c r="E877" s="2">
        <v>252.3485688551342</v>
      </c>
      <c r="F877" s="2">
        <v>247.7511065969066</v>
      </c>
      <c r="G877" s="2">
        <v>248.09809875488281</v>
      </c>
      <c r="H877" s="3">
        <v>8560580</v>
      </c>
      <c r="I877" s="4">
        <f t="shared" si="52"/>
        <v>-1.66</v>
      </c>
      <c r="J877" s="2">
        <f t="shared" si="53"/>
        <v>4.25</v>
      </c>
      <c r="K877" s="7">
        <f t="shared" si="54"/>
        <v>45992</v>
      </c>
      <c r="L877" t="str">
        <f t="shared" si="55"/>
        <v>Q4-2025</v>
      </c>
    </row>
    <row r="878" spans="1:12">
      <c r="A878" s="6">
        <v>46000</v>
      </c>
      <c r="B878" t="s">
        <v>20</v>
      </c>
      <c r="C878" t="s">
        <v>21</v>
      </c>
      <c r="D878" s="2">
        <v>1626.795767438671</v>
      </c>
      <c r="E878" s="2">
        <v>1626.795767438671</v>
      </c>
      <c r="F878" s="2">
        <v>1597.287817962128</v>
      </c>
      <c r="G878" s="2">
        <v>1598.444946289062</v>
      </c>
      <c r="H878" s="3">
        <v>2817704</v>
      </c>
      <c r="I878" s="4">
        <f t="shared" si="52"/>
        <v>-1.81</v>
      </c>
      <c r="J878" s="2">
        <f t="shared" si="53"/>
        <v>28.35</v>
      </c>
      <c r="K878" s="7">
        <f t="shared" si="54"/>
        <v>45992</v>
      </c>
      <c r="L878" t="str">
        <f t="shared" si="55"/>
        <v>Q4-2025</v>
      </c>
    </row>
    <row r="879" spans="1:12">
      <c r="A879" s="6">
        <v>46000</v>
      </c>
      <c r="B879" t="s">
        <v>22</v>
      </c>
      <c r="C879" t="s">
        <v>23</v>
      </c>
      <c r="D879" s="2">
        <v>1018.737620150018</v>
      </c>
      <c r="E879" s="2">
        <v>1019.73151051114</v>
      </c>
      <c r="F879" s="2">
        <v>1007.50667120179</v>
      </c>
      <c r="G879" s="2">
        <v>1010.488342285156</v>
      </c>
      <c r="H879" s="3">
        <v>5968501</v>
      </c>
      <c r="I879" s="4">
        <f t="shared" si="52"/>
        <v>-1.1000000000000001</v>
      </c>
      <c r="J879" s="2">
        <f t="shared" si="53"/>
        <v>9.24</v>
      </c>
      <c r="K879" s="7">
        <f t="shared" si="54"/>
        <v>45992</v>
      </c>
      <c r="L879" t="str">
        <f t="shared" si="55"/>
        <v>Q4-2025</v>
      </c>
    </row>
    <row r="880" spans="1:12">
      <c r="A880" s="6">
        <v>46000</v>
      </c>
      <c r="B880" t="s">
        <v>24</v>
      </c>
      <c r="C880" t="s">
        <v>25</v>
      </c>
      <c r="D880" s="2">
        <v>15891.40172178576</v>
      </c>
      <c r="E880" s="2">
        <v>16064.66166205817</v>
      </c>
      <c r="F880" s="2">
        <v>15826.05797288302</v>
      </c>
      <c r="G880" s="2">
        <v>15860.7099609375</v>
      </c>
      <c r="H880" s="3">
        <v>276388</v>
      </c>
      <c r="I880" s="4">
        <f t="shared" si="52"/>
        <v>-0.41</v>
      </c>
      <c r="J880" s="2">
        <f t="shared" si="53"/>
        <v>203.95</v>
      </c>
      <c r="K880" s="7">
        <f t="shared" si="54"/>
        <v>45992</v>
      </c>
      <c r="L880" t="str">
        <f t="shared" si="55"/>
        <v>Q4-2025</v>
      </c>
    </row>
    <row r="881" spans="1:12">
      <c r="A881" s="6">
        <v>46000</v>
      </c>
      <c r="B881" t="s">
        <v>26</v>
      </c>
      <c r="C881" t="s">
        <v>27</v>
      </c>
      <c r="D881" s="2">
        <v>345.63286071076652</v>
      </c>
      <c r="E881" s="2">
        <v>345.78162059464319</v>
      </c>
      <c r="F881" s="2">
        <v>338.88881699862281</v>
      </c>
      <c r="G881" s="2">
        <v>341.8641357421875</v>
      </c>
      <c r="H881" s="3">
        <v>9143402</v>
      </c>
      <c r="I881" s="4">
        <f t="shared" si="52"/>
        <v>-1.95</v>
      </c>
      <c r="J881" s="2">
        <f t="shared" si="53"/>
        <v>3.92</v>
      </c>
      <c r="K881" s="7">
        <f t="shared" si="54"/>
        <v>45992</v>
      </c>
      <c r="L881" t="str">
        <f t="shared" si="55"/>
        <v>Q4-2025</v>
      </c>
    </row>
    <row r="882" spans="1:12">
      <c r="A882" s="6">
        <v>46000</v>
      </c>
      <c r="B882" t="s">
        <v>28</v>
      </c>
      <c r="C882" t="s">
        <v>29</v>
      </c>
      <c r="D882" s="2">
        <v>1779.7443949381509</v>
      </c>
      <c r="E882" s="2">
        <v>1784.897281325733</v>
      </c>
      <c r="F882" s="2">
        <v>1755.9616190592451</v>
      </c>
      <c r="G882" s="2">
        <v>1759.925415039062</v>
      </c>
      <c r="H882" s="3">
        <v>2401728</v>
      </c>
      <c r="I882" s="4">
        <f t="shared" si="52"/>
        <v>-1.34</v>
      </c>
      <c r="J882" s="2">
        <f t="shared" si="53"/>
        <v>24.97</v>
      </c>
      <c r="K882" s="7">
        <f t="shared" si="54"/>
        <v>45992</v>
      </c>
      <c r="L882" t="str">
        <f t="shared" si="55"/>
        <v>Q4-2025</v>
      </c>
    </row>
    <row r="883" spans="1:12">
      <c r="A883" s="6">
        <v>46000</v>
      </c>
      <c r="B883" t="s">
        <v>30</v>
      </c>
      <c r="C883" t="s">
        <v>31</v>
      </c>
      <c r="D883" s="2">
        <v>2884.9701320664572</v>
      </c>
      <c r="E883" s="2">
        <v>2888.4400274143031</v>
      </c>
      <c r="F883" s="2">
        <v>2764.5151935626509</v>
      </c>
      <c r="G883" s="2">
        <v>2771.95068359375</v>
      </c>
      <c r="H883" s="3">
        <v>1839391</v>
      </c>
      <c r="I883" s="4">
        <f t="shared" si="52"/>
        <v>-4.18</v>
      </c>
      <c r="J883" s="2">
        <f t="shared" si="53"/>
        <v>116.49</v>
      </c>
      <c r="K883" s="7">
        <f t="shared" si="54"/>
        <v>45992</v>
      </c>
      <c r="L883" t="str">
        <f t="shared" si="55"/>
        <v>Q4-2025</v>
      </c>
    </row>
    <row r="884" spans="1:12">
      <c r="A884" s="6">
        <v>46000</v>
      </c>
      <c r="B884" t="s">
        <v>32</v>
      </c>
      <c r="C884" t="s">
        <v>33</v>
      </c>
      <c r="D884" s="2">
        <v>2294.6598401850069</v>
      </c>
      <c r="E884" s="2">
        <v>2306.9348867468789</v>
      </c>
      <c r="F884" s="2">
        <v>2274.960311827886</v>
      </c>
      <c r="G884" s="2">
        <v>2283.275634765625</v>
      </c>
      <c r="H884" s="3">
        <v>1471488</v>
      </c>
      <c r="I884" s="4">
        <f t="shared" si="52"/>
        <v>-0.86</v>
      </c>
      <c r="J884" s="2">
        <f t="shared" si="53"/>
        <v>23.66</v>
      </c>
      <c r="K884" s="7">
        <f t="shared" si="54"/>
        <v>45992</v>
      </c>
      <c r="L884" t="str">
        <f t="shared" si="55"/>
        <v>Q4-2025</v>
      </c>
    </row>
    <row r="885" spans="1:12">
      <c r="A885" s="6">
        <v>46000</v>
      </c>
      <c r="B885" t="s">
        <v>34</v>
      </c>
      <c r="C885" t="s">
        <v>35</v>
      </c>
      <c r="D885" s="2">
        <v>3951.4053100814958</v>
      </c>
      <c r="E885" s="2">
        <v>3981.0159950168372</v>
      </c>
      <c r="F885" s="2">
        <v>3910.9010265469319</v>
      </c>
      <c r="G885" s="2">
        <v>3958.832763671875</v>
      </c>
      <c r="H885" s="3">
        <v>1788464</v>
      </c>
      <c r="I885" s="4">
        <f t="shared" si="52"/>
        <v>-1.03</v>
      </c>
      <c r="J885" s="2">
        <f t="shared" si="53"/>
        <v>22.18</v>
      </c>
      <c r="K885" s="7">
        <f t="shared" si="54"/>
        <v>45992</v>
      </c>
      <c r="L885" t="str">
        <f t="shared" si="55"/>
        <v>Q4-2025</v>
      </c>
    </row>
    <row r="886" spans="1:12">
      <c r="A886" s="6">
        <v>46000</v>
      </c>
      <c r="B886" t="s">
        <v>36</v>
      </c>
      <c r="C886" t="s">
        <v>37</v>
      </c>
      <c r="D886" s="2">
        <v>1271.019729198895</v>
      </c>
      <c r="E886" s="2">
        <v>1280.412509454575</v>
      </c>
      <c r="F886" s="2">
        <v>1262.2264621560801</v>
      </c>
      <c r="G886" s="2">
        <v>1274.916748046875</v>
      </c>
      <c r="H886" s="3">
        <v>4239279</v>
      </c>
      <c r="I886" s="4">
        <f t="shared" si="52"/>
        <v>-0.69</v>
      </c>
      <c r="J886" s="2">
        <f t="shared" si="53"/>
        <v>5.5</v>
      </c>
      <c r="K886" s="7">
        <f t="shared" si="54"/>
        <v>45992</v>
      </c>
      <c r="L886" t="str">
        <f t="shared" si="55"/>
        <v>Q4-2025</v>
      </c>
    </row>
    <row r="887" spans="1:12">
      <c r="A887" s="6">
        <v>46001</v>
      </c>
      <c r="B887" t="s">
        <v>8</v>
      </c>
      <c r="C887" t="s">
        <v>9</v>
      </c>
      <c r="D887" s="2">
        <v>1526.9401045329789</v>
      </c>
      <c r="E887" s="2">
        <v>1540.377973771047</v>
      </c>
      <c r="F887" s="2">
        <v>1524.3520947592019</v>
      </c>
      <c r="G887" s="2">
        <v>1529.826782226562</v>
      </c>
      <c r="H887" s="3">
        <v>7991629</v>
      </c>
      <c r="I887" s="4">
        <f t="shared" si="52"/>
        <v>-0.17</v>
      </c>
      <c r="J887" s="2">
        <f t="shared" si="53"/>
        <v>10.55</v>
      </c>
      <c r="K887" s="7">
        <f t="shared" si="54"/>
        <v>45992</v>
      </c>
      <c r="L887" t="str">
        <f t="shared" si="55"/>
        <v>Q4-2025</v>
      </c>
    </row>
    <row r="888" spans="1:12">
      <c r="A888" s="6">
        <v>46001</v>
      </c>
      <c r="B888" t="s">
        <v>10</v>
      </c>
      <c r="C888" t="s">
        <v>11</v>
      </c>
      <c r="D888" s="2">
        <v>3108.006208086174</v>
      </c>
      <c r="E888" s="2">
        <v>3108.006208086174</v>
      </c>
      <c r="F888" s="2">
        <v>3062.8077002898922</v>
      </c>
      <c r="G888" s="2">
        <v>3073.5048828125</v>
      </c>
      <c r="H888" s="3">
        <v>1386849</v>
      </c>
      <c r="I888" s="4">
        <f t="shared" si="52"/>
        <v>-1.45</v>
      </c>
      <c r="J888" s="2">
        <f t="shared" si="53"/>
        <v>34.5</v>
      </c>
      <c r="K888" s="7">
        <f t="shared" si="54"/>
        <v>45992</v>
      </c>
      <c r="L888" t="str">
        <f t="shared" si="55"/>
        <v>Q4-2025</v>
      </c>
    </row>
    <row r="889" spans="1:12">
      <c r="A889" s="6">
        <v>46001</v>
      </c>
      <c r="B889" t="s">
        <v>12</v>
      </c>
      <c r="C889" t="s">
        <v>13</v>
      </c>
      <c r="D889" s="2">
        <v>1573.9408513587559</v>
      </c>
      <c r="E889" s="2">
        <v>1573.9408513587559</v>
      </c>
      <c r="F889" s="2">
        <v>1549.274661929863</v>
      </c>
      <c r="G889" s="2">
        <v>1551.232299804688</v>
      </c>
      <c r="H889" s="3">
        <v>5116140</v>
      </c>
      <c r="I889" s="4">
        <f t="shared" si="52"/>
        <v>-1.57</v>
      </c>
      <c r="J889" s="2">
        <f t="shared" si="53"/>
        <v>22.71</v>
      </c>
      <c r="K889" s="7">
        <f t="shared" si="54"/>
        <v>45992</v>
      </c>
      <c r="L889" t="str">
        <f t="shared" si="55"/>
        <v>Q4-2025</v>
      </c>
    </row>
    <row r="890" spans="1:12">
      <c r="A890" s="6">
        <v>46001</v>
      </c>
      <c r="B890" t="s">
        <v>14</v>
      </c>
      <c r="C890" t="s">
        <v>15</v>
      </c>
      <c r="D890" s="2">
        <v>981.27034816123421</v>
      </c>
      <c r="E890" s="2">
        <v>982.25407783357628</v>
      </c>
      <c r="F890" s="2">
        <v>969.2688341502419</v>
      </c>
      <c r="G890" s="2">
        <v>973.69561767578125</v>
      </c>
      <c r="H890" s="3">
        <v>15322830</v>
      </c>
      <c r="I890" s="4">
        <f t="shared" si="52"/>
        <v>-1.22</v>
      </c>
      <c r="J890" s="2">
        <f t="shared" si="53"/>
        <v>8.56</v>
      </c>
      <c r="K890" s="7">
        <f t="shared" si="54"/>
        <v>45992</v>
      </c>
      <c r="L890" t="str">
        <f t="shared" si="55"/>
        <v>Q4-2025</v>
      </c>
    </row>
    <row r="891" spans="1:12">
      <c r="A891" s="6">
        <v>46001</v>
      </c>
      <c r="B891" t="s">
        <v>16</v>
      </c>
      <c r="C891" t="s">
        <v>17</v>
      </c>
      <c r="D891" s="2">
        <v>1366.3806948465069</v>
      </c>
      <c r="E891" s="2">
        <v>1367.86815475358</v>
      </c>
      <c r="F891" s="2">
        <v>1346.5478960855439</v>
      </c>
      <c r="G891" s="2">
        <v>1352.2001953125</v>
      </c>
      <c r="H891" s="3">
        <v>8725381</v>
      </c>
      <c r="I891" s="4">
        <f t="shared" si="52"/>
        <v>-1.45</v>
      </c>
      <c r="J891" s="2">
        <f t="shared" si="53"/>
        <v>15.67</v>
      </c>
      <c r="K891" s="7">
        <f t="shared" si="54"/>
        <v>45992</v>
      </c>
      <c r="L891" t="str">
        <f t="shared" si="55"/>
        <v>Q4-2025</v>
      </c>
    </row>
    <row r="892" spans="1:12">
      <c r="A892" s="6">
        <v>46001</v>
      </c>
      <c r="B892" t="s">
        <v>18</v>
      </c>
      <c r="C892" t="s">
        <v>19</v>
      </c>
      <c r="D892" s="2">
        <v>248.67640501776219</v>
      </c>
      <c r="E892" s="2">
        <v>250.95101705182341</v>
      </c>
      <c r="F892" s="2">
        <v>247.94388887830809</v>
      </c>
      <c r="G892" s="2">
        <v>248.6474914550781</v>
      </c>
      <c r="H892" s="3">
        <v>7944200</v>
      </c>
      <c r="I892" s="4">
        <f t="shared" si="52"/>
        <v>-0.28999999999999998</v>
      </c>
      <c r="J892" s="2">
        <f t="shared" si="53"/>
        <v>2.2999999999999998</v>
      </c>
      <c r="K892" s="7">
        <f t="shared" si="54"/>
        <v>45992</v>
      </c>
      <c r="L892" t="str">
        <f t="shared" si="55"/>
        <v>Q4-2025</v>
      </c>
    </row>
    <row r="893" spans="1:12">
      <c r="A893" s="6">
        <v>46001</v>
      </c>
      <c r="B893" t="s">
        <v>20</v>
      </c>
      <c r="C893" t="s">
        <v>21</v>
      </c>
      <c r="D893" s="2">
        <v>1603.941568474416</v>
      </c>
      <c r="E893" s="2">
        <v>1611.3667301393209</v>
      </c>
      <c r="F893" s="2">
        <v>1597.8663505929719</v>
      </c>
      <c r="G893" s="2">
        <v>1606.545166015625</v>
      </c>
      <c r="H893" s="3">
        <v>1482249</v>
      </c>
      <c r="I893" s="4">
        <f t="shared" si="52"/>
        <v>-0.38</v>
      </c>
      <c r="J893" s="2">
        <f t="shared" si="53"/>
        <v>4.82</v>
      </c>
      <c r="K893" s="7">
        <f t="shared" si="54"/>
        <v>45992</v>
      </c>
      <c r="L893" t="str">
        <f t="shared" si="55"/>
        <v>Q4-2025</v>
      </c>
    </row>
    <row r="894" spans="1:12">
      <c r="A894" s="6">
        <v>46001</v>
      </c>
      <c r="B894" t="s">
        <v>22</v>
      </c>
      <c r="C894" t="s">
        <v>23</v>
      </c>
      <c r="D894" s="2">
        <v>1009.792567339999</v>
      </c>
      <c r="E894" s="2">
        <v>1015.457754308904</v>
      </c>
      <c r="F894" s="2">
        <v>1001.145709404539</v>
      </c>
      <c r="G894" s="2">
        <v>1004.127380371094</v>
      </c>
      <c r="H894" s="3">
        <v>4990527</v>
      </c>
      <c r="I894" s="4">
        <f t="shared" si="52"/>
        <v>-0.86</v>
      </c>
      <c r="J894" s="2">
        <f t="shared" si="53"/>
        <v>11.33</v>
      </c>
      <c r="K894" s="7">
        <f t="shared" si="54"/>
        <v>45992</v>
      </c>
      <c r="L894" t="str">
        <f t="shared" si="55"/>
        <v>Q4-2025</v>
      </c>
    </row>
    <row r="895" spans="1:12">
      <c r="A895" s="6">
        <v>46001</v>
      </c>
      <c r="B895" t="s">
        <v>24</v>
      </c>
      <c r="C895" t="s">
        <v>25</v>
      </c>
      <c r="D895" s="2">
        <v>15930.013758685969</v>
      </c>
      <c r="E895" s="2">
        <v>15964.665746352481</v>
      </c>
      <c r="F895" s="2">
        <v>15766.654388258179</v>
      </c>
      <c r="G895" s="2">
        <v>15859.7197265625</v>
      </c>
      <c r="H895" s="3">
        <v>293374</v>
      </c>
      <c r="I895" s="4">
        <f t="shared" si="52"/>
        <v>-1.03</v>
      </c>
      <c r="J895" s="2">
        <f t="shared" si="53"/>
        <v>104.95</v>
      </c>
      <c r="K895" s="7">
        <f t="shared" si="54"/>
        <v>45992</v>
      </c>
      <c r="L895" t="str">
        <f t="shared" si="55"/>
        <v>Q4-2025</v>
      </c>
    </row>
    <row r="896" spans="1:12">
      <c r="A896" s="6">
        <v>46001</v>
      </c>
      <c r="B896" t="s">
        <v>26</v>
      </c>
      <c r="C896" t="s">
        <v>27</v>
      </c>
      <c r="D896" s="2">
        <v>344.14521781810691</v>
      </c>
      <c r="E896" s="2">
        <v>344.64110429911278</v>
      </c>
      <c r="F896" s="2">
        <v>339.13677646655071</v>
      </c>
      <c r="G896" s="2">
        <v>340.5748291015625</v>
      </c>
      <c r="H896" s="3">
        <v>8705054</v>
      </c>
      <c r="I896" s="4">
        <f t="shared" si="52"/>
        <v>-1.46</v>
      </c>
      <c r="J896" s="2">
        <f t="shared" si="53"/>
        <v>4.07</v>
      </c>
      <c r="K896" s="7">
        <f t="shared" si="54"/>
        <v>45992</v>
      </c>
      <c r="L896" t="str">
        <f t="shared" si="55"/>
        <v>Q4-2025</v>
      </c>
    </row>
    <row r="897" spans="1:12">
      <c r="A897" s="6">
        <v>46001</v>
      </c>
      <c r="B897" t="s">
        <v>28</v>
      </c>
      <c r="C897" t="s">
        <v>29</v>
      </c>
      <c r="D897" s="2">
        <v>1771.717779383285</v>
      </c>
      <c r="E897" s="2">
        <v>1775.483313084967</v>
      </c>
      <c r="F897" s="2">
        <v>1751.898798957196</v>
      </c>
      <c r="G897" s="2">
        <v>1769.339477539062</v>
      </c>
      <c r="H897" s="3">
        <v>2321746</v>
      </c>
      <c r="I897" s="4">
        <f t="shared" si="52"/>
        <v>-1.1200000000000001</v>
      </c>
      <c r="J897" s="2">
        <f t="shared" si="53"/>
        <v>6.14</v>
      </c>
      <c r="K897" s="7">
        <f t="shared" si="54"/>
        <v>45992</v>
      </c>
      <c r="L897" t="str">
        <f t="shared" si="55"/>
        <v>Q4-2025</v>
      </c>
    </row>
    <row r="898" spans="1:12">
      <c r="A898" s="6">
        <v>46001</v>
      </c>
      <c r="B898" t="s">
        <v>30</v>
      </c>
      <c r="C898" t="s">
        <v>31</v>
      </c>
      <c r="D898" s="2">
        <v>2785.8301338390311</v>
      </c>
      <c r="E898" s="2">
        <v>2799.709714577019</v>
      </c>
      <c r="F898" s="2">
        <v>2772.6444837298068</v>
      </c>
      <c r="G898" s="2">
        <v>2780.37744140625</v>
      </c>
      <c r="H898" s="3">
        <v>845073</v>
      </c>
      <c r="I898" s="4">
        <f t="shared" ref="I898:I961" si="56">ROUND(((F898-D898)/D898)*100, 2)</f>
        <v>-0.47</v>
      </c>
      <c r="J898" s="2">
        <f t="shared" ref="J898:J961" si="57">ROUND(E898-G898, 2)</f>
        <v>19.329999999999998</v>
      </c>
      <c r="K898" s="7">
        <f t="shared" ref="K898:K961" si="58">DATE(YEAR(A898),MONTH(A898),1)</f>
        <v>45992</v>
      </c>
      <c r="L898" t="str">
        <f t="shared" ref="L898:L961" si="59">"Q"&amp;INT((MONTH(A898)-1)/3)+1&amp;"-"&amp;YEAR(A898)</f>
        <v>Q4-2025</v>
      </c>
    </row>
    <row r="899" spans="1:12">
      <c r="A899" s="6">
        <v>46001</v>
      </c>
      <c r="B899" t="s">
        <v>32</v>
      </c>
      <c r="C899" t="s">
        <v>33</v>
      </c>
      <c r="D899" s="2">
        <v>2283.2756424827389</v>
      </c>
      <c r="E899" s="2">
        <v>2293.570827267341</v>
      </c>
      <c r="F899" s="2">
        <v>2271.8914370248808</v>
      </c>
      <c r="G899" s="2">
        <v>2278.52392578125</v>
      </c>
      <c r="H899" s="3">
        <v>2857290</v>
      </c>
      <c r="I899" s="4">
        <f t="shared" si="56"/>
        <v>-0.5</v>
      </c>
      <c r="J899" s="2">
        <f t="shared" si="57"/>
        <v>15.05</v>
      </c>
      <c r="K899" s="7">
        <f t="shared" si="58"/>
        <v>45992</v>
      </c>
      <c r="L899" t="str">
        <f t="shared" si="59"/>
        <v>Q4-2025</v>
      </c>
    </row>
    <row r="900" spans="1:12">
      <c r="A900" s="6">
        <v>46001</v>
      </c>
      <c r="B900" t="s">
        <v>34</v>
      </c>
      <c r="C900" t="s">
        <v>35</v>
      </c>
      <c r="D900" s="2">
        <v>3961.3084244204229</v>
      </c>
      <c r="E900" s="2">
        <v>3991.0182376035768</v>
      </c>
      <c r="F900" s="2">
        <v>3931.5986112372698</v>
      </c>
      <c r="G900" s="2">
        <v>3952.692626953125</v>
      </c>
      <c r="H900" s="3">
        <v>957277</v>
      </c>
      <c r="I900" s="4">
        <f t="shared" si="56"/>
        <v>-0.75</v>
      </c>
      <c r="J900" s="2">
        <f t="shared" si="57"/>
        <v>38.33</v>
      </c>
      <c r="K900" s="7">
        <f t="shared" si="58"/>
        <v>45992</v>
      </c>
      <c r="L900" t="str">
        <f t="shared" si="59"/>
        <v>Q4-2025</v>
      </c>
    </row>
    <row r="901" spans="1:12">
      <c r="A901" s="6">
        <v>46001</v>
      </c>
      <c r="B901" t="s">
        <v>36</v>
      </c>
      <c r="C901" t="s">
        <v>37</v>
      </c>
      <c r="D901" s="2">
        <v>1272.018964052078</v>
      </c>
      <c r="E901" s="2">
        <v>1283.0104869150571</v>
      </c>
      <c r="F901" s="2">
        <v>1267.322634892028</v>
      </c>
      <c r="G901" s="2">
        <v>1277.614624023438</v>
      </c>
      <c r="H901" s="3">
        <v>2928746</v>
      </c>
      <c r="I901" s="4">
        <f t="shared" si="56"/>
        <v>-0.37</v>
      </c>
      <c r="J901" s="2">
        <f t="shared" si="57"/>
        <v>5.4</v>
      </c>
      <c r="K901" s="7">
        <f t="shared" si="58"/>
        <v>45992</v>
      </c>
      <c r="L901" t="str">
        <f t="shared" si="59"/>
        <v>Q4-2025</v>
      </c>
    </row>
    <row r="902" spans="1:12">
      <c r="A902" s="6">
        <v>46002</v>
      </c>
      <c r="B902" t="s">
        <v>8</v>
      </c>
      <c r="C902" t="s">
        <v>9</v>
      </c>
      <c r="D902" s="2">
        <v>1529.8267074498351</v>
      </c>
      <c r="E902" s="2">
        <v>1542.8663926602951</v>
      </c>
      <c r="F902" s="2">
        <v>1516.9860531705101</v>
      </c>
      <c r="G902" s="2">
        <v>1537.889404296875</v>
      </c>
      <c r="H902" s="3">
        <v>4706197</v>
      </c>
      <c r="I902" s="4">
        <f t="shared" si="56"/>
        <v>-0.84</v>
      </c>
      <c r="J902" s="2">
        <f t="shared" si="57"/>
        <v>4.9800000000000004</v>
      </c>
      <c r="K902" s="7">
        <f t="shared" si="58"/>
        <v>45992</v>
      </c>
      <c r="L902" t="str">
        <f t="shared" si="59"/>
        <v>Q4-2025</v>
      </c>
    </row>
    <row r="903" spans="1:12">
      <c r="A903" s="6">
        <v>46002</v>
      </c>
      <c r="B903" t="s">
        <v>10</v>
      </c>
      <c r="C903" t="s">
        <v>11</v>
      </c>
      <c r="D903" s="2">
        <v>3088.7317973000199</v>
      </c>
      <c r="E903" s="2">
        <v>3092.008360943345</v>
      </c>
      <c r="F903" s="2">
        <v>3038.7146744775841</v>
      </c>
      <c r="G903" s="2">
        <v>3076.10693359375</v>
      </c>
      <c r="H903" s="3">
        <v>1914362</v>
      </c>
      <c r="I903" s="4">
        <f t="shared" si="56"/>
        <v>-1.62</v>
      </c>
      <c r="J903" s="2">
        <f t="shared" si="57"/>
        <v>15.9</v>
      </c>
      <c r="K903" s="7">
        <f t="shared" si="58"/>
        <v>45992</v>
      </c>
      <c r="L903" t="str">
        <f t="shared" si="59"/>
        <v>Q4-2025</v>
      </c>
    </row>
    <row r="904" spans="1:12">
      <c r="A904" s="6">
        <v>46002</v>
      </c>
      <c r="B904" t="s">
        <v>12</v>
      </c>
      <c r="C904" t="s">
        <v>13</v>
      </c>
      <c r="D904" s="2">
        <v>1564.152709960938</v>
      </c>
      <c r="E904" s="2">
        <v>1573.3536321517729</v>
      </c>
      <c r="F904" s="2">
        <v>1547.023378030827</v>
      </c>
      <c r="G904" s="2">
        <v>1564.152709960938</v>
      </c>
      <c r="H904" s="3">
        <v>5159319</v>
      </c>
      <c r="I904" s="4">
        <f t="shared" si="56"/>
        <v>-1.1000000000000001</v>
      </c>
      <c r="J904" s="2">
        <f t="shared" si="57"/>
        <v>9.1999999999999993</v>
      </c>
      <c r="K904" s="7">
        <f t="shared" si="58"/>
        <v>45992</v>
      </c>
      <c r="L904" t="str">
        <f t="shared" si="59"/>
        <v>Q4-2025</v>
      </c>
    </row>
    <row r="905" spans="1:12">
      <c r="A905" s="6">
        <v>46002</v>
      </c>
      <c r="B905" t="s">
        <v>14</v>
      </c>
      <c r="C905" t="s">
        <v>15</v>
      </c>
      <c r="D905" s="2">
        <v>973.892376646044</v>
      </c>
      <c r="E905" s="2">
        <v>986.38575550638689</v>
      </c>
      <c r="F905" s="2">
        <v>972.41678213597424</v>
      </c>
      <c r="G905" s="2">
        <v>984.0247802734375</v>
      </c>
      <c r="H905" s="3">
        <v>11844809</v>
      </c>
      <c r="I905" s="4">
        <f t="shared" si="56"/>
        <v>-0.15</v>
      </c>
      <c r="J905" s="2">
        <f t="shared" si="57"/>
        <v>2.36</v>
      </c>
      <c r="K905" s="7">
        <f t="shared" si="58"/>
        <v>45992</v>
      </c>
      <c r="L905" t="str">
        <f t="shared" si="59"/>
        <v>Q4-2025</v>
      </c>
    </row>
    <row r="906" spans="1:12">
      <c r="A906" s="6">
        <v>46002</v>
      </c>
      <c r="B906" t="s">
        <v>16</v>
      </c>
      <c r="C906" t="s">
        <v>17</v>
      </c>
      <c r="D906" s="2">
        <v>1352.2993905951871</v>
      </c>
      <c r="E906" s="2">
        <v>1355.1751707435089</v>
      </c>
      <c r="F906" s="2">
        <v>1341.4906116667039</v>
      </c>
      <c r="G906" s="2">
        <v>1348.63037109375</v>
      </c>
      <c r="H906" s="3">
        <v>6734750</v>
      </c>
      <c r="I906" s="4">
        <f t="shared" si="56"/>
        <v>-0.8</v>
      </c>
      <c r="J906" s="2">
        <f t="shared" si="57"/>
        <v>6.54</v>
      </c>
      <c r="K906" s="7">
        <f t="shared" si="58"/>
        <v>45992</v>
      </c>
      <c r="L906" t="str">
        <f t="shared" si="59"/>
        <v>Q4-2025</v>
      </c>
    </row>
    <row r="907" spans="1:12">
      <c r="A907" s="6">
        <v>46002</v>
      </c>
      <c r="B907" t="s">
        <v>18</v>
      </c>
      <c r="C907" t="s">
        <v>19</v>
      </c>
      <c r="D907" s="2">
        <v>248.96552354276989</v>
      </c>
      <c r="E907" s="2">
        <v>250.57512352453219</v>
      </c>
      <c r="F907" s="2">
        <v>248.39687057331619</v>
      </c>
      <c r="G907" s="2">
        <v>249.87152099609381</v>
      </c>
      <c r="H907" s="3">
        <v>6473376</v>
      </c>
      <c r="I907" s="4">
        <f t="shared" si="56"/>
        <v>-0.23</v>
      </c>
      <c r="J907" s="2">
        <f t="shared" si="57"/>
        <v>0.7</v>
      </c>
      <c r="K907" s="7">
        <f t="shared" si="58"/>
        <v>45992</v>
      </c>
      <c r="L907" t="str">
        <f t="shared" si="59"/>
        <v>Q4-2025</v>
      </c>
    </row>
    <row r="908" spans="1:12">
      <c r="A908" s="6">
        <v>46002</v>
      </c>
      <c r="B908" t="s">
        <v>20</v>
      </c>
      <c r="C908" t="s">
        <v>21</v>
      </c>
      <c r="D908" s="2">
        <v>1607.991762188291</v>
      </c>
      <c r="E908" s="2">
        <v>1617.5384834496249</v>
      </c>
      <c r="F908" s="2">
        <v>1590.151973522333</v>
      </c>
      <c r="G908" s="2">
        <v>1612.716918945312</v>
      </c>
      <c r="H908" s="3">
        <v>1408684</v>
      </c>
      <c r="I908" s="4">
        <f t="shared" si="56"/>
        <v>-1.1100000000000001</v>
      </c>
      <c r="J908" s="2">
        <f t="shared" si="57"/>
        <v>4.82</v>
      </c>
      <c r="K908" s="7">
        <f t="shared" si="58"/>
        <v>45992</v>
      </c>
      <c r="L908" t="str">
        <f t="shared" si="59"/>
        <v>Q4-2025</v>
      </c>
    </row>
    <row r="909" spans="1:12">
      <c r="A909" s="6">
        <v>46002</v>
      </c>
      <c r="B909" t="s">
        <v>22</v>
      </c>
      <c r="C909" t="s">
        <v>23</v>
      </c>
      <c r="D909" s="2">
        <v>1005.717678713742</v>
      </c>
      <c r="E909" s="2">
        <v>1014.265111537743</v>
      </c>
      <c r="F909" s="2">
        <v>993.98972394567818</v>
      </c>
      <c r="G909" s="2">
        <v>1000.251281738281</v>
      </c>
      <c r="H909" s="3">
        <v>4670539</v>
      </c>
      <c r="I909" s="4">
        <f t="shared" si="56"/>
        <v>-1.17</v>
      </c>
      <c r="J909" s="2">
        <f t="shared" si="57"/>
        <v>14.01</v>
      </c>
      <c r="K909" s="7">
        <f t="shared" si="58"/>
        <v>45992</v>
      </c>
      <c r="L909" t="str">
        <f t="shared" si="59"/>
        <v>Q4-2025</v>
      </c>
    </row>
    <row r="910" spans="1:12">
      <c r="A910" s="6">
        <v>46002</v>
      </c>
      <c r="B910" t="s">
        <v>24</v>
      </c>
      <c r="C910" t="s">
        <v>25</v>
      </c>
      <c r="D910" s="2">
        <v>15889.42205038216</v>
      </c>
      <c r="E910" s="2">
        <v>16133.96608717227</v>
      </c>
      <c r="F910" s="2">
        <v>15824.07829966092</v>
      </c>
      <c r="G910" s="2">
        <v>16086.443359375</v>
      </c>
      <c r="H910" s="3">
        <v>268701</v>
      </c>
      <c r="I910" s="4">
        <f t="shared" si="56"/>
        <v>-0.41</v>
      </c>
      <c r="J910" s="2">
        <f t="shared" si="57"/>
        <v>47.52</v>
      </c>
      <c r="K910" s="7">
        <f t="shared" si="58"/>
        <v>45992</v>
      </c>
      <c r="L910" t="str">
        <f t="shared" si="59"/>
        <v>Q4-2025</v>
      </c>
    </row>
    <row r="911" spans="1:12">
      <c r="A911" s="6">
        <v>46002</v>
      </c>
      <c r="B911" t="s">
        <v>26</v>
      </c>
      <c r="C911" t="s">
        <v>27</v>
      </c>
      <c r="D911" s="2">
        <v>340.57483353463118</v>
      </c>
      <c r="E911" s="2">
        <v>345.33536197415839</v>
      </c>
      <c r="F911" s="2">
        <v>338.5912875847888</v>
      </c>
      <c r="G911" s="2">
        <v>343.798095703125</v>
      </c>
      <c r="H911" s="3">
        <v>6756893</v>
      </c>
      <c r="I911" s="4">
        <f t="shared" si="56"/>
        <v>-0.57999999999999996</v>
      </c>
      <c r="J911" s="2">
        <f t="shared" si="57"/>
        <v>1.54</v>
      </c>
      <c r="K911" s="7">
        <f t="shared" si="58"/>
        <v>45992</v>
      </c>
      <c r="L911" t="str">
        <f t="shared" si="59"/>
        <v>Q4-2025</v>
      </c>
    </row>
    <row r="912" spans="1:12">
      <c r="A912" s="6">
        <v>46002</v>
      </c>
      <c r="B912" t="s">
        <v>28</v>
      </c>
      <c r="C912" t="s">
        <v>29</v>
      </c>
      <c r="D912" s="2">
        <v>1761.9073546284519</v>
      </c>
      <c r="E912" s="2">
        <v>1794.113197724866</v>
      </c>
      <c r="F912" s="2">
        <v>1759.0335782821419</v>
      </c>
      <c r="G912" s="2">
        <v>1790.843017578125</v>
      </c>
      <c r="H912" s="3">
        <v>1280916</v>
      </c>
      <c r="I912" s="4">
        <f t="shared" si="56"/>
        <v>-0.16</v>
      </c>
      <c r="J912" s="2">
        <f t="shared" si="57"/>
        <v>3.27</v>
      </c>
      <c r="K912" s="7">
        <f t="shared" si="58"/>
        <v>45992</v>
      </c>
      <c r="L912" t="str">
        <f t="shared" si="59"/>
        <v>Q4-2025</v>
      </c>
    </row>
    <row r="913" spans="1:12">
      <c r="A913" s="6">
        <v>46002</v>
      </c>
      <c r="B913" t="s">
        <v>30</v>
      </c>
      <c r="C913" t="s">
        <v>31</v>
      </c>
      <c r="D913" s="2">
        <v>2775.9160719797628</v>
      </c>
      <c r="E913" s="2">
        <v>2787.4163925228058</v>
      </c>
      <c r="F913" s="2">
        <v>2739.4325551970369</v>
      </c>
      <c r="G913" s="2">
        <v>2755.4931640625</v>
      </c>
      <c r="H913" s="3">
        <v>777422</v>
      </c>
      <c r="I913" s="4">
        <f t="shared" si="56"/>
        <v>-1.31</v>
      </c>
      <c r="J913" s="2">
        <f t="shared" si="57"/>
        <v>31.92</v>
      </c>
      <c r="K913" s="7">
        <f t="shared" si="58"/>
        <v>45992</v>
      </c>
      <c r="L913" t="str">
        <f t="shared" si="59"/>
        <v>Q4-2025</v>
      </c>
    </row>
    <row r="914" spans="1:12">
      <c r="A914" s="6">
        <v>46002</v>
      </c>
      <c r="B914" t="s">
        <v>32</v>
      </c>
      <c r="C914" t="s">
        <v>33</v>
      </c>
      <c r="D914" s="2">
        <v>2273.1783599753571</v>
      </c>
      <c r="E914" s="2">
        <v>2289.7101575668448</v>
      </c>
      <c r="F914" s="2">
        <v>2268.9216087951609</v>
      </c>
      <c r="G914" s="2">
        <v>2282.384765625</v>
      </c>
      <c r="H914" s="3">
        <v>1108032</v>
      </c>
      <c r="I914" s="4">
        <f t="shared" si="56"/>
        <v>-0.19</v>
      </c>
      <c r="J914" s="2">
        <f t="shared" si="57"/>
        <v>7.33</v>
      </c>
      <c r="K914" s="7">
        <f t="shared" si="58"/>
        <v>45992</v>
      </c>
      <c r="L914" t="str">
        <f t="shared" si="59"/>
        <v>Q4-2025</v>
      </c>
    </row>
    <row r="915" spans="1:12">
      <c r="A915" s="6">
        <v>46002</v>
      </c>
      <c r="B915" t="s">
        <v>34</v>
      </c>
      <c r="C915" t="s">
        <v>35</v>
      </c>
      <c r="D915" s="2">
        <v>3954.5742024814099</v>
      </c>
      <c r="E915" s="2">
        <v>3976.1633820273132</v>
      </c>
      <c r="F915" s="2">
        <v>3946.057534327083</v>
      </c>
      <c r="G915" s="2">
        <v>3965.170654296875</v>
      </c>
      <c r="H915" s="3">
        <v>841371</v>
      </c>
      <c r="I915" s="4">
        <f t="shared" si="56"/>
        <v>-0.22</v>
      </c>
      <c r="J915" s="2">
        <f t="shared" si="57"/>
        <v>10.99</v>
      </c>
      <c r="K915" s="7">
        <f t="shared" si="58"/>
        <v>45992</v>
      </c>
      <c r="L915" t="str">
        <f t="shared" si="59"/>
        <v>Q4-2025</v>
      </c>
    </row>
    <row r="916" spans="1:12">
      <c r="A916" s="6">
        <v>46002</v>
      </c>
      <c r="B916" t="s">
        <v>36</v>
      </c>
      <c r="C916" t="s">
        <v>37</v>
      </c>
      <c r="D916" s="2">
        <v>1276.4155672355309</v>
      </c>
      <c r="E916" s="2">
        <v>1281.0119977463939</v>
      </c>
      <c r="F916" s="2">
        <v>1270.0204751448259</v>
      </c>
      <c r="G916" s="2">
        <v>1271.719116210938</v>
      </c>
      <c r="H916" s="3">
        <v>2017404</v>
      </c>
      <c r="I916" s="4">
        <f t="shared" si="56"/>
        <v>-0.5</v>
      </c>
      <c r="J916" s="2">
        <f t="shared" si="57"/>
        <v>9.2899999999999991</v>
      </c>
      <c r="K916" s="7">
        <f t="shared" si="58"/>
        <v>45992</v>
      </c>
      <c r="L916" t="str">
        <f t="shared" si="59"/>
        <v>Q4-2025</v>
      </c>
    </row>
    <row r="917" spans="1:12">
      <c r="A917" s="6">
        <v>46003</v>
      </c>
      <c r="B917" t="s">
        <v>8</v>
      </c>
      <c r="C917" t="s">
        <v>9</v>
      </c>
      <c r="D917" s="2">
        <v>1543.662829463156</v>
      </c>
      <c r="E917" s="2">
        <v>1552.6214089239099</v>
      </c>
      <c r="F917" s="2">
        <v>1538.9843872841</v>
      </c>
      <c r="G917" s="2">
        <v>1549.336547851562</v>
      </c>
      <c r="H917" s="3">
        <v>5106655</v>
      </c>
      <c r="I917" s="4">
        <f t="shared" si="56"/>
        <v>-0.3</v>
      </c>
      <c r="J917" s="2">
        <f t="shared" si="57"/>
        <v>3.28</v>
      </c>
      <c r="K917" s="7">
        <f t="shared" si="58"/>
        <v>45992</v>
      </c>
      <c r="L917" t="str">
        <f t="shared" si="59"/>
        <v>Q4-2025</v>
      </c>
    </row>
    <row r="918" spans="1:12">
      <c r="A918" s="6">
        <v>46003</v>
      </c>
      <c r="B918" t="s">
        <v>10</v>
      </c>
      <c r="C918" t="s">
        <v>11</v>
      </c>
      <c r="D918" s="2">
        <v>3081.696263178982</v>
      </c>
      <c r="E918" s="2">
        <v>3106.0784963848541</v>
      </c>
      <c r="F918" s="2">
        <v>3070.1315899066831</v>
      </c>
      <c r="G918" s="2">
        <v>3103.669189453125</v>
      </c>
      <c r="H918" s="3">
        <v>1146554</v>
      </c>
      <c r="I918" s="4">
        <f t="shared" si="56"/>
        <v>-0.38</v>
      </c>
      <c r="J918" s="2">
        <f t="shared" si="57"/>
        <v>2.41</v>
      </c>
      <c r="K918" s="7">
        <f t="shared" si="58"/>
        <v>45992</v>
      </c>
      <c r="L918" t="str">
        <f t="shared" si="59"/>
        <v>Q4-2025</v>
      </c>
    </row>
    <row r="919" spans="1:12">
      <c r="A919" s="6">
        <v>46003</v>
      </c>
      <c r="B919" t="s">
        <v>12</v>
      </c>
      <c r="C919" t="s">
        <v>13</v>
      </c>
      <c r="D919" s="2">
        <v>1567.480680983846</v>
      </c>
      <c r="E919" s="2">
        <v>1567.8722324584339</v>
      </c>
      <c r="F919" s="2">
        <v>1549.078837040812</v>
      </c>
      <c r="G919" s="2">
        <v>1564.348388671875</v>
      </c>
      <c r="H919" s="3">
        <v>4633912</v>
      </c>
      <c r="I919" s="4">
        <f t="shared" si="56"/>
        <v>-1.17</v>
      </c>
      <c r="J919" s="2">
        <f t="shared" si="57"/>
        <v>3.52</v>
      </c>
      <c r="K919" s="7">
        <f t="shared" si="58"/>
        <v>45992</v>
      </c>
      <c r="L919" t="str">
        <f t="shared" si="59"/>
        <v>Q4-2025</v>
      </c>
    </row>
    <row r="920" spans="1:12">
      <c r="A920" s="6">
        <v>46003</v>
      </c>
      <c r="B920" t="s">
        <v>14</v>
      </c>
      <c r="C920" t="s">
        <v>15</v>
      </c>
      <c r="D920" s="2">
        <v>986.6808557305643</v>
      </c>
      <c r="E920" s="2">
        <v>988.35320817242473</v>
      </c>
      <c r="F920" s="2">
        <v>981.95896533867733</v>
      </c>
      <c r="G920" s="2">
        <v>985.20526123046875</v>
      </c>
      <c r="H920" s="3">
        <v>11988618</v>
      </c>
      <c r="I920" s="4">
        <f t="shared" si="56"/>
        <v>-0.48</v>
      </c>
      <c r="J920" s="2">
        <f t="shared" si="57"/>
        <v>3.15</v>
      </c>
      <c r="K920" s="7">
        <f t="shared" si="58"/>
        <v>45992</v>
      </c>
      <c r="L920" t="str">
        <f t="shared" si="59"/>
        <v>Q4-2025</v>
      </c>
    </row>
    <row r="921" spans="1:12">
      <c r="A921" s="6">
        <v>46003</v>
      </c>
      <c r="B921" t="s">
        <v>16</v>
      </c>
      <c r="C921" t="s">
        <v>17</v>
      </c>
      <c r="D921" s="2">
        <v>1356.5634801370329</v>
      </c>
      <c r="E921" s="2">
        <v>1359.2408596384359</v>
      </c>
      <c r="F921" s="2">
        <v>1351.9028206939099</v>
      </c>
      <c r="G921" s="2">
        <v>1354.580200195312</v>
      </c>
      <c r="H921" s="3">
        <v>3890885</v>
      </c>
      <c r="I921" s="4">
        <f t="shared" si="56"/>
        <v>-0.34</v>
      </c>
      <c r="J921" s="2">
        <f t="shared" si="57"/>
        <v>4.66</v>
      </c>
      <c r="K921" s="7">
        <f t="shared" si="58"/>
        <v>45992</v>
      </c>
      <c r="L921" t="str">
        <f t="shared" si="59"/>
        <v>Q4-2025</v>
      </c>
    </row>
    <row r="922" spans="1:12">
      <c r="A922" s="6">
        <v>46003</v>
      </c>
      <c r="B922" t="s">
        <v>18</v>
      </c>
      <c r="C922" t="s">
        <v>19</v>
      </c>
      <c r="D922" s="2">
        <v>250.11248602204779</v>
      </c>
      <c r="E922" s="2">
        <v>251.38474156512169</v>
      </c>
      <c r="F922" s="2">
        <v>248.0498872403742</v>
      </c>
      <c r="G922" s="2">
        <v>251.1726989746094</v>
      </c>
      <c r="H922" s="3">
        <v>4008271</v>
      </c>
      <c r="I922" s="4">
        <f t="shared" si="56"/>
        <v>-0.82</v>
      </c>
      <c r="J922" s="2">
        <f t="shared" si="57"/>
        <v>0.21</v>
      </c>
      <c r="K922" s="7">
        <f t="shared" si="58"/>
        <v>45992</v>
      </c>
      <c r="L922" t="str">
        <f t="shared" si="59"/>
        <v>Q4-2025</v>
      </c>
    </row>
    <row r="923" spans="1:12">
      <c r="A923" s="6">
        <v>46003</v>
      </c>
      <c r="B923" t="s">
        <v>20</v>
      </c>
      <c r="C923" t="s">
        <v>21</v>
      </c>
      <c r="D923" s="2">
        <v>1617.5383436416289</v>
      </c>
      <c r="E923" s="2">
        <v>1618.0205000503861</v>
      </c>
      <c r="F923" s="2">
        <v>1600.759277074083</v>
      </c>
      <c r="G923" s="2">
        <v>1613.488159179688</v>
      </c>
      <c r="H923" s="3">
        <v>1284337</v>
      </c>
      <c r="I923" s="4">
        <f t="shared" si="56"/>
        <v>-1.04</v>
      </c>
      <c r="J923" s="2">
        <f t="shared" si="57"/>
        <v>4.53</v>
      </c>
      <c r="K923" s="7">
        <f t="shared" si="58"/>
        <v>45992</v>
      </c>
      <c r="L923" t="str">
        <f t="shared" si="59"/>
        <v>Q4-2025</v>
      </c>
    </row>
    <row r="924" spans="1:12">
      <c r="A924" s="6">
        <v>46003</v>
      </c>
      <c r="B924" t="s">
        <v>22</v>
      </c>
      <c r="C924" t="s">
        <v>23</v>
      </c>
      <c r="D924" s="2">
        <v>993.89036458681755</v>
      </c>
      <c r="E924" s="2">
        <v>1014.563272037773</v>
      </c>
      <c r="F924" s="2">
        <v>993.89036458681755</v>
      </c>
      <c r="G924" s="2">
        <v>1011.084655761719</v>
      </c>
      <c r="H924" s="3">
        <v>4381711</v>
      </c>
      <c r="I924" s="4">
        <f t="shared" si="56"/>
        <v>0</v>
      </c>
      <c r="J924" s="2">
        <f t="shared" si="57"/>
        <v>3.48</v>
      </c>
      <c r="K924" s="7">
        <f t="shared" si="58"/>
        <v>45992</v>
      </c>
      <c r="L924" t="str">
        <f t="shared" si="59"/>
        <v>Q4-2025</v>
      </c>
    </row>
    <row r="925" spans="1:12">
      <c r="A925" s="6">
        <v>46003</v>
      </c>
      <c r="B925" t="s">
        <v>24</v>
      </c>
      <c r="C925" t="s">
        <v>25</v>
      </c>
      <c r="D925" s="2">
        <v>16086.44318181818</v>
      </c>
      <c r="E925" s="2">
        <v>16371.57954545455</v>
      </c>
      <c r="F925" s="2">
        <v>16085.453125</v>
      </c>
      <c r="G925" s="2">
        <v>16357.71875</v>
      </c>
      <c r="H925" s="3">
        <v>404711</v>
      </c>
      <c r="I925" s="4">
        <f t="shared" si="56"/>
        <v>-0.01</v>
      </c>
      <c r="J925" s="2">
        <f t="shared" si="57"/>
        <v>13.86</v>
      </c>
      <c r="K925" s="7">
        <f t="shared" si="58"/>
        <v>45992</v>
      </c>
      <c r="L925" t="str">
        <f t="shared" si="59"/>
        <v>Q4-2025</v>
      </c>
    </row>
    <row r="926" spans="1:12">
      <c r="A926" s="6">
        <v>46003</v>
      </c>
      <c r="B926" t="s">
        <v>26</v>
      </c>
      <c r="C926" t="s">
        <v>27</v>
      </c>
      <c r="D926" s="2">
        <v>345.13698523052909</v>
      </c>
      <c r="E926" s="2">
        <v>346.47588476101822</v>
      </c>
      <c r="F926" s="2">
        <v>341.91372315581867</v>
      </c>
      <c r="G926" s="2">
        <v>344.59152221679688</v>
      </c>
      <c r="H926" s="3">
        <v>7241621</v>
      </c>
      <c r="I926" s="4">
        <f t="shared" si="56"/>
        <v>-0.93</v>
      </c>
      <c r="J926" s="2">
        <f t="shared" si="57"/>
        <v>1.88</v>
      </c>
      <c r="K926" s="7">
        <f t="shared" si="58"/>
        <v>45992</v>
      </c>
      <c r="L926" t="str">
        <f t="shared" si="59"/>
        <v>Q4-2025</v>
      </c>
    </row>
    <row r="927" spans="1:12">
      <c r="A927" s="6">
        <v>46003</v>
      </c>
      <c r="B927" t="s">
        <v>28</v>
      </c>
      <c r="C927" t="s">
        <v>29</v>
      </c>
      <c r="D927" s="2">
        <v>1791.6358508154451</v>
      </c>
      <c r="E927" s="2">
        <v>1795.4015055252439</v>
      </c>
      <c r="F927" s="2">
        <v>1774.789717262423</v>
      </c>
      <c r="G927" s="2">
        <v>1777.26708984375</v>
      </c>
      <c r="H927" s="3">
        <v>1442309</v>
      </c>
      <c r="I927" s="4">
        <f t="shared" si="56"/>
        <v>-0.94</v>
      </c>
      <c r="J927" s="2">
        <f t="shared" si="57"/>
        <v>18.13</v>
      </c>
      <c r="K927" s="7">
        <f t="shared" si="58"/>
        <v>45992</v>
      </c>
      <c r="L927" t="str">
        <f t="shared" si="59"/>
        <v>Q4-2025</v>
      </c>
    </row>
    <row r="928" spans="1:12">
      <c r="A928" s="6">
        <v>46003</v>
      </c>
      <c r="B928" t="s">
        <v>30</v>
      </c>
      <c r="C928" t="s">
        <v>31</v>
      </c>
      <c r="D928" s="2">
        <v>2770.959233867517</v>
      </c>
      <c r="E928" s="2">
        <v>2772.9420311726112</v>
      </c>
      <c r="F928" s="2">
        <v>2722.380699892738</v>
      </c>
      <c r="G928" s="2">
        <v>2741.01904296875</v>
      </c>
      <c r="H928" s="3">
        <v>977696</v>
      </c>
      <c r="I928" s="4">
        <f t="shared" si="56"/>
        <v>-1.75</v>
      </c>
      <c r="J928" s="2">
        <f t="shared" si="57"/>
        <v>31.92</v>
      </c>
      <c r="K928" s="7">
        <f t="shared" si="58"/>
        <v>45992</v>
      </c>
      <c r="L928" t="str">
        <f t="shared" si="59"/>
        <v>Q4-2025</v>
      </c>
    </row>
    <row r="929" spans="1:12">
      <c r="A929" s="6">
        <v>46003</v>
      </c>
      <c r="B929" t="s">
        <v>32</v>
      </c>
      <c r="C929" t="s">
        <v>33</v>
      </c>
      <c r="D929" s="2">
        <v>2283.6714979780422</v>
      </c>
      <c r="E929" s="2">
        <v>2285.7504495422932</v>
      </c>
      <c r="F929" s="2">
        <v>2222.0978442956589</v>
      </c>
      <c r="G929" s="2">
        <v>2237.837890625</v>
      </c>
      <c r="H929" s="3">
        <v>3203114</v>
      </c>
      <c r="I929" s="4">
        <f t="shared" si="56"/>
        <v>-2.7</v>
      </c>
      <c r="J929" s="2">
        <f t="shared" si="57"/>
        <v>47.91</v>
      </c>
      <c r="K929" s="7">
        <f t="shared" si="58"/>
        <v>45992</v>
      </c>
      <c r="L929" t="str">
        <f t="shared" si="59"/>
        <v>Q4-2025</v>
      </c>
    </row>
    <row r="930" spans="1:12">
      <c r="A930" s="6">
        <v>46003</v>
      </c>
      <c r="B930" t="s">
        <v>34</v>
      </c>
      <c r="C930" t="s">
        <v>35</v>
      </c>
      <c r="D930" s="2">
        <v>4021.71851229608</v>
      </c>
      <c r="E930" s="2">
        <v>4074.205850673743</v>
      </c>
      <c r="F930" s="2">
        <v>4009.4385524816189</v>
      </c>
      <c r="G930" s="2">
        <v>4034.69189453125</v>
      </c>
      <c r="H930" s="3">
        <v>2207898</v>
      </c>
      <c r="I930" s="4">
        <f t="shared" si="56"/>
        <v>-0.31</v>
      </c>
      <c r="J930" s="2">
        <f t="shared" si="57"/>
        <v>39.51</v>
      </c>
      <c r="K930" s="7">
        <f t="shared" si="58"/>
        <v>45992</v>
      </c>
      <c r="L930" t="str">
        <f t="shared" si="59"/>
        <v>Q4-2025</v>
      </c>
    </row>
    <row r="931" spans="1:12">
      <c r="A931" s="6">
        <v>46003</v>
      </c>
      <c r="B931" t="s">
        <v>36</v>
      </c>
      <c r="C931" t="s">
        <v>37</v>
      </c>
      <c r="D931" s="2">
        <v>1277.0151531013839</v>
      </c>
      <c r="E931" s="2">
        <v>1290.0051350969379</v>
      </c>
      <c r="F931" s="2">
        <v>1276.915254558206</v>
      </c>
      <c r="G931" s="2">
        <v>1285.10888671875</v>
      </c>
      <c r="H931" s="3">
        <v>2281078</v>
      </c>
      <c r="I931" s="4">
        <f t="shared" si="56"/>
        <v>-0.01</v>
      </c>
      <c r="J931" s="2">
        <f t="shared" si="57"/>
        <v>4.9000000000000004</v>
      </c>
      <c r="K931" s="7">
        <f t="shared" si="58"/>
        <v>45992</v>
      </c>
      <c r="L931" t="str">
        <f t="shared" si="59"/>
        <v>Q4-2025</v>
      </c>
    </row>
    <row r="932" spans="1:12">
      <c r="A932" s="6">
        <v>46006</v>
      </c>
      <c r="B932" t="s">
        <v>8</v>
      </c>
      <c r="C932" t="s">
        <v>9</v>
      </c>
      <c r="D932" s="2">
        <v>1544.0608533300961</v>
      </c>
      <c r="E932" s="2">
        <v>1551.4268205626299</v>
      </c>
      <c r="F932" s="2">
        <v>1539.382532774727</v>
      </c>
      <c r="G932" s="2">
        <v>1549.037841796875</v>
      </c>
      <c r="H932" s="3">
        <v>5774543</v>
      </c>
      <c r="I932" s="4">
        <f t="shared" si="56"/>
        <v>-0.3</v>
      </c>
      <c r="J932" s="2">
        <f t="shared" si="57"/>
        <v>2.39</v>
      </c>
      <c r="K932" s="7">
        <f t="shared" si="58"/>
        <v>45992</v>
      </c>
      <c r="L932" t="str">
        <f t="shared" si="59"/>
        <v>Q4-2025</v>
      </c>
    </row>
    <row r="933" spans="1:12">
      <c r="A933" s="6">
        <v>46006</v>
      </c>
      <c r="B933" t="s">
        <v>10</v>
      </c>
      <c r="C933" t="s">
        <v>11</v>
      </c>
      <c r="D933" s="2">
        <v>3094.6103697191652</v>
      </c>
      <c r="E933" s="2">
        <v>3120.7271163657538</v>
      </c>
      <c r="F933" s="2">
        <v>3081.3109480545099</v>
      </c>
      <c r="G933" s="2">
        <v>3113.017333984375</v>
      </c>
      <c r="H933" s="3">
        <v>1562190</v>
      </c>
      <c r="I933" s="4">
        <f t="shared" si="56"/>
        <v>-0.43</v>
      </c>
      <c r="J933" s="2">
        <f t="shared" si="57"/>
        <v>7.71</v>
      </c>
      <c r="K933" s="7">
        <f t="shared" si="58"/>
        <v>45992</v>
      </c>
      <c r="L933" t="str">
        <f t="shared" si="59"/>
        <v>Q4-2025</v>
      </c>
    </row>
    <row r="934" spans="1:12">
      <c r="A934" s="6">
        <v>46006</v>
      </c>
      <c r="B934" t="s">
        <v>12</v>
      </c>
      <c r="C934" t="s">
        <v>13</v>
      </c>
      <c r="D934" s="2">
        <v>1551.4280562362139</v>
      </c>
      <c r="E934" s="2">
        <v>1576.681633273575</v>
      </c>
      <c r="F934" s="2">
        <v>1551.4280562362139</v>
      </c>
      <c r="G934" s="2">
        <v>1572.766357421875</v>
      </c>
      <c r="H934" s="3">
        <v>4190558</v>
      </c>
      <c r="I934" s="4">
        <f t="shared" si="56"/>
        <v>0</v>
      </c>
      <c r="J934" s="2">
        <f t="shared" si="57"/>
        <v>3.92</v>
      </c>
      <c r="K934" s="7">
        <f t="shared" si="58"/>
        <v>45992</v>
      </c>
      <c r="L934" t="str">
        <f t="shared" si="59"/>
        <v>Q4-2025</v>
      </c>
    </row>
    <row r="935" spans="1:12">
      <c r="A935" s="6">
        <v>46006</v>
      </c>
      <c r="B935" t="s">
        <v>14</v>
      </c>
      <c r="C935" t="s">
        <v>15</v>
      </c>
      <c r="D935" s="2">
        <v>975.85979891547254</v>
      </c>
      <c r="E935" s="2">
        <v>985.50033733988835</v>
      </c>
      <c r="F935" s="2">
        <v>975.85979891547254</v>
      </c>
      <c r="G935" s="2">
        <v>979.89306640625</v>
      </c>
      <c r="H935" s="3">
        <v>9790060</v>
      </c>
      <c r="I935" s="4">
        <f t="shared" si="56"/>
        <v>0</v>
      </c>
      <c r="J935" s="2">
        <f t="shared" si="57"/>
        <v>5.61</v>
      </c>
      <c r="K935" s="7">
        <f t="shared" si="58"/>
        <v>45992</v>
      </c>
      <c r="L935" t="str">
        <f t="shared" si="59"/>
        <v>Q4-2025</v>
      </c>
    </row>
    <row r="936" spans="1:12">
      <c r="A936" s="6">
        <v>46006</v>
      </c>
      <c r="B936" t="s">
        <v>16</v>
      </c>
      <c r="C936" t="s">
        <v>17</v>
      </c>
      <c r="D936" s="2">
        <v>1344.7629655399601</v>
      </c>
      <c r="E936" s="2">
        <v>1358.546785603857</v>
      </c>
      <c r="F936" s="2">
        <v>1344.7629655399601</v>
      </c>
      <c r="G936" s="2">
        <v>1353.786865234375</v>
      </c>
      <c r="H936" s="3">
        <v>5342530</v>
      </c>
      <c r="I936" s="4">
        <f t="shared" si="56"/>
        <v>0</v>
      </c>
      <c r="J936" s="2">
        <f t="shared" si="57"/>
        <v>4.76</v>
      </c>
      <c r="K936" s="7">
        <f t="shared" si="58"/>
        <v>45992</v>
      </c>
      <c r="L936" t="str">
        <f t="shared" si="59"/>
        <v>Q4-2025</v>
      </c>
    </row>
    <row r="937" spans="1:12">
      <c r="A937" s="6">
        <v>46006</v>
      </c>
      <c r="B937" t="s">
        <v>18</v>
      </c>
      <c r="C937" t="s">
        <v>19</v>
      </c>
      <c r="D937" s="2">
        <v>250.58474556730701</v>
      </c>
      <c r="E937" s="2">
        <v>253.00395469887241</v>
      </c>
      <c r="F937" s="2">
        <v>249.18721756093521</v>
      </c>
      <c r="G937" s="2">
        <v>252.27143859863281</v>
      </c>
      <c r="H937" s="3">
        <v>4023911</v>
      </c>
      <c r="I937" s="4">
        <f t="shared" si="56"/>
        <v>-0.56000000000000005</v>
      </c>
      <c r="J937" s="2">
        <f t="shared" si="57"/>
        <v>0.73</v>
      </c>
      <c r="K937" s="7">
        <f t="shared" si="58"/>
        <v>45992</v>
      </c>
      <c r="L937" t="str">
        <f t="shared" si="59"/>
        <v>Q4-2025</v>
      </c>
    </row>
    <row r="938" spans="1:12">
      <c r="A938" s="6">
        <v>46006</v>
      </c>
      <c r="B938" t="s">
        <v>20</v>
      </c>
      <c r="C938" t="s">
        <v>21</v>
      </c>
      <c r="D938" s="2">
        <v>1613.48820621292</v>
      </c>
      <c r="E938" s="2">
        <v>1627.760083413747</v>
      </c>
      <c r="F938" s="2">
        <v>1600.759323736268</v>
      </c>
      <c r="G938" s="2">
        <v>1623.90283203125</v>
      </c>
      <c r="H938" s="3">
        <v>1689723</v>
      </c>
      <c r="I938" s="4">
        <f t="shared" si="56"/>
        <v>-0.79</v>
      </c>
      <c r="J938" s="2">
        <f t="shared" si="57"/>
        <v>3.86</v>
      </c>
      <c r="K938" s="7">
        <f t="shared" si="58"/>
        <v>45992</v>
      </c>
      <c r="L938" t="str">
        <f t="shared" si="59"/>
        <v>Q4-2025</v>
      </c>
    </row>
    <row r="939" spans="1:12">
      <c r="A939" s="6">
        <v>46006</v>
      </c>
      <c r="B939" t="s">
        <v>22</v>
      </c>
      <c r="C939" t="s">
        <v>23</v>
      </c>
      <c r="D939" s="2">
        <v>1008.798691990159</v>
      </c>
      <c r="E939" s="2">
        <v>1010.289527495563</v>
      </c>
      <c r="F939" s="2">
        <v>1001.841459631606</v>
      </c>
      <c r="G939" s="2">
        <v>1006.512756347656</v>
      </c>
      <c r="H939" s="3">
        <v>3958977</v>
      </c>
      <c r="I939" s="4">
        <f t="shared" si="56"/>
        <v>-0.69</v>
      </c>
      <c r="J939" s="2">
        <f t="shared" si="57"/>
        <v>3.78</v>
      </c>
      <c r="K939" s="7">
        <f t="shared" si="58"/>
        <v>45992</v>
      </c>
      <c r="L939" t="str">
        <f t="shared" si="59"/>
        <v>Q4-2025</v>
      </c>
    </row>
    <row r="940" spans="1:12">
      <c r="A940" s="6">
        <v>46006</v>
      </c>
      <c r="B940" t="s">
        <v>24</v>
      </c>
      <c r="C940" t="s">
        <v>25</v>
      </c>
      <c r="D940" s="2">
        <v>16335.937053809401</v>
      </c>
      <c r="E940" s="2">
        <v>16335.937053809401</v>
      </c>
      <c r="F940" s="2">
        <v>16197.3291030498</v>
      </c>
      <c r="G940" s="2">
        <v>16251.7822265625</v>
      </c>
      <c r="H940" s="3">
        <v>225221</v>
      </c>
      <c r="I940" s="4">
        <f t="shared" si="56"/>
        <v>-0.85</v>
      </c>
      <c r="J940" s="2">
        <f t="shared" si="57"/>
        <v>84.15</v>
      </c>
      <c r="K940" s="7">
        <f t="shared" si="58"/>
        <v>45992</v>
      </c>
      <c r="L940" t="str">
        <f t="shared" si="59"/>
        <v>Q4-2025</v>
      </c>
    </row>
    <row r="941" spans="1:12">
      <c r="A941" s="6">
        <v>46006</v>
      </c>
      <c r="B941" t="s">
        <v>26</v>
      </c>
      <c r="C941" t="s">
        <v>27</v>
      </c>
      <c r="D941" s="2">
        <v>344.59152587696298</v>
      </c>
      <c r="E941" s="2">
        <v>345.8808186139384</v>
      </c>
      <c r="F941" s="2">
        <v>340.22770065472002</v>
      </c>
      <c r="G941" s="2">
        <v>344.29397583007813</v>
      </c>
      <c r="H941" s="3">
        <v>8169383</v>
      </c>
      <c r="I941" s="4">
        <f t="shared" si="56"/>
        <v>-1.27</v>
      </c>
      <c r="J941" s="2">
        <f t="shared" si="57"/>
        <v>1.59</v>
      </c>
      <c r="K941" s="7">
        <f t="shared" si="58"/>
        <v>45992</v>
      </c>
      <c r="L941" t="str">
        <f t="shared" si="59"/>
        <v>Q4-2025</v>
      </c>
    </row>
    <row r="942" spans="1:12">
      <c r="A942" s="6">
        <v>46006</v>
      </c>
      <c r="B942" t="s">
        <v>28</v>
      </c>
      <c r="C942" t="s">
        <v>29</v>
      </c>
      <c r="D942" s="2">
        <v>1762.8983194563341</v>
      </c>
      <c r="E942" s="2">
        <v>1788.266590360535</v>
      </c>
      <c r="F942" s="2">
        <v>1761.5109666251101</v>
      </c>
      <c r="G942" s="2">
        <v>1780.83447265625</v>
      </c>
      <c r="H942" s="3">
        <v>1396948</v>
      </c>
      <c r="I942" s="4">
        <f t="shared" si="56"/>
        <v>-0.08</v>
      </c>
      <c r="J942" s="2">
        <f t="shared" si="57"/>
        <v>7.43</v>
      </c>
      <c r="K942" s="7">
        <f t="shared" si="58"/>
        <v>45992</v>
      </c>
      <c r="L942" t="str">
        <f t="shared" si="59"/>
        <v>Q4-2025</v>
      </c>
    </row>
    <row r="943" spans="1:12">
      <c r="A943" s="6">
        <v>46006</v>
      </c>
      <c r="B943" t="s">
        <v>30</v>
      </c>
      <c r="C943" t="s">
        <v>31</v>
      </c>
      <c r="D943" s="2">
        <v>2749.2475920214042</v>
      </c>
      <c r="E943" s="2">
        <v>2777.8989151364121</v>
      </c>
      <c r="F943" s="2">
        <v>2734.971306762036</v>
      </c>
      <c r="G943" s="2">
        <v>2756.286376953125</v>
      </c>
      <c r="H943" s="3">
        <v>1029674</v>
      </c>
      <c r="I943" s="4">
        <f t="shared" si="56"/>
        <v>-0.52</v>
      </c>
      <c r="J943" s="2">
        <f t="shared" si="57"/>
        <v>21.61</v>
      </c>
      <c r="K943" s="7">
        <f t="shared" si="58"/>
        <v>45992</v>
      </c>
      <c r="L943" t="str">
        <f t="shared" si="59"/>
        <v>Q4-2025</v>
      </c>
    </row>
    <row r="944" spans="1:12">
      <c r="A944" s="6">
        <v>46006</v>
      </c>
      <c r="B944" t="s">
        <v>32</v>
      </c>
      <c r="C944" t="s">
        <v>33</v>
      </c>
      <c r="D944" s="2">
        <v>2237.8378645623202</v>
      </c>
      <c r="E944" s="2">
        <v>2275.85111403065</v>
      </c>
      <c r="F944" s="2">
        <v>2229.3243622431601</v>
      </c>
      <c r="G944" s="2">
        <v>2270.406494140625</v>
      </c>
      <c r="H944" s="3">
        <v>1274115</v>
      </c>
      <c r="I944" s="4">
        <f t="shared" si="56"/>
        <v>-0.38</v>
      </c>
      <c r="J944" s="2">
        <f t="shared" si="57"/>
        <v>5.44</v>
      </c>
      <c r="K944" s="7">
        <f t="shared" si="58"/>
        <v>45992</v>
      </c>
      <c r="L944" t="str">
        <f t="shared" si="59"/>
        <v>Q4-2025</v>
      </c>
    </row>
    <row r="945" spans="1:12">
      <c r="A945" s="6">
        <v>46006</v>
      </c>
      <c r="B945" t="s">
        <v>34</v>
      </c>
      <c r="C945" t="s">
        <v>35</v>
      </c>
      <c r="D945" s="2">
        <v>4033.404441001805</v>
      </c>
      <c r="E945" s="2">
        <v>4056.379982389994</v>
      </c>
      <c r="F945" s="2">
        <v>4024.491496704562</v>
      </c>
      <c r="G945" s="2">
        <v>4052.7158203125</v>
      </c>
      <c r="H945" s="3">
        <v>1064975</v>
      </c>
      <c r="I945" s="4">
        <f t="shared" si="56"/>
        <v>-0.22</v>
      </c>
      <c r="J945" s="2">
        <f t="shared" si="57"/>
        <v>3.66</v>
      </c>
      <c r="K945" s="7">
        <f t="shared" si="58"/>
        <v>45992</v>
      </c>
      <c r="L945" t="str">
        <f t="shared" si="59"/>
        <v>Q4-2025</v>
      </c>
    </row>
    <row r="946" spans="1:12">
      <c r="A946" s="6">
        <v>46006</v>
      </c>
      <c r="B946" t="s">
        <v>36</v>
      </c>
      <c r="C946" t="s">
        <v>37</v>
      </c>
      <c r="D946" s="2">
        <v>1284.0097336058759</v>
      </c>
      <c r="E946" s="2">
        <v>1289.4055965703631</v>
      </c>
      <c r="F946" s="2">
        <v>1279.013586782507</v>
      </c>
      <c r="G946" s="2">
        <v>1283.809936523438</v>
      </c>
      <c r="H946" s="3">
        <v>1634472</v>
      </c>
      <c r="I946" s="4">
        <f t="shared" si="56"/>
        <v>-0.39</v>
      </c>
      <c r="J946" s="2">
        <f t="shared" si="57"/>
        <v>5.6</v>
      </c>
      <c r="K946" s="7">
        <f t="shared" si="58"/>
        <v>45992</v>
      </c>
      <c r="L946" t="str">
        <f t="shared" si="59"/>
        <v>Q4-2025</v>
      </c>
    </row>
    <row r="947" spans="1:12">
      <c r="A947" s="6">
        <v>46007</v>
      </c>
      <c r="B947" t="s">
        <v>8</v>
      </c>
      <c r="C947" t="s">
        <v>9</v>
      </c>
      <c r="D947" s="2">
        <v>1537.8894294536831</v>
      </c>
      <c r="E947" s="2">
        <v>1544.5585453663571</v>
      </c>
      <c r="F947" s="2">
        <v>1531.718012385491</v>
      </c>
      <c r="G947" s="2">
        <v>1535.201904296875</v>
      </c>
      <c r="H947" s="3">
        <v>11731856</v>
      </c>
      <c r="I947" s="4">
        <f t="shared" si="56"/>
        <v>-0.4</v>
      </c>
      <c r="J947" s="2">
        <f t="shared" si="57"/>
        <v>9.36</v>
      </c>
      <c r="K947" s="7">
        <f t="shared" si="58"/>
        <v>45992</v>
      </c>
      <c r="L947" t="str">
        <f t="shared" si="59"/>
        <v>Q4-2025</v>
      </c>
    </row>
    <row r="948" spans="1:12">
      <c r="A948" s="6">
        <v>46007</v>
      </c>
      <c r="B948" t="s">
        <v>10</v>
      </c>
      <c r="C948" t="s">
        <v>11</v>
      </c>
      <c r="D948" s="2">
        <v>3103.1875009997648</v>
      </c>
      <c r="E948" s="2">
        <v>3103.1875009997648</v>
      </c>
      <c r="F948" s="2">
        <v>3075.3360054304362</v>
      </c>
      <c r="G948" s="2">
        <v>3088.828125</v>
      </c>
      <c r="H948" s="3">
        <v>1734623</v>
      </c>
      <c r="I948" s="4">
        <f t="shared" si="56"/>
        <v>-0.9</v>
      </c>
      <c r="J948" s="2">
        <f t="shared" si="57"/>
        <v>14.36</v>
      </c>
      <c r="K948" s="7">
        <f t="shared" si="58"/>
        <v>45992</v>
      </c>
      <c r="L948" t="str">
        <f t="shared" si="59"/>
        <v>Q4-2025</v>
      </c>
    </row>
    <row r="949" spans="1:12">
      <c r="A949" s="6">
        <v>46007</v>
      </c>
      <c r="B949" t="s">
        <v>12</v>
      </c>
      <c r="C949" t="s">
        <v>13</v>
      </c>
      <c r="D949" s="2">
        <v>1566.1103574156471</v>
      </c>
      <c r="E949" s="2">
        <v>1569.0468143358009</v>
      </c>
      <c r="F949" s="2">
        <v>1552.015340301959</v>
      </c>
      <c r="G949" s="2">
        <v>1559.160766601562</v>
      </c>
      <c r="H949" s="3">
        <v>5499258</v>
      </c>
      <c r="I949" s="4">
        <f t="shared" si="56"/>
        <v>-0.9</v>
      </c>
      <c r="J949" s="2">
        <f t="shared" si="57"/>
        <v>9.89</v>
      </c>
      <c r="K949" s="7">
        <f t="shared" si="58"/>
        <v>45992</v>
      </c>
      <c r="L949" t="str">
        <f t="shared" si="59"/>
        <v>Q4-2025</v>
      </c>
    </row>
    <row r="950" spans="1:12">
      <c r="A950" s="6">
        <v>46007</v>
      </c>
      <c r="B950" t="s">
        <v>14</v>
      </c>
      <c r="C950" t="s">
        <v>15</v>
      </c>
      <c r="D950" s="2">
        <v>973.99069896463982</v>
      </c>
      <c r="E950" s="2">
        <v>982.45080994963757</v>
      </c>
      <c r="F950" s="2">
        <v>973.99069896463982</v>
      </c>
      <c r="G950" s="2">
        <v>978.12237548828125</v>
      </c>
      <c r="H950" s="3">
        <v>20049088</v>
      </c>
      <c r="I950" s="4">
        <f t="shared" si="56"/>
        <v>0</v>
      </c>
      <c r="J950" s="2">
        <f t="shared" si="57"/>
        <v>4.33</v>
      </c>
      <c r="K950" s="7">
        <f t="shared" si="58"/>
        <v>45992</v>
      </c>
      <c r="L950" t="str">
        <f t="shared" si="59"/>
        <v>Q4-2025</v>
      </c>
    </row>
    <row r="951" spans="1:12">
      <c r="A951" s="6">
        <v>46007</v>
      </c>
      <c r="B951" t="s">
        <v>16</v>
      </c>
      <c r="C951" t="s">
        <v>17</v>
      </c>
      <c r="D951" s="2">
        <v>1352.5969202535921</v>
      </c>
      <c r="E951" s="2">
        <v>1357.2575796967151</v>
      </c>
      <c r="F951" s="2">
        <v>1344.167980501278</v>
      </c>
      <c r="G951" s="2">
        <v>1354.580200195312</v>
      </c>
      <c r="H951" s="3">
        <v>12359741</v>
      </c>
      <c r="I951" s="4">
        <f t="shared" si="56"/>
        <v>-0.62</v>
      </c>
      <c r="J951" s="2">
        <f t="shared" si="57"/>
        <v>2.68</v>
      </c>
      <c r="K951" s="7">
        <f t="shared" si="58"/>
        <v>45992</v>
      </c>
      <c r="L951" t="str">
        <f t="shared" si="59"/>
        <v>Q4-2025</v>
      </c>
    </row>
    <row r="952" spans="1:12">
      <c r="A952" s="6">
        <v>46007</v>
      </c>
      <c r="B952" t="s">
        <v>18</v>
      </c>
      <c r="C952" t="s">
        <v>19</v>
      </c>
      <c r="D952" s="2">
        <v>252.27144831941541</v>
      </c>
      <c r="E952" s="2">
        <v>252.28109597803001</v>
      </c>
      <c r="F952" s="2">
        <v>249.43780156451169</v>
      </c>
      <c r="G952" s="2">
        <v>249.8426208496094</v>
      </c>
      <c r="H952" s="3">
        <v>2982041</v>
      </c>
      <c r="I952" s="4">
        <f t="shared" si="56"/>
        <v>-1.1200000000000001</v>
      </c>
      <c r="J952" s="2">
        <f t="shared" si="57"/>
        <v>2.44</v>
      </c>
      <c r="K952" s="7">
        <f t="shared" si="58"/>
        <v>45992</v>
      </c>
      <c r="L952" t="str">
        <f t="shared" si="59"/>
        <v>Q4-2025</v>
      </c>
    </row>
    <row r="953" spans="1:12">
      <c r="A953" s="6">
        <v>46007</v>
      </c>
      <c r="B953" t="s">
        <v>20</v>
      </c>
      <c r="C953" t="s">
        <v>21</v>
      </c>
      <c r="D953" s="2">
        <v>1621.009906859395</v>
      </c>
      <c r="E953" s="2">
        <v>1621.9742197129699</v>
      </c>
      <c r="F953" s="2">
        <v>1586.6803928149229</v>
      </c>
      <c r="G953" s="2">
        <v>1592.755493164062</v>
      </c>
      <c r="H953" s="3">
        <v>1929309</v>
      </c>
      <c r="I953" s="4">
        <f t="shared" si="56"/>
        <v>-2.12</v>
      </c>
      <c r="J953" s="2">
        <f t="shared" si="57"/>
        <v>29.22</v>
      </c>
      <c r="K953" s="7">
        <f t="shared" si="58"/>
        <v>45992</v>
      </c>
      <c r="L953" t="str">
        <f t="shared" si="59"/>
        <v>Q4-2025</v>
      </c>
    </row>
    <row r="954" spans="1:12">
      <c r="A954" s="6">
        <v>46007</v>
      </c>
      <c r="B954" t="s">
        <v>22</v>
      </c>
      <c r="C954" t="s">
        <v>23</v>
      </c>
      <c r="D954" s="2">
        <v>1001.344549011706</v>
      </c>
      <c r="E954" s="2">
        <v>1004.42558489761</v>
      </c>
      <c r="F954" s="2">
        <v>990.41175492820366</v>
      </c>
      <c r="G954" s="2">
        <v>992.3001708984375</v>
      </c>
      <c r="H954" s="3">
        <v>3861617</v>
      </c>
      <c r="I954" s="4">
        <f t="shared" si="56"/>
        <v>-1.0900000000000001</v>
      </c>
      <c r="J954" s="2">
        <f t="shared" si="57"/>
        <v>12.13</v>
      </c>
      <c r="K954" s="7">
        <f t="shared" si="58"/>
        <v>45992</v>
      </c>
      <c r="L954" t="str">
        <f t="shared" si="59"/>
        <v>Q4-2025</v>
      </c>
    </row>
    <row r="955" spans="1:12">
      <c r="A955" s="6">
        <v>46007</v>
      </c>
      <c r="B955" t="s">
        <v>24</v>
      </c>
      <c r="C955" t="s">
        <v>25</v>
      </c>
      <c r="D955" s="2">
        <v>16236.93128401309</v>
      </c>
      <c r="E955" s="2">
        <v>16287.424180079221</v>
      </c>
      <c r="F955" s="2">
        <v>16157.726741164241</v>
      </c>
      <c r="G955" s="2">
        <v>16191.388671875</v>
      </c>
      <c r="H955" s="3">
        <v>156134</v>
      </c>
      <c r="I955" s="4">
        <f t="shared" si="56"/>
        <v>-0.49</v>
      </c>
      <c r="J955" s="2">
        <f t="shared" si="57"/>
        <v>96.04</v>
      </c>
      <c r="K955" s="7">
        <f t="shared" si="58"/>
        <v>45992</v>
      </c>
      <c r="L955" t="str">
        <f t="shared" si="59"/>
        <v>Q4-2025</v>
      </c>
    </row>
    <row r="956" spans="1:12">
      <c r="A956" s="6">
        <v>46007</v>
      </c>
      <c r="B956" t="s">
        <v>26</v>
      </c>
      <c r="C956" t="s">
        <v>27</v>
      </c>
      <c r="D956" s="2">
        <v>344.29396701455022</v>
      </c>
      <c r="E956" s="2">
        <v>346.47587956980459</v>
      </c>
      <c r="F956" s="2">
        <v>341.07070498813363</v>
      </c>
      <c r="G956" s="2">
        <v>342.60797119140619</v>
      </c>
      <c r="H956" s="3">
        <v>8391226</v>
      </c>
      <c r="I956" s="4">
        <f t="shared" si="56"/>
        <v>-0.94</v>
      </c>
      <c r="J956" s="2">
        <f t="shared" si="57"/>
        <v>3.87</v>
      </c>
      <c r="K956" s="7">
        <f t="shared" si="58"/>
        <v>45992</v>
      </c>
      <c r="L956" t="str">
        <f t="shared" si="59"/>
        <v>Q4-2025</v>
      </c>
    </row>
    <row r="957" spans="1:12">
      <c r="A957" s="6">
        <v>46007</v>
      </c>
      <c r="B957" t="s">
        <v>28</v>
      </c>
      <c r="C957" t="s">
        <v>29</v>
      </c>
      <c r="D957" s="2">
        <v>1773.798820756818</v>
      </c>
      <c r="E957" s="2">
        <v>1775.6816481674739</v>
      </c>
      <c r="F957" s="2">
        <v>1762.2047651190619</v>
      </c>
      <c r="G957" s="2">
        <v>1765.177612304688</v>
      </c>
      <c r="H957" s="3">
        <v>1533979</v>
      </c>
      <c r="I957" s="4">
        <f t="shared" si="56"/>
        <v>-0.65</v>
      </c>
      <c r="J957" s="2">
        <f t="shared" si="57"/>
        <v>10.5</v>
      </c>
      <c r="K957" s="7">
        <f t="shared" si="58"/>
        <v>45992</v>
      </c>
      <c r="L957" t="str">
        <f t="shared" si="59"/>
        <v>Q4-2025</v>
      </c>
    </row>
    <row r="958" spans="1:12">
      <c r="A958" s="6">
        <v>46007</v>
      </c>
      <c r="B958" t="s">
        <v>30</v>
      </c>
      <c r="C958" t="s">
        <v>31</v>
      </c>
      <c r="D958" s="2">
        <v>2768.976321009111</v>
      </c>
      <c r="E958" s="2">
        <v>2783.847300176722</v>
      </c>
      <c r="F958" s="2">
        <v>2752.22178129654</v>
      </c>
      <c r="G958" s="2">
        <v>2766.894287109375</v>
      </c>
      <c r="H958" s="3">
        <v>916244</v>
      </c>
      <c r="I958" s="4">
        <f t="shared" si="56"/>
        <v>-0.61</v>
      </c>
      <c r="J958" s="2">
        <f t="shared" si="57"/>
        <v>16.95</v>
      </c>
      <c r="K958" s="7">
        <f t="shared" si="58"/>
        <v>45992</v>
      </c>
      <c r="L958" t="str">
        <f t="shared" si="59"/>
        <v>Q4-2025</v>
      </c>
    </row>
    <row r="959" spans="1:12">
      <c r="A959" s="6">
        <v>46007</v>
      </c>
      <c r="B959" t="s">
        <v>32</v>
      </c>
      <c r="C959" t="s">
        <v>33</v>
      </c>
      <c r="D959" s="2">
        <v>2270.3073037063291</v>
      </c>
      <c r="E959" s="2">
        <v>2279.5137089031459</v>
      </c>
      <c r="F959" s="2">
        <v>2253.0826036728008</v>
      </c>
      <c r="G959" s="2">
        <v>2258.13134765625</v>
      </c>
      <c r="H959" s="3">
        <v>1256042</v>
      </c>
      <c r="I959" s="4">
        <f t="shared" si="56"/>
        <v>-0.76</v>
      </c>
      <c r="J959" s="2">
        <f t="shared" si="57"/>
        <v>21.38</v>
      </c>
      <c r="K959" s="7">
        <f t="shared" si="58"/>
        <v>45992</v>
      </c>
      <c r="L959" t="str">
        <f t="shared" si="59"/>
        <v>Q4-2025</v>
      </c>
    </row>
    <row r="960" spans="1:12">
      <c r="A960" s="6">
        <v>46007</v>
      </c>
      <c r="B960" t="s">
        <v>34</v>
      </c>
      <c r="C960" t="s">
        <v>35</v>
      </c>
      <c r="D960" s="2">
        <v>4044.198868331001</v>
      </c>
      <c r="E960" s="2">
        <v>4064.1042986548382</v>
      </c>
      <c r="F960" s="2">
        <v>4012.013236479414</v>
      </c>
      <c r="G960" s="2">
        <v>4024.491455078125</v>
      </c>
      <c r="H960" s="3">
        <v>2199214</v>
      </c>
      <c r="I960" s="4">
        <f t="shared" si="56"/>
        <v>-0.8</v>
      </c>
      <c r="J960" s="2">
        <f t="shared" si="57"/>
        <v>39.61</v>
      </c>
      <c r="K960" s="7">
        <f t="shared" si="58"/>
        <v>45992</v>
      </c>
      <c r="L960" t="str">
        <f t="shared" si="59"/>
        <v>Q4-2025</v>
      </c>
    </row>
    <row r="961" spans="1:12">
      <c r="A961" s="6">
        <v>46007</v>
      </c>
      <c r="B961" t="s">
        <v>36</v>
      </c>
      <c r="C961" t="s">
        <v>37</v>
      </c>
      <c r="D961" s="2">
        <v>1276.1158469576919</v>
      </c>
      <c r="E961" s="2">
        <v>1276.615461659499</v>
      </c>
      <c r="F961" s="2">
        <v>1215.962285650746</v>
      </c>
      <c r="G961" s="2">
        <v>1218.66015625</v>
      </c>
      <c r="H961" s="3">
        <v>11542048</v>
      </c>
      <c r="I961" s="4">
        <f t="shared" si="56"/>
        <v>-4.71</v>
      </c>
      <c r="J961" s="2">
        <f t="shared" si="57"/>
        <v>57.96</v>
      </c>
      <c r="K961" s="7">
        <f t="shared" si="58"/>
        <v>45992</v>
      </c>
      <c r="L961" t="str">
        <f t="shared" si="59"/>
        <v>Q4-2025</v>
      </c>
    </row>
    <row r="962" spans="1:12">
      <c r="A962" s="6">
        <v>46008</v>
      </c>
      <c r="B962" t="s">
        <v>8</v>
      </c>
      <c r="C962" t="s">
        <v>9</v>
      </c>
      <c r="D962" s="2">
        <v>1542.8664391614579</v>
      </c>
      <c r="E962" s="2">
        <v>1542.8664391614579</v>
      </c>
      <c r="F962" s="2">
        <v>1532.215732346134</v>
      </c>
      <c r="G962" s="2">
        <v>1537.292236328125</v>
      </c>
      <c r="H962" s="3">
        <v>7116649</v>
      </c>
      <c r="I962" s="4">
        <f t="shared" ref="I962:I1025" si="60">ROUND(((F962-D962)/D962)*100, 2)</f>
        <v>-0.69</v>
      </c>
      <c r="J962" s="2">
        <f t="shared" ref="J962:J1025" si="61">ROUND(E962-G962, 2)</f>
        <v>5.57</v>
      </c>
      <c r="K962" s="7">
        <f t="shared" ref="K962:K1025" si="62">DATE(YEAR(A962),MONTH(A962),1)</f>
        <v>45992</v>
      </c>
      <c r="L962" t="str">
        <f t="shared" ref="L962:L1025" si="63">"Q"&amp;INT((MONTH(A962)-1)/3)+1&amp;"-"&amp;YEAR(A962)</f>
        <v>Q4-2025</v>
      </c>
    </row>
    <row r="963" spans="1:12">
      <c r="A963" s="6">
        <v>46008</v>
      </c>
      <c r="B963" t="s">
        <v>10</v>
      </c>
      <c r="C963" t="s">
        <v>11</v>
      </c>
      <c r="D963" s="2">
        <v>3084.394687896739</v>
      </c>
      <c r="E963" s="2">
        <v>3119.4741021848258</v>
      </c>
      <c r="F963" s="2">
        <v>3084.394687896739</v>
      </c>
      <c r="G963" s="2">
        <v>3101.067138671875</v>
      </c>
      <c r="H963" s="3">
        <v>1376350</v>
      </c>
      <c r="I963" s="4">
        <f t="shared" si="60"/>
        <v>0</v>
      </c>
      <c r="J963" s="2">
        <f t="shared" si="61"/>
        <v>18.41</v>
      </c>
      <c r="K963" s="7">
        <f t="shared" si="62"/>
        <v>45992</v>
      </c>
      <c r="L963" t="str">
        <f t="shared" si="63"/>
        <v>Q4-2025</v>
      </c>
    </row>
    <row r="964" spans="1:12">
      <c r="A964" s="6">
        <v>46008</v>
      </c>
      <c r="B964" t="s">
        <v>12</v>
      </c>
      <c r="C964" t="s">
        <v>13</v>
      </c>
      <c r="D964" s="2">
        <v>1553.5814245843819</v>
      </c>
      <c r="E964" s="2">
        <v>1572.864230023871</v>
      </c>
      <c r="F964" s="2">
        <v>1552.406889611862</v>
      </c>
      <c r="G964" s="2">
        <v>1568.067993164062</v>
      </c>
      <c r="H964" s="3">
        <v>4817628</v>
      </c>
      <c r="I964" s="4">
        <f t="shared" si="60"/>
        <v>-0.08</v>
      </c>
      <c r="J964" s="2">
        <f t="shared" si="61"/>
        <v>4.8</v>
      </c>
      <c r="K964" s="7">
        <f t="shared" si="62"/>
        <v>45992</v>
      </c>
      <c r="L964" t="str">
        <f t="shared" si="63"/>
        <v>Q4-2025</v>
      </c>
    </row>
    <row r="965" spans="1:12">
      <c r="A965" s="6">
        <v>46008</v>
      </c>
      <c r="B965" t="s">
        <v>14</v>
      </c>
      <c r="C965" t="s">
        <v>15</v>
      </c>
      <c r="D965" s="2">
        <v>979.79474621284294</v>
      </c>
      <c r="E965" s="2">
        <v>979.79474621284294</v>
      </c>
      <c r="F965" s="2">
        <v>964.84204329836473</v>
      </c>
      <c r="G965" s="2">
        <v>967.989990234375</v>
      </c>
      <c r="H965" s="3">
        <v>19080922</v>
      </c>
      <c r="I965" s="4">
        <f t="shared" si="60"/>
        <v>-1.53</v>
      </c>
      <c r="J965" s="2">
        <f t="shared" si="61"/>
        <v>11.8</v>
      </c>
      <c r="K965" s="7">
        <f t="shared" si="62"/>
        <v>45992</v>
      </c>
      <c r="L965" t="str">
        <f t="shared" si="63"/>
        <v>Q4-2025</v>
      </c>
    </row>
    <row r="966" spans="1:12">
      <c r="A966" s="6">
        <v>46008</v>
      </c>
      <c r="B966" t="s">
        <v>16</v>
      </c>
      <c r="C966" t="s">
        <v>17</v>
      </c>
      <c r="D966" s="2">
        <v>1353.588511039176</v>
      </c>
      <c r="E966" s="2">
        <v>1353.588511039176</v>
      </c>
      <c r="F966" s="2">
        <v>1331.8715722565</v>
      </c>
      <c r="G966" s="2">
        <v>1341.093872070312</v>
      </c>
      <c r="H966" s="3">
        <v>9440391</v>
      </c>
      <c r="I966" s="4">
        <f t="shared" si="60"/>
        <v>-1.6</v>
      </c>
      <c r="J966" s="2">
        <f t="shared" si="61"/>
        <v>12.49</v>
      </c>
      <c r="K966" s="7">
        <f t="shared" si="62"/>
        <v>45992</v>
      </c>
      <c r="L966" t="str">
        <f t="shared" si="63"/>
        <v>Q4-2025</v>
      </c>
    </row>
    <row r="967" spans="1:12">
      <c r="A967" s="6">
        <v>46008</v>
      </c>
      <c r="B967" t="s">
        <v>18</v>
      </c>
      <c r="C967" t="s">
        <v>19</v>
      </c>
      <c r="D967" s="2">
        <v>249.63057745696059</v>
      </c>
      <c r="E967" s="2">
        <v>252.64735323433351</v>
      </c>
      <c r="F967" s="2">
        <v>248.96553611373679</v>
      </c>
      <c r="G967" s="2">
        <v>251.69317626953119</v>
      </c>
      <c r="H967" s="3">
        <v>4923276</v>
      </c>
      <c r="I967" s="4">
        <f t="shared" si="60"/>
        <v>-0.27</v>
      </c>
      <c r="J967" s="2">
        <f t="shared" si="61"/>
        <v>0.95</v>
      </c>
      <c r="K967" s="7">
        <f t="shared" si="62"/>
        <v>45992</v>
      </c>
      <c r="L967" t="str">
        <f t="shared" si="63"/>
        <v>Q4-2025</v>
      </c>
    </row>
    <row r="968" spans="1:12">
      <c r="A968" s="6">
        <v>46008</v>
      </c>
      <c r="B968" t="s">
        <v>20</v>
      </c>
      <c r="C968" t="s">
        <v>21</v>
      </c>
      <c r="D968" s="2">
        <v>1592.080614570549</v>
      </c>
      <c r="E968" s="2">
        <v>1605.098838856861</v>
      </c>
      <c r="F968" s="2">
        <v>1587.5483909786831</v>
      </c>
      <c r="G968" s="2">
        <v>1595.937866210938</v>
      </c>
      <c r="H968" s="3">
        <v>1394918</v>
      </c>
      <c r="I968" s="4">
        <f t="shared" si="60"/>
        <v>-0.28000000000000003</v>
      </c>
      <c r="J968" s="2">
        <f t="shared" si="61"/>
        <v>9.16</v>
      </c>
      <c r="K968" s="7">
        <f t="shared" si="62"/>
        <v>45992</v>
      </c>
      <c r="L968" t="str">
        <f t="shared" si="63"/>
        <v>Q4-2025</v>
      </c>
    </row>
    <row r="969" spans="1:12">
      <c r="A969" s="6">
        <v>46008</v>
      </c>
      <c r="B969" t="s">
        <v>22</v>
      </c>
      <c r="C969" t="s">
        <v>23</v>
      </c>
      <c r="D969" s="2">
        <v>993.89031720818991</v>
      </c>
      <c r="E969" s="2">
        <v>1005.021900893372</v>
      </c>
      <c r="F969" s="2">
        <v>989.21902058486125</v>
      </c>
      <c r="G969" s="2">
        <v>993.49273681640625</v>
      </c>
      <c r="H969" s="3">
        <v>4695550</v>
      </c>
      <c r="I969" s="4">
        <f t="shared" si="60"/>
        <v>-0.47</v>
      </c>
      <c r="J969" s="2">
        <f t="shared" si="61"/>
        <v>11.53</v>
      </c>
      <c r="K969" s="7">
        <f t="shared" si="62"/>
        <v>45992</v>
      </c>
      <c r="L969" t="str">
        <f t="shared" si="63"/>
        <v>Q4-2025</v>
      </c>
    </row>
    <row r="970" spans="1:12">
      <c r="A970" s="6">
        <v>46008</v>
      </c>
      <c r="B970" t="s">
        <v>24</v>
      </c>
      <c r="C970" t="s">
        <v>25</v>
      </c>
      <c r="D970" s="2">
        <v>16226.040660803719</v>
      </c>
      <c r="E970" s="2">
        <v>16326.03639615921</v>
      </c>
      <c r="F970" s="2">
        <v>16194.358843661381</v>
      </c>
      <c r="G970" s="2">
        <v>16234.951171875</v>
      </c>
      <c r="H970" s="3">
        <v>257406</v>
      </c>
      <c r="I970" s="4">
        <f t="shared" si="60"/>
        <v>-0.2</v>
      </c>
      <c r="J970" s="2">
        <f t="shared" si="61"/>
        <v>91.09</v>
      </c>
      <c r="K970" s="7">
        <f t="shared" si="62"/>
        <v>45992</v>
      </c>
      <c r="L970" t="str">
        <f t="shared" si="63"/>
        <v>Q4-2025</v>
      </c>
    </row>
    <row r="971" spans="1:12">
      <c r="A971" s="6">
        <v>46008</v>
      </c>
      <c r="B971" t="s">
        <v>26</v>
      </c>
      <c r="C971" t="s">
        <v>27</v>
      </c>
      <c r="D971" s="2">
        <v>343.5997631859093</v>
      </c>
      <c r="E971" s="2">
        <v>347.12054518042117</v>
      </c>
      <c r="F971" s="2">
        <v>342.55838339046232</v>
      </c>
      <c r="G971" s="2">
        <v>343.50057983398438</v>
      </c>
      <c r="H971" s="3">
        <v>7045390</v>
      </c>
      <c r="I971" s="4">
        <f t="shared" si="60"/>
        <v>-0.3</v>
      </c>
      <c r="J971" s="2">
        <f t="shared" si="61"/>
        <v>3.62</v>
      </c>
      <c r="K971" s="7">
        <f t="shared" si="62"/>
        <v>45992</v>
      </c>
      <c r="L971" t="str">
        <f t="shared" si="63"/>
        <v>Q4-2025</v>
      </c>
    </row>
    <row r="972" spans="1:12">
      <c r="A972" s="6">
        <v>46008</v>
      </c>
      <c r="B972" t="s">
        <v>28</v>
      </c>
      <c r="C972" t="s">
        <v>29</v>
      </c>
      <c r="D972" s="2">
        <v>1764.880289324816</v>
      </c>
      <c r="E972" s="2">
        <v>1781.330019653223</v>
      </c>
      <c r="F972" s="2">
        <v>1755.4662731829931</v>
      </c>
      <c r="G972" s="2">
        <v>1776.672607421875</v>
      </c>
      <c r="H972" s="3">
        <v>1910628</v>
      </c>
      <c r="I972" s="4">
        <f t="shared" si="60"/>
        <v>-0.53</v>
      </c>
      <c r="J972" s="2">
        <f t="shared" si="61"/>
        <v>4.66</v>
      </c>
      <c r="K972" s="7">
        <f t="shared" si="62"/>
        <v>45992</v>
      </c>
      <c r="L972" t="str">
        <f t="shared" si="63"/>
        <v>Q4-2025</v>
      </c>
    </row>
    <row r="973" spans="1:12">
      <c r="A973" s="6">
        <v>46008</v>
      </c>
      <c r="B973" t="s">
        <v>30</v>
      </c>
      <c r="C973" t="s">
        <v>31</v>
      </c>
      <c r="D973" s="2">
        <v>2775.9160619679169</v>
      </c>
      <c r="E973" s="2">
        <v>2782.3601528260569</v>
      </c>
      <c r="F973" s="2">
        <v>2748.1569013482381</v>
      </c>
      <c r="G973" s="2">
        <v>2761.739013671875</v>
      </c>
      <c r="H973" s="3">
        <v>636499</v>
      </c>
      <c r="I973" s="4">
        <f t="shared" si="60"/>
        <v>-1</v>
      </c>
      <c r="J973" s="2">
        <f t="shared" si="61"/>
        <v>20.62</v>
      </c>
      <c r="K973" s="7">
        <f t="shared" si="62"/>
        <v>45992</v>
      </c>
      <c r="L973" t="str">
        <f t="shared" si="63"/>
        <v>Q4-2025</v>
      </c>
    </row>
    <row r="974" spans="1:12">
      <c r="A974" s="6">
        <v>46008</v>
      </c>
      <c r="B974" t="s">
        <v>32</v>
      </c>
      <c r="C974" t="s">
        <v>33</v>
      </c>
      <c r="D974" s="2">
        <v>2258.2302353992141</v>
      </c>
      <c r="E974" s="2">
        <v>2263.1798897121539</v>
      </c>
      <c r="F974" s="2">
        <v>2245.4602239447649</v>
      </c>
      <c r="G974" s="2">
        <v>2252.686767578125</v>
      </c>
      <c r="H974" s="3">
        <v>808100</v>
      </c>
      <c r="I974" s="4">
        <f t="shared" si="60"/>
        <v>-0.56999999999999995</v>
      </c>
      <c r="J974" s="2">
        <f t="shared" si="61"/>
        <v>10.49</v>
      </c>
      <c r="K974" s="7">
        <f t="shared" si="62"/>
        <v>45992</v>
      </c>
      <c r="L974" t="str">
        <f t="shared" si="63"/>
        <v>Q4-2025</v>
      </c>
    </row>
    <row r="975" spans="1:12">
      <c r="A975" s="6">
        <v>46008</v>
      </c>
      <c r="B975" t="s">
        <v>34</v>
      </c>
      <c r="C975" t="s">
        <v>35</v>
      </c>
      <c r="D975" s="2">
        <v>4039.5442629896529</v>
      </c>
      <c r="E975" s="2">
        <v>4039.5442629896529</v>
      </c>
      <c r="F975" s="2">
        <v>4000.9215058784498</v>
      </c>
      <c r="G975" s="2">
        <v>4023.104736328125</v>
      </c>
      <c r="H975" s="3">
        <v>1087334</v>
      </c>
      <c r="I975" s="4">
        <f t="shared" si="60"/>
        <v>-0.96</v>
      </c>
      <c r="J975" s="2">
        <f t="shared" si="61"/>
        <v>16.440000000000001</v>
      </c>
      <c r="K975" s="7">
        <f t="shared" si="62"/>
        <v>45992</v>
      </c>
      <c r="L975" t="str">
        <f t="shared" si="63"/>
        <v>Q4-2025</v>
      </c>
    </row>
    <row r="976" spans="1:12">
      <c r="A976" s="6">
        <v>46008</v>
      </c>
      <c r="B976" t="s">
        <v>36</v>
      </c>
      <c r="C976" t="s">
        <v>37</v>
      </c>
      <c r="D976" s="2">
        <v>1219.6592876851389</v>
      </c>
      <c r="E976" s="2">
        <v>1235.0474436599691</v>
      </c>
      <c r="F976" s="2">
        <v>1219.359592073876</v>
      </c>
      <c r="G976" s="2">
        <v>1223.756103515625</v>
      </c>
      <c r="H976" s="3">
        <v>5147181</v>
      </c>
      <c r="I976" s="4">
        <f t="shared" si="60"/>
        <v>-0.02</v>
      </c>
      <c r="J976" s="2">
        <f t="shared" si="61"/>
        <v>11.29</v>
      </c>
      <c r="K976" s="7">
        <f t="shared" si="62"/>
        <v>45992</v>
      </c>
      <c r="L976" t="str">
        <f t="shared" si="63"/>
        <v>Q4-2025</v>
      </c>
    </row>
    <row r="977" spans="1:12">
      <c r="A977" s="6">
        <v>46009</v>
      </c>
      <c r="B977" t="s">
        <v>8</v>
      </c>
      <c r="C977" t="s">
        <v>9</v>
      </c>
      <c r="D977" s="2">
        <v>1528.13450455832</v>
      </c>
      <c r="E977" s="2">
        <v>1544.359535715485</v>
      </c>
      <c r="F977" s="2">
        <v>1528.13450455832</v>
      </c>
      <c r="G977" s="2">
        <v>1537.292236328125</v>
      </c>
      <c r="H977" s="3">
        <v>6580829</v>
      </c>
      <c r="I977" s="4">
        <f t="shared" si="60"/>
        <v>0</v>
      </c>
      <c r="J977" s="2">
        <f t="shared" si="61"/>
        <v>7.07</v>
      </c>
      <c r="K977" s="7">
        <f t="shared" si="62"/>
        <v>45992</v>
      </c>
      <c r="L977" t="str">
        <f t="shared" si="63"/>
        <v>Q4-2025</v>
      </c>
    </row>
    <row r="978" spans="1:12">
      <c r="A978" s="6">
        <v>46009</v>
      </c>
      <c r="B978" t="s">
        <v>10</v>
      </c>
      <c r="C978" t="s">
        <v>11</v>
      </c>
      <c r="D978" s="2">
        <v>3110.8971285273719</v>
      </c>
      <c r="E978" s="2">
        <v>3168.5277977297301</v>
      </c>
      <c r="F978" s="2">
        <v>3104.1510690788919</v>
      </c>
      <c r="G978" s="2">
        <v>3161.78173828125</v>
      </c>
      <c r="H978" s="3">
        <v>2307422</v>
      </c>
      <c r="I978" s="4">
        <f t="shared" si="60"/>
        <v>-0.22</v>
      </c>
      <c r="J978" s="2">
        <f t="shared" si="61"/>
        <v>6.75</v>
      </c>
      <c r="K978" s="7">
        <f t="shared" si="62"/>
        <v>45992</v>
      </c>
      <c r="L978" t="str">
        <f t="shared" si="63"/>
        <v>Q4-2025</v>
      </c>
    </row>
    <row r="979" spans="1:12">
      <c r="A979" s="6">
        <v>46009</v>
      </c>
      <c r="B979" t="s">
        <v>12</v>
      </c>
      <c r="C979" t="s">
        <v>13</v>
      </c>
      <c r="D979" s="2">
        <v>1576.387976179632</v>
      </c>
      <c r="E979" s="2">
        <v>1595.474946397268</v>
      </c>
      <c r="F979" s="2">
        <v>1572.668416240761</v>
      </c>
      <c r="G979" s="2">
        <v>1592.3427734375</v>
      </c>
      <c r="H979" s="3">
        <v>6577293</v>
      </c>
      <c r="I979" s="4">
        <f t="shared" si="60"/>
        <v>-0.24</v>
      </c>
      <c r="J979" s="2">
        <f t="shared" si="61"/>
        <v>3.13</v>
      </c>
      <c r="K979" s="7">
        <f t="shared" si="62"/>
        <v>45992</v>
      </c>
      <c r="L979" t="str">
        <f t="shared" si="63"/>
        <v>Q4-2025</v>
      </c>
    </row>
    <row r="980" spans="1:12">
      <c r="A980" s="6">
        <v>46009</v>
      </c>
      <c r="B980" t="s">
        <v>14</v>
      </c>
      <c r="C980" t="s">
        <v>15</v>
      </c>
      <c r="D980" s="2">
        <v>957.46405496266595</v>
      </c>
      <c r="E980" s="2">
        <v>971.33467903301801</v>
      </c>
      <c r="F980" s="2">
        <v>957.46405496266595</v>
      </c>
      <c r="G980" s="2">
        <v>963.75994873046875</v>
      </c>
      <c r="H980" s="3">
        <v>14912404</v>
      </c>
      <c r="I980" s="4">
        <f t="shared" si="60"/>
        <v>0</v>
      </c>
      <c r="J980" s="2">
        <f t="shared" si="61"/>
        <v>7.57</v>
      </c>
      <c r="K980" s="7">
        <f t="shared" si="62"/>
        <v>45992</v>
      </c>
      <c r="L980" t="str">
        <f t="shared" si="63"/>
        <v>Q4-2025</v>
      </c>
    </row>
    <row r="981" spans="1:12">
      <c r="A981" s="6">
        <v>46009</v>
      </c>
      <c r="B981" t="s">
        <v>16</v>
      </c>
      <c r="C981" t="s">
        <v>17</v>
      </c>
      <c r="D981" s="2">
        <v>1335.0449336848069</v>
      </c>
      <c r="E981" s="2">
        <v>1358.050932459528</v>
      </c>
      <c r="F981" s="2">
        <v>1334.2515732926579</v>
      </c>
      <c r="G981" s="2">
        <v>1345.457153320312</v>
      </c>
      <c r="H981" s="3">
        <v>7314573</v>
      </c>
      <c r="I981" s="4">
        <f t="shared" si="60"/>
        <v>-0.06</v>
      </c>
      <c r="J981" s="2">
        <f t="shared" si="61"/>
        <v>12.59</v>
      </c>
      <c r="K981" s="7">
        <f t="shared" si="62"/>
        <v>45992</v>
      </c>
      <c r="L981" t="str">
        <f t="shared" si="63"/>
        <v>Q4-2025</v>
      </c>
    </row>
    <row r="982" spans="1:12">
      <c r="A982" s="6">
        <v>46009</v>
      </c>
      <c r="B982" t="s">
        <v>18</v>
      </c>
      <c r="C982" t="s">
        <v>19</v>
      </c>
      <c r="D982" s="2">
        <v>251.7317204507516</v>
      </c>
      <c r="E982" s="2">
        <v>255.40389009327299</v>
      </c>
      <c r="F982" s="2">
        <v>251.55823906927691</v>
      </c>
      <c r="G982" s="2">
        <v>254.3051452636719</v>
      </c>
      <c r="H982" s="3">
        <v>9008412</v>
      </c>
      <c r="I982" s="4">
        <f t="shared" si="60"/>
        <v>-7.0000000000000007E-2</v>
      </c>
      <c r="J982" s="2">
        <f t="shared" si="61"/>
        <v>1.1000000000000001</v>
      </c>
      <c r="K982" s="7">
        <f t="shared" si="62"/>
        <v>45992</v>
      </c>
      <c r="L982" t="str">
        <f t="shared" si="63"/>
        <v>Q4-2025</v>
      </c>
    </row>
    <row r="983" spans="1:12">
      <c r="A983" s="6">
        <v>46009</v>
      </c>
      <c r="B983" t="s">
        <v>20</v>
      </c>
      <c r="C983" t="s">
        <v>21</v>
      </c>
      <c r="D983" s="2">
        <v>1597.8663749636389</v>
      </c>
      <c r="E983" s="2">
        <v>1614.163285493087</v>
      </c>
      <c r="F983" s="2">
        <v>1592.2733134092589</v>
      </c>
      <c r="G983" s="2">
        <v>1602.109375</v>
      </c>
      <c r="H983" s="3">
        <v>1822056</v>
      </c>
      <c r="I983" s="4">
        <f t="shared" si="60"/>
        <v>-0.35</v>
      </c>
      <c r="J983" s="2">
        <f t="shared" si="61"/>
        <v>12.05</v>
      </c>
      <c r="K983" s="7">
        <f t="shared" si="62"/>
        <v>45992</v>
      </c>
      <c r="L983" t="str">
        <f t="shared" si="63"/>
        <v>Q4-2025</v>
      </c>
    </row>
    <row r="984" spans="1:12">
      <c r="A984" s="6">
        <v>46009</v>
      </c>
      <c r="B984" t="s">
        <v>22</v>
      </c>
      <c r="C984" t="s">
        <v>23</v>
      </c>
      <c r="D984" s="2">
        <v>995.97746700892708</v>
      </c>
      <c r="E984" s="2">
        <v>1003.531069850426</v>
      </c>
      <c r="F984" s="2">
        <v>988.92086999047831</v>
      </c>
      <c r="G984" s="2">
        <v>994.1884765625</v>
      </c>
      <c r="H984" s="3">
        <v>3103997</v>
      </c>
      <c r="I984" s="4">
        <f t="shared" si="60"/>
        <v>-0.71</v>
      </c>
      <c r="J984" s="2">
        <f t="shared" si="61"/>
        <v>9.34</v>
      </c>
      <c r="K984" s="7">
        <f t="shared" si="62"/>
        <v>45992</v>
      </c>
      <c r="L984" t="str">
        <f t="shared" si="63"/>
        <v>Q4-2025</v>
      </c>
    </row>
    <row r="985" spans="1:12">
      <c r="A985" s="6">
        <v>46009</v>
      </c>
      <c r="B985" t="s">
        <v>24</v>
      </c>
      <c r="C985" t="s">
        <v>25</v>
      </c>
      <c r="D985" s="2">
        <v>16276.53400152719</v>
      </c>
      <c r="E985" s="2">
        <v>16322.07661491346</v>
      </c>
      <c r="F985" s="2">
        <v>16059.711559536039</v>
      </c>
      <c r="G985" s="2">
        <v>16166.6376953125</v>
      </c>
      <c r="H985" s="3">
        <v>213981</v>
      </c>
      <c r="I985" s="4">
        <f t="shared" si="60"/>
        <v>-1.33</v>
      </c>
      <c r="J985" s="2">
        <f t="shared" si="61"/>
        <v>155.44</v>
      </c>
      <c r="K985" s="7">
        <f t="shared" si="62"/>
        <v>45992</v>
      </c>
      <c r="L985" t="str">
        <f t="shared" si="63"/>
        <v>Q4-2025</v>
      </c>
    </row>
    <row r="986" spans="1:12">
      <c r="A986" s="6">
        <v>46009</v>
      </c>
      <c r="B986" t="s">
        <v>26</v>
      </c>
      <c r="C986" t="s">
        <v>27</v>
      </c>
      <c r="D986" s="2">
        <v>343.50057141396081</v>
      </c>
      <c r="E986" s="2">
        <v>344.59152772537351</v>
      </c>
      <c r="F986" s="2">
        <v>334.92174134666283</v>
      </c>
      <c r="G986" s="2">
        <v>342.955078125</v>
      </c>
      <c r="H986" s="3">
        <v>15417506</v>
      </c>
      <c r="I986" s="4">
        <f t="shared" si="60"/>
        <v>-2.5</v>
      </c>
      <c r="J986" s="2">
        <f t="shared" si="61"/>
        <v>1.64</v>
      </c>
      <c r="K986" s="7">
        <f t="shared" si="62"/>
        <v>45992</v>
      </c>
      <c r="L986" t="str">
        <f t="shared" si="63"/>
        <v>Q4-2025</v>
      </c>
    </row>
    <row r="987" spans="1:12">
      <c r="A987" s="6">
        <v>46009</v>
      </c>
      <c r="B987" t="s">
        <v>28</v>
      </c>
      <c r="C987" t="s">
        <v>29</v>
      </c>
      <c r="D987" s="2">
        <v>1768.8439824804391</v>
      </c>
      <c r="E987" s="2">
        <v>1768.8439824804391</v>
      </c>
      <c r="F987" s="2">
        <v>1720.287481000584</v>
      </c>
      <c r="G987" s="2">
        <v>1730.097900390625</v>
      </c>
      <c r="H987" s="3">
        <v>3461351</v>
      </c>
      <c r="I987" s="4">
        <f t="shared" si="60"/>
        <v>-2.75</v>
      </c>
      <c r="J987" s="2">
        <f t="shared" si="61"/>
        <v>38.75</v>
      </c>
      <c r="K987" s="7">
        <f t="shared" si="62"/>
        <v>45992</v>
      </c>
      <c r="L987" t="str">
        <f t="shared" si="63"/>
        <v>Q4-2025</v>
      </c>
    </row>
    <row r="988" spans="1:12">
      <c r="A988" s="6">
        <v>46009</v>
      </c>
      <c r="B988" t="s">
        <v>30</v>
      </c>
      <c r="C988" t="s">
        <v>31</v>
      </c>
      <c r="D988" s="2">
        <v>2756.088086314156</v>
      </c>
      <c r="E988" s="2">
        <v>2769.769435294641</v>
      </c>
      <c r="F988" s="2">
        <v>2731.6005894949672</v>
      </c>
      <c r="G988" s="2">
        <v>2735.962646484375</v>
      </c>
      <c r="H988" s="3">
        <v>417994</v>
      </c>
      <c r="I988" s="4">
        <f t="shared" si="60"/>
        <v>-0.89</v>
      </c>
      <c r="J988" s="2">
        <f t="shared" si="61"/>
        <v>33.81</v>
      </c>
      <c r="K988" s="7">
        <f t="shared" si="62"/>
        <v>45992</v>
      </c>
      <c r="L988" t="str">
        <f t="shared" si="63"/>
        <v>Q4-2025</v>
      </c>
    </row>
    <row r="989" spans="1:12">
      <c r="A989" s="6">
        <v>46009</v>
      </c>
      <c r="B989" t="s">
        <v>32</v>
      </c>
      <c r="C989" t="s">
        <v>33</v>
      </c>
      <c r="D989" s="2">
        <v>2247.143165657415</v>
      </c>
      <c r="E989" s="2">
        <v>2255.3596405467301</v>
      </c>
      <c r="F989" s="2">
        <v>2232.5912296171609</v>
      </c>
      <c r="G989" s="2">
        <v>2242.6884765625</v>
      </c>
      <c r="H989" s="3">
        <v>1057295</v>
      </c>
      <c r="I989" s="4">
        <f t="shared" si="60"/>
        <v>-0.65</v>
      </c>
      <c r="J989" s="2">
        <f t="shared" si="61"/>
        <v>12.67</v>
      </c>
      <c r="K989" s="7">
        <f t="shared" si="62"/>
        <v>45992</v>
      </c>
      <c r="L989" t="str">
        <f t="shared" si="63"/>
        <v>Q4-2025</v>
      </c>
    </row>
    <row r="990" spans="1:12">
      <c r="A990" s="6">
        <v>46009</v>
      </c>
      <c r="B990" t="s">
        <v>34</v>
      </c>
      <c r="C990" t="s">
        <v>35</v>
      </c>
      <c r="D990" s="2">
        <v>4027.66031216277</v>
      </c>
      <c r="E990" s="2">
        <v>4032.4139305944109</v>
      </c>
      <c r="F990" s="2">
        <v>3984.4819539290602</v>
      </c>
      <c r="G990" s="2">
        <v>3992.107666015625</v>
      </c>
      <c r="H990" s="3">
        <v>1004303</v>
      </c>
      <c r="I990" s="4">
        <f t="shared" si="60"/>
        <v>-1.07</v>
      </c>
      <c r="J990" s="2">
        <f t="shared" si="61"/>
        <v>40.31</v>
      </c>
      <c r="K990" s="7">
        <f t="shared" si="62"/>
        <v>45992</v>
      </c>
      <c r="L990" t="str">
        <f t="shared" si="63"/>
        <v>Q4-2025</v>
      </c>
    </row>
    <row r="991" spans="1:12">
      <c r="A991" s="6">
        <v>46009</v>
      </c>
      <c r="B991" t="s">
        <v>36</v>
      </c>
      <c r="C991" t="s">
        <v>37</v>
      </c>
      <c r="D991" s="2">
        <v>1225.155073166701</v>
      </c>
      <c r="E991" s="2">
        <v>1237.5455414162579</v>
      </c>
      <c r="F991" s="2">
        <v>1219.259595647226</v>
      </c>
      <c r="G991" s="2">
        <v>1228.852294921875</v>
      </c>
      <c r="H991" s="3">
        <v>3441592</v>
      </c>
      <c r="I991" s="4">
        <f t="shared" si="60"/>
        <v>-0.48</v>
      </c>
      <c r="J991" s="2">
        <f t="shared" si="61"/>
        <v>8.69</v>
      </c>
      <c r="K991" s="7">
        <f t="shared" si="62"/>
        <v>45992</v>
      </c>
      <c r="L991" t="str">
        <f t="shared" si="63"/>
        <v>Q4-2025</v>
      </c>
    </row>
    <row r="992" spans="1:12">
      <c r="A992" s="6">
        <v>46010</v>
      </c>
      <c r="B992" t="s">
        <v>8</v>
      </c>
      <c r="C992" t="s">
        <v>9</v>
      </c>
      <c r="D992" s="2">
        <v>1547.246144246333</v>
      </c>
      <c r="E992" s="2">
        <v>1566.954944974083</v>
      </c>
      <c r="F992" s="2">
        <v>1543.8617679066681</v>
      </c>
      <c r="G992" s="2">
        <v>1557.896850585938</v>
      </c>
      <c r="H992" s="3">
        <v>13937275</v>
      </c>
      <c r="I992" s="4">
        <f t="shared" si="60"/>
        <v>-0.22</v>
      </c>
      <c r="J992" s="2">
        <f t="shared" si="61"/>
        <v>9.06</v>
      </c>
      <c r="K992" s="7">
        <f t="shared" si="62"/>
        <v>45992</v>
      </c>
      <c r="L992" t="str">
        <f t="shared" si="63"/>
        <v>Q4-2025</v>
      </c>
    </row>
    <row r="993" spans="1:12">
      <c r="A993" s="6">
        <v>46010</v>
      </c>
      <c r="B993" t="s">
        <v>10</v>
      </c>
      <c r="C993" t="s">
        <v>11</v>
      </c>
      <c r="D993" s="2">
        <v>3179.3215200364921</v>
      </c>
      <c r="E993" s="2">
        <v>3197.5357868591868</v>
      </c>
      <c r="F993" s="2">
        <v>3159.8543665159009</v>
      </c>
      <c r="G993" s="2">
        <v>3162.938232421875</v>
      </c>
      <c r="H993" s="3">
        <v>3902511</v>
      </c>
      <c r="I993" s="4">
        <f t="shared" si="60"/>
        <v>-0.61</v>
      </c>
      <c r="J993" s="2">
        <f t="shared" si="61"/>
        <v>34.6</v>
      </c>
      <c r="K993" s="7">
        <f t="shared" si="62"/>
        <v>45992</v>
      </c>
      <c r="L993" t="str">
        <f t="shared" si="63"/>
        <v>Q4-2025</v>
      </c>
    </row>
    <row r="994" spans="1:12">
      <c r="A994" s="6">
        <v>46010</v>
      </c>
      <c r="B994" t="s">
        <v>12</v>
      </c>
      <c r="C994" t="s">
        <v>13</v>
      </c>
      <c r="D994" s="2">
        <v>1615.0513027562849</v>
      </c>
      <c r="E994" s="2">
        <v>1619.8475396129329</v>
      </c>
      <c r="F994" s="2">
        <v>1595.279207328558</v>
      </c>
      <c r="G994" s="2">
        <v>1603.990600585938</v>
      </c>
      <c r="H994" s="3">
        <v>13149023</v>
      </c>
      <c r="I994" s="4">
        <f t="shared" si="60"/>
        <v>-1.22</v>
      </c>
      <c r="J994" s="2">
        <f t="shared" si="61"/>
        <v>15.86</v>
      </c>
      <c r="K994" s="7">
        <f t="shared" si="62"/>
        <v>45992</v>
      </c>
      <c r="L994" t="str">
        <f t="shared" si="63"/>
        <v>Q4-2025</v>
      </c>
    </row>
    <row r="995" spans="1:12">
      <c r="A995" s="6">
        <v>46010</v>
      </c>
      <c r="B995" t="s">
        <v>14</v>
      </c>
      <c r="C995" t="s">
        <v>15</v>
      </c>
      <c r="D995" s="2">
        <v>970.94117065615478</v>
      </c>
      <c r="E995" s="2">
        <v>971.92490031234138</v>
      </c>
      <c r="F995" s="2">
        <v>962.77622651822492</v>
      </c>
      <c r="G995" s="2">
        <v>969.465576171875</v>
      </c>
      <c r="H995" s="3">
        <v>25952384</v>
      </c>
      <c r="I995" s="4">
        <f t="shared" si="60"/>
        <v>-0.84</v>
      </c>
      <c r="J995" s="2">
        <f t="shared" si="61"/>
        <v>2.46</v>
      </c>
      <c r="K995" s="7">
        <f t="shared" si="62"/>
        <v>45992</v>
      </c>
      <c r="L995" t="str">
        <f t="shared" si="63"/>
        <v>Q4-2025</v>
      </c>
    </row>
    <row r="996" spans="1:12">
      <c r="A996" s="6">
        <v>46010</v>
      </c>
      <c r="B996" t="s">
        <v>16</v>
      </c>
      <c r="C996" t="s">
        <v>17</v>
      </c>
      <c r="D996" s="2">
        <v>1342.680523298608</v>
      </c>
      <c r="E996" s="2">
        <v>1349.0270433350911</v>
      </c>
      <c r="F996" s="2">
        <v>1339.507323805268</v>
      </c>
      <c r="G996" s="2">
        <v>1342.779663085938</v>
      </c>
      <c r="H996" s="3">
        <v>14318512</v>
      </c>
      <c r="I996" s="4">
        <f t="shared" si="60"/>
        <v>-0.24</v>
      </c>
      <c r="J996" s="2">
        <f t="shared" si="61"/>
        <v>6.25</v>
      </c>
      <c r="K996" s="7">
        <f t="shared" si="62"/>
        <v>45992</v>
      </c>
      <c r="L996" t="str">
        <f t="shared" si="63"/>
        <v>Q4-2025</v>
      </c>
    </row>
    <row r="997" spans="1:12">
      <c r="A997" s="6">
        <v>46010</v>
      </c>
      <c r="B997" t="s">
        <v>18</v>
      </c>
      <c r="C997" t="s">
        <v>19</v>
      </c>
      <c r="D997" s="2">
        <v>257.3411791797771</v>
      </c>
      <c r="E997" s="2">
        <v>257.3411791797771</v>
      </c>
      <c r="F997" s="2">
        <v>253.77501624218539</v>
      </c>
      <c r="G997" s="2">
        <v>254.88343811035159</v>
      </c>
      <c r="H997" s="3">
        <v>12750745</v>
      </c>
      <c r="I997" s="4">
        <f t="shared" si="60"/>
        <v>-1.39</v>
      </c>
      <c r="J997" s="2">
        <f t="shared" si="61"/>
        <v>2.46</v>
      </c>
      <c r="K997" s="7">
        <f t="shared" si="62"/>
        <v>45992</v>
      </c>
      <c r="L997" t="str">
        <f t="shared" si="63"/>
        <v>Q4-2025</v>
      </c>
    </row>
    <row r="998" spans="1:12">
      <c r="A998" s="6">
        <v>46010</v>
      </c>
      <c r="B998" t="s">
        <v>20</v>
      </c>
      <c r="C998" t="s">
        <v>21</v>
      </c>
      <c r="D998" s="2">
        <v>1615.2240514930979</v>
      </c>
      <c r="E998" s="2">
        <v>1621.009928692476</v>
      </c>
      <c r="F998" s="2">
        <v>1574.2407546641689</v>
      </c>
      <c r="G998" s="2">
        <v>1583.787475585938</v>
      </c>
      <c r="H998" s="3">
        <v>3487150</v>
      </c>
      <c r="I998" s="4">
        <f t="shared" si="60"/>
        <v>-2.54</v>
      </c>
      <c r="J998" s="2">
        <f t="shared" si="61"/>
        <v>37.22</v>
      </c>
      <c r="K998" s="7">
        <f t="shared" si="62"/>
        <v>45992</v>
      </c>
      <c r="L998" t="str">
        <f t="shared" si="63"/>
        <v>Q4-2025</v>
      </c>
    </row>
    <row r="999" spans="1:12">
      <c r="A999" s="6">
        <v>46010</v>
      </c>
      <c r="B999" t="s">
        <v>22</v>
      </c>
      <c r="C999" t="s">
        <v>23</v>
      </c>
      <c r="D999" s="2">
        <v>997.07083181287794</v>
      </c>
      <c r="E999" s="2">
        <v>1007.804835681771</v>
      </c>
      <c r="F999" s="2">
        <v>996.3750964210808</v>
      </c>
      <c r="G999" s="2">
        <v>1002.1396484375</v>
      </c>
      <c r="H999" s="3">
        <v>5126009</v>
      </c>
      <c r="I999" s="4">
        <f t="shared" si="60"/>
        <v>-7.0000000000000007E-2</v>
      </c>
      <c r="J999" s="2">
        <f t="shared" si="61"/>
        <v>5.67</v>
      </c>
      <c r="K999" s="7">
        <f t="shared" si="62"/>
        <v>45992</v>
      </c>
      <c r="L999" t="str">
        <f t="shared" si="63"/>
        <v>Q4-2025</v>
      </c>
    </row>
    <row r="1000" spans="1:12">
      <c r="A1000" s="6">
        <v>46010</v>
      </c>
      <c r="B1000" t="s">
        <v>24</v>
      </c>
      <c r="C1000" t="s">
        <v>25</v>
      </c>
      <c r="D1000" s="2">
        <v>16166.63813736559</v>
      </c>
      <c r="E1000" s="2">
        <v>16311.186435978811</v>
      </c>
      <c r="F1000" s="2">
        <v>16166.63813736559</v>
      </c>
      <c r="G1000" s="2">
        <v>16250.79296875</v>
      </c>
      <c r="H1000" s="3">
        <v>360190</v>
      </c>
      <c r="I1000" s="4">
        <f t="shared" si="60"/>
        <v>0</v>
      </c>
      <c r="J1000" s="2">
        <f t="shared" si="61"/>
        <v>60.39</v>
      </c>
      <c r="K1000" s="7">
        <f t="shared" si="62"/>
        <v>45992</v>
      </c>
      <c r="L1000" t="str">
        <f t="shared" si="63"/>
        <v>Q4-2025</v>
      </c>
    </row>
    <row r="1001" spans="1:12">
      <c r="A1001" s="6">
        <v>46010</v>
      </c>
      <c r="B1001" t="s">
        <v>26</v>
      </c>
      <c r="C1001" t="s">
        <v>27</v>
      </c>
      <c r="D1001" s="2">
        <v>344.54191037102299</v>
      </c>
      <c r="E1001" s="2">
        <v>351.8810240112735</v>
      </c>
      <c r="F1001" s="2">
        <v>344.14520725170013</v>
      </c>
      <c r="G1001" s="2">
        <v>349.74871826171881</v>
      </c>
      <c r="H1001" s="3">
        <v>74052760</v>
      </c>
      <c r="I1001" s="4">
        <f t="shared" si="60"/>
        <v>-0.12</v>
      </c>
      <c r="J1001" s="2">
        <f t="shared" si="61"/>
        <v>2.13</v>
      </c>
      <c r="K1001" s="7">
        <f t="shared" si="62"/>
        <v>45992</v>
      </c>
      <c r="L1001" t="str">
        <f t="shared" si="63"/>
        <v>Q4-2025</v>
      </c>
    </row>
    <row r="1002" spans="1:12">
      <c r="A1002" s="6">
        <v>46010</v>
      </c>
      <c r="B1002" t="s">
        <v>28</v>
      </c>
      <c r="C1002" t="s">
        <v>29</v>
      </c>
      <c r="D1002" s="2">
        <v>1731.187902299818</v>
      </c>
      <c r="E1002" s="2">
        <v>1744.0702392946071</v>
      </c>
      <c r="F1002" s="2">
        <v>1725.440349715961</v>
      </c>
      <c r="G1002" s="2">
        <v>1729.10693359375</v>
      </c>
      <c r="H1002" s="3">
        <v>2768986</v>
      </c>
      <c r="I1002" s="4">
        <f t="shared" si="60"/>
        <v>-0.33</v>
      </c>
      <c r="J1002" s="2">
        <f t="shared" si="61"/>
        <v>14.96</v>
      </c>
      <c r="K1002" s="7">
        <f t="shared" si="62"/>
        <v>45992</v>
      </c>
      <c r="L1002" t="str">
        <f t="shared" si="63"/>
        <v>Q4-2025</v>
      </c>
    </row>
    <row r="1003" spans="1:12">
      <c r="A1003" s="6">
        <v>46010</v>
      </c>
      <c r="B1003" t="s">
        <v>30</v>
      </c>
      <c r="C1003" t="s">
        <v>31</v>
      </c>
      <c r="D1003" s="2">
        <v>2742.605040818567</v>
      </c>
      <c r="E1003" s="2">
        <v>2788.2093772598628</v>
      </c>
      <c r="F1003" s="2">
        <v>2735.9627184841661</v>
      </c>
      <c r="G1003" s="2">
        <v>2775.81689453125</v>
      </c>
      <c r="H1003" s="3">
        <v>3895542</v>
      </c>
      <c r="I1003" s="4">
        <f t="shared" si="60"/>
        <v>-0.24</v>
      </c>
      <c r="J1003" s="2">
        <f t="shared" si="61"/>
        <v>12.39</v>
      </c>
      <c r="K1003" s="7">
        <f t="shared" si="62"/>
        <v>45992</v>
      </c>
      <c r="L1003" t="str">
        <f t="shared" si="63"/>
        <v>Q4-2025</v>
      </c>
    </row>
    <row r="1004" spans="1:12">
      <c r="A1004" s="6">
        <v>46010</v>
      </c>
      <c r="B1004" t="s">
        <v>32</v>
      </c>
      <c r="C1004" t="s">
        <v>33</v>
      </c>
      <c r="D1004" s="2">
        <v>2240.9065582587532</v>
      </c>
      <c r="E1004" s="2">
        <v>2261.7941971851551</v>
      </c>
      <c r="F1004" s="2">
        <v>2240.9065582587532</v>
      </c>
      <c r="G1004" s="2">
        <v>2257.04248046875</v>
      </c>
      <c r="H1004" s="3">
        <v>1237214</v>
      </c>
      <c r="I1004" s="4">
        <f t="shared" si="60"/>
        <v>0</v>
      </c>
      <c r="J1004" s="2">
        <f t="shared" si="61"/>
        <v>4.75</v>
      </c>
      <c r="K1004" s="7">
        <f t="shared" si="62"/>
        <v>45992</v>
      </c>
      <c r="L1004" t="str">
        <f t="shared" si="63"/>
        <v>Q4-2025</v>
      </c>
    </row>
    <row r="1005" spans="1:12">
      <c r="A1005" s="6">
        <v>46010</v>
      </c>
      <c r="B1005" t="s">
        <v>34</v>
      </c>
      <c r="C1005" t="s">
        <v>35</v>
      </c>
      <c r="D1005" s="2">
        <v>4001.0205839248588</v>
      </c>
      <c r="E1005" s="2">
        <v>4051.9232997779568</v>
      </c>
      <c r="F1005" s="2">
        <v>4001.0205839248588</v>
      </c>
      <c r="G1005" s="2">
        <v>4034.097412109375</v>
      </c>
      <c r="H1005" s="3">
        <v>1327935</v>
      </c>
      <c r="I1005" s="4">
        <f t="shared" si="60"/>
        <v>0</v>
      </c>
      <c r="J1005" s="2">
        <f t="shared" si="61"/>
        <v>17.829999999999998</v>
      </c>
      <c r="K1005" s="7">
        <f t="shared" si="62"/>
        <v>45992</v>
      </c>
      <c r="L1005" t="str">
        <f t="shared" si="63"/>
        <v>Q4-2025</v>
      </c>
    </row>
    <row r="1006" spans="1:12">
      <c r="A1006" s="6">
        <v>46010</v>
      </c>
      <c r="B1006" t="s">
        <v>36</v>
      </c>
      <c r="C1006" t="s">
        <v>37</v>
      </c>
      <c r="D1006" s="2">
        <v>1235.746885956047</v>
      </c>
      <c r="E1006" s="2">
        <v>1240.543235617233</v>
      </c>
      <c r="F1006" s="2">
        <v>1228.1527673060341</v>
      </c>
      <c r="G1006" s="2">
        <v>1229.651611328125</v>
      </c>
      <c r="H1006" s="3">
        <v>5055047</v>
      </c>
      <c r="I1006" s="4">
        <f t="shared" si="60"/>
        <v>-0.61</v>
      </c>
      <c r="J1006" s="2">
        <f t="shared" si="61"/>
        <v>10.89</v>
      </c>
      <c r="K1006" s="7">
        <f t="shared" si="62"/>
        <v>45992</v>
      </c>
      <c r="L1006" t="str">
        <f t="shared" si="63"/>
        <v>Q4-2025</v>
      </c>
    </row>
    <row r="1007" spans="1:12">
      <c r="A1007" s="6">
        <v>46013</v>
      </c>
      <c r="B1007" t="s">
        <v>8</v>
      </c>
      <c r="C1007" t="s">
        <v>9</v>
      </c>
      <c r="D1007" s="2">
        <v>1566.258256230959</v>
      </c>
      <c r="E1007" s="2">
        <v>1570.2398469681209</v>
      </c>
      <c r="F1007" s="2">
        <v>1558.0960438231809</v>
      </c>
      <c r="G1007" s="2">
        <v>1568.149536132812</v>
      </c>
      <c r="H1007" s="3">
        <v>10184852</v>
      </c>
      <c r="I1007" s="4">
        <f t="shared" si="60"/>
        <v>-0.52</v>
      </c>
      <c r="J1007" s="2">
        <f t="shared" si="61"/>
        <v>2.09</v>
      </c>
      <c r="K1007" s="7">
        <f t="shared" si="62"/>
        <v>45992</v>
      </c>
      <c r="L1007" t="str">
        <f t="shared" si="63"/>
        <v>Q4-2025</v>
      </c>
    </row>
    <row r="1008" spans="1:12">
      <c r="A1008" s="6">
        <v>46013</v>
      </c>
      <c r="B1008" t="s">
        <v>10</v>
      </c>
      <c r="C1008" t="s">
        <v>11</v>
      </c>
      <c r="D1008" s="2">
        <v>3189.922606193355</v>
      </c>
      <c r="E1008" s="2">
        <v>3207.847945163468</v>
      </c>
      <c r="F1008" s="2">
        <v>3171.6118722001002</v>
      </c>
      <c r="G1008" s="2">
        <v>3204.281982421875</v>
      </c>
      <c r="H1008" s="3">
        <v>2632816</v>
      </c>
      <c r="I1008" s="4">
        <f t="shared" si="60"/>
        <v>-0.56999999999999995</v>
      </c>
      <c r="J1008" s="2">
        <f t="shared" si="61"/>
        <v>3.57</v>
      </c>
      <c r="K1008" s="7">
        <f t="shared" si="62"/>
        <v>45992</v>
      </c>
      <c r="L1008" t="str">
        <f t="shared" si="63"/>
        <v>Q4-2025</v>
      </c>
    </row>
    <row r="1009" spans="1:12">
      <c r="A1009" s="6">
        <v>46013</v>
      </c>
      <c r="B1009" t="s">
        <v>12</v>
      </c>
      <c r="C1009" t="s">
        <v>13</v>
      </c>
      <c r="D1009" s="2">
        <v>1628.7547583833571</v>
      </c>
      <c r="E1009" s="2">
        <v>1657.3362243784011</v>
      </c>
      <c r="F1009" s="2">
        <v>1628.7547583833571</v>
      </c>
      <c r="G1009" s="2">
        <v>1653.8125</v>
      </c>
      <c r="H1009" s="3">
        <v>23098923</v>
      </c>
      <c r="I1009" s="4">
        <f t="shared" si="60"/>
        <v>0</v>
      </c>
      <c r="J1009" s="2">
        <f t="shared" si="61"/>
        <v>3.52</v>
      </c>
      <c r="K1009" s="7">
        <f t="shared" si="62"/>
        <v>45992</v>
      </c>
      <c r="L1009" t="str">
        <f t="shared" si="63"/>
        <v>Q4-2025</v>
      </c>
    </row>
    <row r="1010" spans="1:12">
      <c r="A1010" s="6">
        <v>46013</v>
      </c>
      <c r="B1010" t="s">
        <v>14</v>
      </c>
      <c r="C1010" t="s">
        <v>15</v>
      </c>
      <c r="D1010" s="2">
        <v>971.92492867439262</v>
      </c>
      <c r="E1010" s="2">
        <v>976.74522814720694</v>
      </c>
      <c r="F1010" s="2">
        <v>967.89166098316889</v>
      </c>
      <c r="G1010" s="2">
        <v>971.62982177734375</v>
      </c>
      <c r="H1010" s="3">
        <v>13540411</v>
      </c>
      <c r="I1010" s="4">
        <f t="shared" si="60"/>
        <v>-0.41</v>
      </c>
      <c r="J1010" s="2">
        <f t="shared" si="61"/>
        <v>5.12</v>
      </c>
      <c r="K1010" s="7">
        <f t="shared" si="62"/>
        <v>45992</v>
      </c>
      <c r="L1010" t="str">
        <f t="shared" si="63"/>
        <v>Q4-2025</v>
      </c>
    </row>
    <row r="1011" spans="1:12">
      <c r="A1011" s="6">
        <v>46013</v>
      </c>
      <c r="B1011" t="s">
        <v>16</v>
      </c>
      <c r="C1011" t="s">
        <v>17</v>
      </c>
      <c r="D1011" s="2">
        <v>1346.6471062779731</v>
      </c>
      <c r="E1011" s="2">
        <v>1359.835966563503</v>
      </c>
      <c r="F1011" s="2">
        <v>1343.4739067302289</v>
      </c>
      <c r="G1011" s="2">
        <v>1357.059326171875</v>
      </c>
      <c r="H1011" s="3">
        <v>9375294</v>
      </c>
      <c r="I1011" s="4">
        <f t="shared" si="60"/>
        <v>-0.24</v>
      </c>
      <c r="J1011" s="2">
        <f t="shared" si="61"/>
        <v>2.78</v>
      </c>
      <c r="K1011" s="7">
        <f t="shared" si="62"/>
        <v>45992</v>
      </c>
      <c r="L1011" t="str">
        <f t="shared" si="63"/>
        <v>Q4-2025</v>
      </c>
    </row>
    <row r="1012" spans="1:12">
      <c r="A1012" s="6">
        <v>46013</v>
      </c>
      <c r="B1012" t="s">
        <v>18</v>
      </c>
      <c r="C1012" t="s">
        <v>19</v>
      </c>
      <c r="D1012" s="2">
        <v>257.83275237583138</v>
      </c>
      <c r="E1012" s="2">
        <v>263.22052886625852</v>
      </c>
      <c r="F1012" s="2">
        <v>257.14841566776698</v>
      </c>
      <c r="G1012" s="2">
        <v>262.80609130859381</v>
      </c>
      <c r="H1012" s="3">
        <v>14651313</v>
      </c>
      <c r="I1012" s="4">
        <f t="shared" si="60"/>
        <v>-0.27</v>
      </c>
      <c r="J1012" s="2">
        <f t="shared" si="61"/>
        <v>0.41</v>
      </c>
      <c r="K1012" s="7">
        <f t="shared" si="62"/>
        <v>45992</v>
      </c>
      <c r="L1012" t="str">
        <f t="shared" si="63"/>
        <v>Q4-2025</v>
      </c>
    </row>
    <row r="1013" spans="1:12">
      <c r="A1013" s="6">
        <v>46013</v>
      </c>
      <c r="B1013" t="s">
        <v>20</v>
      </c>
      <c r="C1013" t="s">
        <v>21</v>
      </c>
      <c r="D1013" s="2">
        <v>1592.9483927863671</v>
      </c>
      <c r="E1013" s="2">
        <v>1613.777526441746</v>
      </c>
      <c r="F1013" s="2">
        <v>1585.3302978609081</v>
      </c>
      <c r="G1013" s="2">
        <v>1610.691772460938</v>
      </c>
      <c r="H1013" s="3">
        <v>1339691</v>
      </c>
      <c r="I1013" s="4">
        <f t="shared" si="60"/>
        <v>-0.48</v>
      </c>
      <c r="J1013" s="2">
        <f t="shared" si="61"/>
        <v>3.09</v>
      </c>
      <c r="K1013" s="7">
        <f t="shared" si="62"/>
        <v>45992</v>
      </c>
      <c r="L1013" t="str">
        <f t="shared" si="63"/>
        <v>Q4-2025</v>
      </c>
    </row>
    <row r="1014" spans="1:12">
      <c r="A1014" s="6">
        <v>46013</v>
      </c>
      <c r="B1014" t="s">
        <v>22</v>
      </c>
      <c r="C1014" t="s">
        <v>23</v>
      </c>
      <c r="D1014" s="2">
        <v>1002.139645379043</v>
      </c>
      <c r="E1014" s="2">
        <v>1009.196303385373</v>
      </c>
      <c r="F1014" s="2">
        <v>998.85981929887089</v>
      </c>
      <c r="G1014" s="2">
        <v>1001.642700195312</v>
      </c>
      <c r="H1014" s="3">
        <v>3921237</v>
      </c>
      <c r="I1014" s="4">
        <f t="shared" si="60"/>
        <v>-0.33</v>
      </c>
      <c r="J1014" s="2">
        <f t="shared" si="61"/>
        <v>7.55</v>
      </c>
      <c r="K1014" s="7">
        <f t="shared" si="62"/>
        <v>45992</v>
      </c>
      <c r="L1014" t="str">
        <f t="shared" si="63"/>
        <v>Q4-2025</v>
      </c>
    </row>
    <row r="1015" spans="1:12">
      <c r="A1015" s="6">
        <v>46013</v>
      </c>
      <c r="B1015" t="s">
        <v>24</v>
      </c>
      <c r="C1015" t="s">
        <v>25</v>
      </c>
      <c r="D1015" s="2">
        <v>16300.29457662622</v>
      </c>
      <c r="E1015" s="2">
        <v>16527.017575778758</v>
      </c>
      <c r="F1015" s="2">
        <v>16250.79173838331</v>
      </c>
      <c r="G1015" s="2">
        <v>16483.455078125</v>
      </c>
      <c r="H1015" s="3">
        <v>271590</v>
      </c>
      <c r="I1015" s="4">
        <f t="shared" si="60"/>
        <v>-0.3</v>
      </c>
      <c r="J1015" s="2">
        <f t="shared" si="61"/>
        <v>43.56</v>
      </c>
      <c r="K1015" s="7">
        <f t="shared" si="62"/>
        <v>45992</v>
      </c>
      <c r="L1015" t="str">
        <f t="shared" si="63"/>
        <v>Q4-2025</v>
      </c>
    </row>
    <row r="1016" spans="1:12">
      <c r="A1016" s="6">
        <v>46013</v>
      </c>
      <c r="B1016" t="s">
        <v>26</v>
      </c>
      <c r="C1016" t="s">
        <v>27</v>
      </c>
      <c r="D1016" s="2">
        <v>353.31911594275192</v>
      </c>
      <c r="E1016" s="2">
        <v>357.9804609474071</v>
      </c>
      <c r="F1016" s="2">
        <v>350.69092365991798</v>
      </c>
      <c r="G1016" s="2">
        <v>356.19525146484381</v>
      </c>
      <c r="H1016" s="3">
        <v>10798315</v>
      </c>
      <c r="I1016" s="4">
        <f t="shared" si="60"/>
        <v>-0.74</v>
      </c>
      <c r="J1016" s="2">
        <f t="shared" si="61"/>
        <v>1.79</v>
      </c>
      <c r="K1016" s="7">
        <f t="shared" si="62"/>
        <v>45992</v>
      </c>
      <c r="L1016" t="str">
        <f t="shared" si="63"/>
        <v>Q4-2025</v>
      </c>
    </row>
    <row r="1017" spans="1:12">
      <c r="A1017" s="6">
        <v>46013</v>
      </c>
      <c r="B1017" t="s">
        <v>28</v>
      </c>
      <c r="C1017" t="s">
        <v>29</v>
      </c>
      <c r="D1017" s="2">
        <v>1729.1069615291831</v>
      </c>
      <c r="E1017" s="2">
        <v>1757.150746091643</v>
      </c>
      <c r="F1017" s="2">
        <v>1727.323204914904</v>
      </c>
      <c r="G1017" s="2">
        <v>1753.781616210938</v>
      </c>
      <c r="H1017" s="3">
        <v>1467257</v>
      </c>
      <c r="I1017" s="4">
        <f t="shared" si="60"/>
        <v>-0.1</v>
      </c>
      <c r="J1017" s="2">
        <f t="shared" si="61"/>
        <v>3.37</v>
      </c>
      <c r="K1017" s="7">
        <f t="shared" si="62"/>
        <v>45992</v>
      </c>
      <c r="L1017" t="str">
        <f t="shared" si="63"/>
        <v>Q4-2025</v>
      </c>
    </row>
    <row r="1018" spans="1:12">
      <c r="A1018" s="6">
        <v>46013</v>
      </c>
      <c r="B1018" t="s">
        <v>30</v>
      </c>
      <c r="C1018" t="s">
        <v>31</v>
      </c>
      <c r="D1018" s="2">
        <v>2761.838388902383</v>
      </c>
      <c r="E1018" s="2">
        <v>2798.8176067054642</v>
      </c>
      <c r="F1018" s="2">
        <v>2756.3856963642552</v>
      </c>
      <c r="G1018" s="2">
        <v>2783.450927734375</v>
      </c>
      <c r="H1018" s="3">
        <v>463953</v>
      </c>
      <c r="I1018" s="4">
        <f t="shared" si="60"/>
        <v>-0.2</v>
      </c>
      <c r="J1018" s="2">
        <f t="shared" si="61"/>
        <v>15.37</v>
      </c>
      <c r="K1018" s="7">
        <f t="shared" si="62"/>
        <v>45992</v>
      </c>
      <c r="L1018" t="str">
        <f t="shared" si="63"/>
        <v>Q4-2025</v>
      </c>
    </row>
    <row r="1019" spans="1:12">
      <c r="A1019" s="6">
        <v>46013</v>
      </c>
      <c r="B1019" t="s">
        <v>32</v>
      </c>
      <c r="C1019" t="s">
        <v>33</v>
      </c>
      <c r="D1019" s="2">
        <v>2257.0424338692951</v>
      </c>
      <c r="E1019" s="2">
        <v>2271.8913972500141</v>
      </c>
      <c r="F1019" s="2">
        <v>2257.0424338692951</v>
      </c>
      <c r="G1019" s="2">
        <v>2266.44677734375</v>
      </c>
      <c r="H1019" s="3">
        <v>790773</v>
      </c>
      <c r="I1019" s="4">
        <f t="shared" si="60"/>
        <v>0</v>
      </c>
      <c r="J1019" s="2">
        <f t="shared" si="61"/>
        <v>5.44</v>
      </c>
      <c r="K1019" s="7">
        <f t="shared" si="62"/>
        <v>45992</v>
      </c>
      <c r="L1019" t="str">
        <f t="shared" si="63"/>
        <v>Q4-2025</v>
      </c>
    </row>
    <row r="1020" spans="1:12">
      <c r="A1020" s="6">
        <v>46013</v>
      </c>
      <c r="B1020" t="s">
        <v>34</v>
      </c>
      <c r="C1020" t="s">
        <v>35</v>
      </c>
      <c r="D1020" s="2">
        <v>4041.524966562853</v>
      </c>
      <c r="E1020" s="2">
        <v>4058.8556911192982</v>
      </c>
      <c r="F1020" s="2">
        <v>4029.1458775939641</v>
      </c>
      <c r="G1020" s="2">
        <v>4033.008056640625</v>
      </c>
      <c r="H1020" s="3">
        <v>764774</v>
      </c>
      <c r="I1020" s="4">
        <f t="shared" si="60"/>
        <v>-0.31</v>
      </c>
      <c r="J1020" s="2">
        <f t="shared" si="61"/>
        <v>25.85</v>
      </c>
      <c r="K1020" s="7">
        <f t="shared" si="62"/>
        <v>45992</v>
      </c>
      <c r="L1020" t="str">
        <f t="shared" si="63"/>
        <v>Q4-2025</v>
      </c>
    </row>
    <row r="1021" spans="1:12">
      <c r="A1021" s="6">
        <v>46013</v>
      </c>
      <c r="B1021" t="s">
        <v>36</v>
      </c>
      <c r="C1021" t="s">
        <v>37</v>
      </c>
      <c r="D1021" s="2">
        <v>1234.048295479854</v>
      </c>
      <c r="E1021" s="2">
        <v>1235.946855714303</v>
      </c>
      <c r="F1021" s="2">
        <v>1225.854663280121</v>
      </c>
      <c r="G1021" s="2">
        <v>1232.249633789062</v>
      </c>
      <c r="H1021" s="3">
        <v>2405809</v>
      </c>
      <c r="I1021" s="4">
        <f t="shared" si="60"/>
        <v>-0.66</v>
      </c>
      <c r="J1021" s="2">
        <f t="shared" si="61"/>
        <v>3.7</v>
      </c>
      <c r="K1021" s="7">
        <f t="shared" si="62"/>
        <v>45992</v>
      </c>
      <c r="L1021" t="str">
        <f t="shared" si="63"/>
        <v>Q4-2025</v>
      </c>
    </row>
    <row r="1022" spans="1:12">
      <c r="A1022" s="6">
        <v>46014</v>
      </c>
      <c r="B1022" t="s">
        <v>8</v>
      </c>
      <c r="C1022" t="s">
        <v>9</v>
      </c>
      <c r="D1022" s="2">
        <v>1573.6241984599119</v>
      </c>
      <c r="E1022" s="2">
        <v>1573.6241984599119</v>
      </c>
      <c r="F1022" s="2">
        <v>1560.8830596994951</v>
      </c>
      <c r="G1022" s="2">
        <v>1563.471069335938</v>
      </c>
      <c r="H1022" s="3">
        <v>7506564</v>
      </c>
      <c r="I1022" s="4">
        <f t="shared" si="60"/>
        <v>-0.81</v>
      </c>
      <c r="J1022" s="2">
        <f t="shared" si="61"/>
        <v>10.15</v>
      </c>
      <c r="K1022" s="7">
        <f t="shared" si="62"/>
        <v>45992</v>
      </c>
      <c r="L1022" t="str">
        <f t="shared" si="63"/>
        <v>Q4-2025</v>
      </c>
    </row>
    <row r="1023" spans="1:12">
      <c r="A1023" s="6">
        <v>46014</v>
      </c>
      <c r="B1023" t="s">
        <v>10</v>
      </c>
      <c r="C1023" t="s">
        <v>11</v>
      </c>
      <c r="D1023" s="2">
        <v>3199.4631245744908</v>
      </c>
      <c r="E1023" s="2">
        <v>3199.4631245744908</v>
      </c>
      <c r="F1023" s="2">
        <v>3174.0209376032622</v>
      </c>
      <c r="G1023" s="2">
        <v>3189.92236328125</v>
      </c>
      <c r="H1023" s="3">
        <v>2365420</v>
      </c>
      <c r="I1023" s="4">
        <f t="shared" si="60"/>
        <v>-0.8</v>
      </c>
      <c r="J1023" s="2">
        <f t="shared" si="61"/>
        <v>9.5399999999999991</v>
      </c>
      <c r="K1023" s="7">
        <f t="shared" si="62"/>
        <v>45992</v>
      </c>
      <c r="L1023" t="str">
        <f t="shared" si="63"/>
        <v>Q4-2025</v>
      </c>
    </row>
    <row r="1024" spans="1:12">
      <c r="A1024" s="6">
        <v>46014</v>
      </c>
      <c r="B1024" t="s">
        <v>12</v>
      </c>
      <c r="C1024" t="s">
        <v>13</v>
      </c>
      <c r="D1024" s="2">
        <v>1643.4370603643281</v>
      </c>
      <c r="E1024" s="2">
        <v>1643.4370603643281</v>
      </c>
      <c r="F1024" s="2">
        <v>1621.315775408247</v>
      </c>
      <c r="G1024" s="2">
        <v>1632.963745117188</v>
      </c>
      <c r="H1024" s="3">
        <v>6593060</v>
      </c>
      <c r="I1024" s="4">
        <f t="shared" si="60"/>
        <v>-1.35</v>
      </c>
      <c r="J1024" s="2">
        <f t="shared" si="61"/>
        <v>10.47</v>
      </c>
      <c r="K1024" s="7">
        <f t="shared" si="62"/>
        <v>45992</v>
      </c>
      <c r="L1024" t="str">
        <f t="shared" si="63"/>
        <v>Q4-2025</v>
      </c>
    </row>
    <row r="1025" spans="1:12">
      <c r="A1025" s="6">
        <v>46014</v>
      </c>
      <c r="B1025" t="s">
        <v>14</v>
      </c>
      <c r="C1025" t="s">
        <v>15</v>
      </c>
      <c r="D1025" s="2">
        <v>974.38422186053242</v>
      </c>
      <c r="E1025" s="2">
        <v>982.64757496735297</v>
      </c>
      <c r="F1025" s="2">
        <v>971.62979083895652</v>
      </c>
      <c r="G1025" s="2">
        <v>980.38494873046875</v>
      </c>
      <c r="H1025" s="3">
        <v>17927849</v>
      </c>
      <c r="I1025" s="4">
        <f t="shared" si="60"/>
        <v>-0.28000000000000003</v>
      </c>
      <c r="J1025" s="2">
        <f t="shared" si="61"/>
        <v>2.2599999999999998</v>
      </c>
      <c r="K1025" s="7">
        <f t="shared" si="62"/>
        <v>45992</v>
      </c>
      <c r="L1025" t="str">
        <f t="shared" si="63"/>
        <v>Q4-2025</v>
      </c>
    </row>
    <row r="1026" spans="1:12">
      <c r="A1026" s="6">
        <v>46014</v>
      </c>
      <c r="B1026" t="s">
        <v>16</v>
      </c>
      <c r="C1026" t="s">
        <v>17</v>
      </c>
      <c r="D1026" s="2">
        <v>1349.7210845323891</v>
      </c>
      <c r="E1026" s="2">
        <v>1353.588504469403</v>
      </c>
      <c r="F1026" s="2">
        <v>1345.6553850292901</v>
      </c>
      <c r="G1026" s="2">
        <v>1351.605224609375</v>
      </c>
      <c r="H1026" s="3">
        <v>9105467</v>
      </c>
      <c r="I1026" s="4">
        <f t="shared" ref="I1026:I1089" si="64">ROUND(((F1026-D1026)/D1026)*100, 2)</f>
        <v>-0.3</v>
      </c>
      <c r="J1026" s="2">
        <f t="shared" ref="J1026:J1089" si="65">ROUND(E1026-G1026, 2)</f>
        <v>1.98</v>
      </c>
      <c r="K1026" s="7">
        <f t="shared" ref="K1026:K1089" si="66">DATE(YEAR(A1026),MONTH(A1026),1)</f>
        <v>45992</v>
      </c>
      <c r="L1026" t="str">
        <f t="shared" ref="L1026:L1089" si="67">"Q"&amp;INT((MONTH(A1026)-1)/3)+1&amp;"-"&amp;YEAR(A1026)</f>
        <v>Q4-2025</v>
      </c>
    </row>
    <row r="1027" spans="1:12">
      <c r="A1027" s="6">
        <v>46014</v>
      </c>
      <c r="B1027" t="s">
        <v>18</v>
      </c>
      <c r="C1027" t="s">
        <v>19</v>
      </c>
      <c r="D1027" s="2">
        <v>262.16030139763541</v>
      </c>
      <c r="E1027" s="2">
        <v>262.62294781252501</v>
      </c>
      <c r="F1027" s="2">
        <v>260.43504706071968</v>
      </c>
      <c r="G1027" s="2">
        <v>261.58200073242188</v>
      </c>
      <c r="H1027" s="3">
        <v>7572420</v>
      </c>
      <c r="I1027" s="4">
        <f t="shared" si="64"/>
        <v>-0.66</v>
      </c>
      <c r="J1027" s="2">
        <f t="shared" si="65"/>
        <v>1.04</v>
      </c>
      <c r="K1027" s="7">
        <f t="shared" si="66"/>
        <v>45992</v>
      </c>
      <c r="L1027" t="str">
        <f t="shared" si="67"/>
        <v>Q4-2025</v>
      </c>
    </row>
    <row r="1028" spans="1:12">
      <c r="A1028" s="6">
        <v>46014</v>
      </c>
      <c r="B1028" t="s">
        <v>20</v>
      </c>
      <c r="C1028" t="s">
        <v>21</v>
      </c>
      <c r="D1028" s="2">
        <v>1615.320591595942</v>
      </c>
      <c r="E1028" s="2">
        <v>1626.699531439363</v>
      </c>
      <c r="F1028" s="2">
        <v>1597.0950533817099</v>
      </c>
      <c r="G1028" s="2">
        <v>1619.949340820312</v>
      </c>
      <c r="H1028" s="3">
        <v>1614314</v>
      </c>
      <c r="I1028" s="4">
        <f t="shared" si="64"/>
        <v>-1.1299999999999999</v>
      </c>
      <c r="J1028" s="2">
        <f t="shared" si="65"/>
        <v>6.75</v>
      </c>
      <c r="K1028" s="7">
        <f t="shared" si="66"/>
        <v>45992</v>
      </c>
      <c r="L1028" t="str">
        <f t="shared" si="67"/>
        <v>Q4-2025</v>
      </c>
    </row>
    <row r="1029" spans="1:12">
      <c r="A1029" s="6">
        <v>46014</v>
      </c>
      <c r="B1029" t="s">
        <v>22</v>
      </c>
      <c r="C1029" t="s">
        <v>23</v>
      </c>
      <c r="D1029" s="2">
        <v>1007.307848551227</v>
      </c>
      <c r="E1029" s="2">
        <v>1011.7803550322139</v>
      </c>
      <c r="F1029" s="2">
        <v>999.55551611663259</v>
      </c>
      <c r="G1029" s="2">
        <v>1005.220703125</v>
      </c>
      <c r="H1029" s="3">
        <v>4712043</v>
      </c>
      <c r="I1029" s="4">
        <f t="shared" si="64"/>
        <v>-0.77</v>
      </c>
      <c r="J1029" s="2">
        <f t="shared" si="65"/>
        <v>6.56</v>
      </c>
      <c r="K1029" s="7">
        <f t="shared" si="66"/>
        <v>45992</v>
      </c>
      <c r="L1029" t="str">
        <f t="shared" si="67"/>
        <v>Q4-2025</v>
      </c>
    </row>
    <row r="1030" spans="1:12">
      <c r="A1030" s="6">
        <v>46014</v>
      </c>
      <c r="B1030" t="s">
        <v>24</v>
      </c>
      <c r="C1030" t="s">
        <v>25</v>
      </c>
      <c r="D1030" s="2">
        <v>16542.858838346961</v>
      </c>
      <c r="E1030" s="2">
        <v>16553.74946299367</v>
      </c>
      <c r="F1030" s="2">
        <v>16393.36026365127</v>
      </c>
      <c r="G1030" s="2">
        <v>16420.091796875</v>
      </c>
      <c r="H1030" s="3">
        <v>215650</v>
      </c>
      <c r="I1030" s="4">
        <f t="shared" si="64"/>
        <v>-0.9</v>
      </c>
      <c r="J1030" s="2">
        <f t="shared" si="65"/>
        <v>133.66</v>
      </c>
      <c r="K1030" s="7">
        <f t="shared" si="66"/>
        <v>45992</v>
      </c>
      <c r="L1030" t="str">
        <f t="shared" si="67"/>
        <v>Q4-2025</v>
      </c>
    </row>
    <row r="1031" spans="1:12">
      <c r="A1031" s="6">
        <v>46014</v>
      </c>
      <c r="B1031" t="s">
        <v>26</v>
      </c>
      <c r="C1031" t="s">
        <v>27</v>
      </c>
      <c r="D1031" s="2">
        <v>358.03004643544608</v>
      </c>
      <c r="E1031" s="2">
        <v>363.732741080886</v>
      </c>
      <c r="F1031" s="2">
        <v>354.70760089306179</v>
      </c>
      <c r="G1031" s="2">
        <v>360.26153564453119</v>
      </c>
      <c r="H1031" s="3">
        <v>11885576</v>
      </c>
      <c r="I1031" s="4">
        <f t="shared" si="64"/>
        <v>-0.93</v>
      </c>
      <c r="J1031" s="2">
        <f t="shared" si="65"/>
        <v>3.47</v>
      </c>
      <c r="K1031" s="7">
        <f t="shared" si="66"/>
        <v>45992</v>
      </c>
      <c r="L1031" t="str">
        <f t="shared" si="67"/>
        <v>Q4-2025</v>
      </c>
    </row>
    <row r="1032" spans="1:12">
      <c r="A1032" s="6">
        <v>46014</v>
      </c>
      <c r="B1032" t="s">
        <v>28</v>
      </c>
      <c r="C1032" t="s">
        <v>29</v>
      </c>
      <c r="D1032" s="2">
        <v>1755.9617016652769</v>
      </c>
      <c r="E1032" s="2">
        <v>1758.5381449802719</v>
      </c>
      <c r="F1032" s="2">
        <v>1735.8453877351851</v>
      </c>
      <c r="G1032" s="2">
        <v>1740.007446289062</v>
      </c>
      <c r="H1032" s="3">
        <v>1124853</v>
      </c>
      <c r="I1032" s="4">
        <f t="shared" si="64"/>
        <v>-1.1499999999999999</v>
      </c>
      <c r="J1032" s="2">
        <f t="shared" si="65"/>
        <v>18.53</v>
      </c>
      <c r="K1032" s="7">
        <f t="shared" si="66"/>
        <v>45992</v>
      </c>
      <c r="L1032" t="str">
        <f t="shared" si="67"/>
        <v>Q4-2025</v>
      </c>
    </row>
    <row r="1033" spans="1:12">
      <c r="A1033" s="6">
        <v>46014</v>
      </c>
      <c r="B1033" t="s">
        <v>30</v>
      </c>
      <c r="C1033" t="s">
        <v>31</v>
      </c>
      <c r="D1033" s="2">
        <v>2773.9334147715081</v>
      </c>
      <c r="E1033" s="2">
        <v>2794.7527863620012</v>
      </c>
      <c r="F1033" s="2">
        <v>2759.161671745002</v>
      </c>
      <c r="G1033" s="2">
        <v>2783.649169921875</v>
      </c>
      <c r="H1033" s="3">
        <v>431068</v>
      </c>
      <c r="I1033" s="4">
        <f t="shared" si="64"/>
        <v>-0.53</v>
      </c>
      <c r="J1033" s="2">
        <f t="shared" si="65"/>
        <v>11.1</v>
      </c>
      <c r="K1033" s="7">
        <f t="shared" si="66"/>
        <v>45992</v>
      </c>
      <c r="L1033" t="str">
        <f t="shared" si="67"/>
        <v>Q4-2025</v>
      </c>
    </row>
    <row r="1034" spans="1:12">
      <c r="A1034" s="6">
        <v>46014</v>
      </c>
      <c r="B1034" t="s">
        <v>32</v>
      </c>
      <c r="C1034" t="s">
        <v>33</v>
      </c>
      <c r="D1034" s="2">
        <v>2266.2486667249432</v>
      </c>
      <c r="E1034" s="2">
        <v>2286.740186291609</v>
      </c>
      <c r="F1034" s="2">
        <v>2257.735165029454</v>
      </c>
      <c r="G1034" s="2">
        <v>2279.414794921875</v>
      </c>
      <c r="H1034" s="3">
        <v>1128801</v>
      </c>
      <c r="I1034" s="4">
        <f t="shared" si="64"/>
        <v>-0.38</v>
      </c>
      <c r="J1034" s="2">
        <f t="shared" si="65"/>
        <v>7.33</v>
      </c>
      <c r="K1034" s="7">
        <f t="shared" si="66"/>
        <v>45992</v>
      </c>
      <c r="L1034" t="str">
        <f t="shared" si="67"/>
        <v>Q4-2025</v>
      </c>
    </row>
    <row r="1035" spans="1:12">
      <c r="A1035" s="6">
        <v>46014</v>
      </c>
      <c r="B1035" t="s">
        <v>34</v>
      </c>
      <c r="C1035" t="s">
        <v>35</v>
      </c>
      <c r="D1035" s="2">
        <v>4049.447625827489</v>
      </c>
      <c r="E1035" s="2">
        <v>4055.3895885946608</v>
      </c>
      <c r="F1035" s="2">
        <v>4014.092995718634</v>
      </c>
      <c r="G1035" s="2">
        <v>4019.539794921875</v>
      </c>
      <c r="H1035" s="3">
        <v>1867147</v>
      </c>
      <c r="I1035" s="4">
        <f t="shared" si="64"/>
        <v>-0.87</v>
      </c>
      <c r="J1035" s="2">
        <f t="shared" si="65"/>
        <v>35.85</v>
      </c>
      <c r="K1035" s="7">
        <f t="shared" si="66"/>
        <v>45992</v>
      </c>
      <c r="L1035" t="str">
        <f t="shared" si="67"/>
        <v>Q4-2025</v>
      </c>
    </row>
    <row r="1036" spans="1:12">
      <c r="A1036" s="6">
        <v>46014</v>
      </c>
      <c r="B1036" t="s">
        <v>36</v>
      </c>
      <c r="C1036" t="s">
        <v>37</v>
      </c>
      <c r="D1036" s="2">
        <v>1238.045242047991</v>
      </c>
      <c r="E1036" s="2">
        <v>1238.045242047991</v>
      </c>
      <c r="F1036" s="2">
        <v>1222.5571861547351</v>
      </c>
      <c r="G1036" s="2">
        <v>1224.056030273438</v>
      </c>
      <c r="H1036" s="3">
        <v>2920318</v>
      </c>
      <c r="I1036" s="4">
        <f t="shared" si="64"/>
        <v>-1.25</v>
      </c>
      <c r="J1036" s="2">
        <f t="shared" si="65"/>
        <v>13.99</v>
      </c>
      <c r="K1036" s="7">
        <f t="shared" si="66"/>
        <v>45992</v>
      </c>
      <c r="L1036" t="str">
        <f t="shared" si="67"/>
        <v>Q4-2025</v>
      </c>
    </row>
    <row r="1037" spans="1:12">
      <c r="A1037" s="6">
        <v>46015</v>
      </c>
      <c r="B1037" t="s">
        <v>8</v>
      </c>
      <c r="C1037" t="s">
        <v>9</v>
      </c>
      <c r="D1037" s="2">
        <v>1565.461953536234</v>
      </c>
      <c r="E1037" s="2">
        <v>1568.4481467112951</v>
      </c>
      <c r="F1037" s="2">
        <v>1546.4498812900461</v>
      </c>
      <c r="G1037" s="2">
        <v>1551.028686523438</v>
      </c>
      <c r="H1037" s="3">
        <v>8815745</v>
      </c>
      <c r="I1037" s="4">
        <f t="shared" si="64"/>
        <v>-1.21</v>
      </c>
      <c r="J1037" s="2">
        <f t="shared" si="65"/>
        <v>17.420000000000002</v>
      </c>
      <c r="K1037" s="7">
        <f t="shared" si="66"/>
        <v>45992</v>
      </c>
      <c r="L1037" t="str">
        <f t="shared" si="67"/>
        <v>Q4-2025</v>
      </c>
    </row>
    <row r="1038" spans="1:12">
      <c r="A1038" s="6">
        <v>46015</v>
      </c>
      <c r="B1038" t="s">
        <v>10</v>
      </c>
      <c r="C1038" t="s">
        <v>11</v>
      </c>
      <c r="D1038" s="2">
        <v>3184.2365717756061</v>
      </c>
      <c r="E1038" s="2">
        <v>3206.4021959958859</v>
      </c>
      <c r="F1038" s="2">
        <v>3176.5267894381182</v>
      </c>
      <c r="G1038" s="2">
        <v>3198.595947265625</v>
      </c>
      <c r="H1038" s="3">
        <v>1367708</v>
      </c>
      <c r="I1038" s="4">
        <f t="shared" si="64"/>
        <v>-0.24</v>
      </c>
      <c r="J1038" s="2">
        <f t="shared" si="65"/>
        <v>7.81</v>
      </c>
      <c r="K1038" s="7">
        <f t="shared" si="66"/>
        <v>45992</v>
      </c>
      <c r="L1038" t="str">
        <f t="shared" si="67"/>
        <v>Q4-2025</v>
      </c>
    </row>
    <row r="1039" spans="1:12">
      <c r="A1039" s="6">
        <v>46015</v>
      </c>
      <c r="B1039" t="s">
        <v>12</v>
      </c>
      <c r="C1039" t="s">
        <v>13</v>
      </c>
      <c r="D1039" s="2">
        <v>1625.8182910699561</v>
      </c>
      <c r="E1039" s="2">
        <v>1632.2784723030879</v>
      </c>
      <c r="F1039" s="2">
        <v>1617.498329917581</v>
      </c>
      <c r="G1039" s="2">
        <v>1628.16748046875</v>
      </c>
      <c r="H1039" s="3">
        <v>4271167</v>
      </c>
      <c r="I1039" s="4">
        <f t="shared" si="64"/>
        <v>-0.51</v>
      </c>
      <c r="J1039" s="2">
        <f t="shared" si="65"/>
        <v>4.1100000000000003</v>
      </c>
      <c r="K1039" s="7">
        <f t="shared" si="66"/>
        <v>45992</v>
      </c>
      <c r="L1039" t="str">
        <f t="shared" si="67"/>
        <v>Q4-2025</v>
      </c>
    </row>
    <row r="1040" spans="1:12">
      <c r="A1040" s="6">
        <v>46015</v>
      </c>
      <c r="B1040" t="s">
        <v>14</v>
      </c>
      <c r="C1040" t="s">
        <v>15</v>
      </c>
      <c r="D1040" s="2">
        <v>976.84354318503506</v>
      </c>
      <c r="E1040" s="2">
        <v>983.13943696660965</v>
      </c>
      <c r="F1040" s="2">
        <v>976.84354318503506</v>
      </c>
      <c r="G1040" s="2">
        <v>980.9752197265625</v>
      </c>
      <c r="H1040" s="3">
        <v>13699996</v>
      </c>
      <c r="I1040" s="4">
        <f t="shared" si="64"/>
        <v>0</v>
      </c>
      <c r="J1040" s="2">
        <f t="shared" si="65"/>
        <v>2.16</v>
      </c>
      <c r="K1040" s="7">
        <f t="shared" si="66"/>
        <v>45992</v>
      </c>
      <c r="L1040" t="str">
        <f t="shared" si="67"/>
        <v>Q4-2025</v>
      </c>
    </row>
    <row r="1041" spans="1:12">
      <c r="A1041" s="6">
        <v>46015</v>
      </c>
      <c r="B1041" t="s">
        <v>16</v>
      </c>
      <c r="C1041" t="s">
        <v>17</v>
      </c>
      <c r="D1041" s="2">
        <v>1352.398688931213</v>
      </c>
      <c r="E1041" s="2">
        <v>1356.7618081188291</v>
      </c>
      <c r="F1041" s="2">
        <v>1346.2504482626371</v>
      </c>
      <c r="G1041" s="2">
        <v>1348.43212890625</v>
      </c>
      <c r="H1041" s="3">
        <v>8955140</v>
      </c>
      <c r="I1041" s="4">
        <f t="shared" si="64"/>
        <v>-0.45</v>
      </c>
      <c r="J1041" s="2">
        <f t="shared" si="65"/>
        <v>8.33</v>
      </c>
      <c r="K1041" s="7">
        <f t="shared" si="66"/>
        <v>45992</v>
      </c>
      <c r="L1041" t="str">
        <f t="shared" si="67"/>
        <v>Q4-2025</v>
      </c>
    </row>
    <row r="1042" spans="1:12">
      <c r="A1042" s="6">
        <v>46015</v>
      </c>
      <c r="B1042" t="s">
        <v>18</v>
      </c>
      <c r="C1042" t="s">
        <v>19</v>
      </c>
      <c r="D1042" s="2">
        <v>261.13864307878782</v>
      </c>
      <c r="E1042" s="2">
        <v>261.17720429912561</v>
      </c>
      <c r="F1042" s="2">
        <v>257.53394843742052</v>
      </c>
      <c r="G1042" s="2">
        <v>258.36282348632813</v>
      </c>
      <c r="H1042" s="3">
        <v>4694861</v>
      </c>
      <c r="I1042" s="4">
        <f t="shared" si="64"/>
        <v>-1.38</v>
      </c>
      <c r="J1042" s="2">
        <f t="shared" si="65"/>
        <v>2.81</v>
      </c>
      <c r="K1042" s="7">
        <f t="shared" si="66"/>
        <v>45992</v>
      </c>
      <c r="L1042" t="str">
        <f t="shared" si="67"/>
        <v>Q4-2025</v>
      </c>
    </row>
    <row r="1043" spans="1:12">
      <c r="A1043" s="6">
        <v>46015</v>
      </c>
      <c r="B1043" t="s">
        <v>20</v>
      </c>
      <c r="C1043" t="s">
        <v>21</v>
      </c>
      <c r="D1043" s="2">
        <v>1616.188346180832</v>
      </c>
      <c r="E1043" s="2">
        <v>1620.045597603699</v>
      </c>
      <c r="F1043" s="2">
        <v>1605.6773125107279</v>
      </c>
      <c r="G1043" s="2">
        <v>1614.934692382812</v>
      </c>
      <c r="H1043" s="3">
        <v>989858</v>
      </c>
      <c r="I1043" s="4">
        <f t="shared" si="64"/>
        <v>-0.65</v>
      </c>
      <c r="J1043" s="2">
        <f t="shared" si="65"/>
        <v>5.1100000000000003</v>
      </c>
      <c r="K1043" s="7">
        <f t="shared" si="66"/>
        <v>45992</v>
      </c>
      <c r="L1043" t="str">
        <f t="shared" si="67"/>
        <v>Q4-2025</v>
      </c>
    </row>
    <row r="1044" spans="1:12">
      <c r="A1044" s="6">
        <v>46015</v>
      </c>
      <c r="B1044" t="s">
        <v>22</v>
      </c>
      <c r="C1044" t="s">
        <v>23</v>
      </c>
      <c r="D1044" s="2">
        <v>1004.823124499229</v>
      </c>
      <c r="E1044" s="2">
        <v>1031.061853498828</v>
      </c>
      <c r="F1044" s="2">
        <v>999.85367284493032</v>
      </c>
      <c r="G1044" s="2">
        <v>1005.518859863281</v>
      </c>
      <c r="H1044" s="3">
        <v>5984816</v>
      </c>
      <c r="I1044" s="4">
        <f t="shared" si="64"/>
        <v>-0.49</v>
      </c>
      <c r="J1044" s="2">
        <f t="shared" si="65"/>
        <v>25.54</v>
      </c>
      <c r="K1044" s="7">
        <f t="shared" si="66"/>
        <v>45992</v>
      </c>
      <c r="L1044" t="str">
        <f t="shared" si="67"/>
        <v>Q4-2025</v>
      </c>
    </row>
    <row r="1045" spans="1:12">
      <c r="A1045" s="6">
        <v>46015</v>
      </c>
      <c r="B1045" t="s">
        <v>24</v>
      </c>
      <c r="C1045" t="s">
        <v>25</v>
      </c>
      <c r="D1045" s="2">
        <v>16474.544393222779</v>
      </c>
      <c r="E1045" s="2">
        <v>16553.748933574811</v>
      </c>
      <c r="F1045" s="2">
        <v>16377.518831291531</v>
      </c>
      <c r="G1045" s="2">
        <v>16536.91796875</v>
      </c>
      <c r="H1045" s="3">
        <v>258486</v>
      </c>
      <c r="I1045" s="4">
        <f t="shared" si="64"/>
        <v>-0.59</v>
      </c>
      <c r="J1045" s="2">
        <f t="shared" si="65"/>
        <v>16.829999999999998</v>
      </c>
      <c r="K1045" s="7">
        <f t="shared" si="66"/>
        <v>45992</v>
      </c>
      <c r="L1045" t="str">
        <f t="shared" si="67"/>
        <v>Q4-2025</v>
      </c>
    </row>
    <row r="1046" spans="1:12">
      <c r="A1046" s="6">
        <v>46015</v>
      </c>
      <c r="B1046" t="s">
        <v>26</v>
      </c>
      <c r="C1046" t="s">
        <v>27</v>
      </c>
      <c r="D1046" s="2">
        <v>361.00534040607067</v>
      </c>
      <c r="E1046" s="2">
        <v>361.89792997465241</v>
      </c>
      <c r="F1046" s="2">
        <v>355.60016592250872</v>
      </c>
      <c r="G1046" s="2">
        <v>356.24484252929688</v>
      </c>
      <c r="H1046" s="3">
        <v>9212351</v>
      </c>
      <c r="I1046" s="4">
        <f t="shared" si="64"/>
        <v>-1.5</v>
      </c>
      <c r="J1046" s="2">
        <f t="shared" si="65"/>
        <v>5.65</v>
      </c>
      <c r="K1046" s="7">
        <f t="shared" si="66"/>
        <v>45992</v>
      </c>
      <c r="L1046" t="str">
        <f t="shared" si="67"/>
        <v>Q4-2025</v>
      </c>
    </row>
    <row r="1047" spans="1:12">
      <c r="A1047" s="6">
        <v>46015</v>
      </c>
      <c r="B1047" t="s">
        <v>28</v>
      </c>
      <c r="C1047" t="s">
        <v>29</v>
      </c>
      <c r="D1047" s="2">
        <v>1740.007526394154</v>
      </c>
      <c r="E1047" s="2">
        <v>1743.0794443713571</v>
      </c>
      <c r="F1047" s="2">
        <v>1703.441480883663</v>
      </c>
      <c r="G1047" s="2">
        <v>1721.278564453125</v>
      </c>
      <c r="H1047" s="3">
        <v>2224786</v>
      </c>
      <c r="I1047" s="4">
        <f t="shared" si="64"/>
        <v>-2.1</v>
      </c>
      <c r="J1047" s="2">
        <f t="shared" si="65"/>
        <v>21.8</v>
      </c>
      <c r="K1047" s="7">
        <f t="shared" si="66"/>
        <v>45992</v>
      </c>
      <c r="L1047" t="str">
        <f t="shared" si="67"/>
        <v>Q4-2025</v>
      </c>
    </row>
    <row r="1048" spans="1:12">
      <c r="A1048" s="6">
        <v>46015</v>
      </c>
      <c r="B1048" t="s">
        <v>30</v>
      </c>
      <c r="C1048" t="s">
        <v>31</v>
      </c>
      <c r="D1048" s="2">
        <v>2783.6490084418192</v>
      </c>
      <c r="E1048" s="2">
        <v>2800.4035477907219</v>
      </c>
      <c r="F1048" s="2">
        <v>2758.070876420582</v>
      </c>
      <c r="G1048" s="2">
        <v>2761.540771484375</v>
      </c>
      <c r="H1048" s="3">
        <v>512144</v>
      </c>
      <c r="I1048" s="4">
        <f t="shared" si="64"/>
        <v>-0.92</v>
      </c>
      <c r="J1048" s="2">
        <f t="shared" si="65"/>
        <v>38.86</v>
      </c>
      <c r="K1048" s="7">
        <f t="shared" si="66"/>
        <v>45992</v>
      </c>
      <c r="L1048" t="str">
        <f t="shared" si="67"/>
        <v>Q4-2025</v>
      </c>
    </row>
    <row r="1049" spans="1:12">
      <c r="A1049" s="6">
        <v>46015</v>
      </c>
      <c r="B1049" t="s">
        <v>32</v>
      </c>
      <c r="C1049" t="s">
        <v>33</v>
      </c>
      <c r="D1049" s="2">
        <v>2279.414949884213</v>
      </c>
      <c r="E1049" s="2">
        <v>2281.790687332576</v>
      </c>
      <c r="F1049" s="2">
        <v>2255.1616432292681</v>
      </c>
      <c r="G1049" s="2">
        <v>2259.22021484375</v>
      </c>
      <c r="H1049" s="3">
        <v>519380</v>
      </c>
      <c r="I1049" s="4">
        <f t="shared" si="64"/>
        <v>-1.06</v>
      </c>
      <c r="J1049" s="2">
        <f t="shared" si="65"/>
        <v>22.57</v>
      </c>
      <c r="K1049" s="7">
        <f t="shared" si="66"/>
        <v>45992</v>
      </c>
      <c r="L1049" t="str">
        <f t="shared" si="67"/>
        <v>Q4-2025</v>
      </c>
    </row>
    <row r="1050" spans="1:12">
      <c r="A1050" s="6">
        <v>46015</v>
      </c>
      <c r="B1050" t="s">
        <v>34</v>
      </c>
      <c r="C1050" t="s">
        <v>35</v>
      </c>
      <c r="D1050" s="2">
        <v>4025.6797692492919</v>
      </c>
      <c r="E1050" s="2">
        <v>4041.2278567796279</v>
      </c>
      <c r="F1050" s="2">
        <v>4008.9433375229642</v>
      </c>
      <c r="G1050" s="2">
        <v>4014.39013671875</v>
      </c>
      <c r="H1050" s="3">
        <v>1021436</v>
      </c>
      <c r="I1050" s="4">
        <f t="shared" si="64"/>
        <v>-0.42</v>
      </c>
      <c r="J1050" s="2">
        <f t="shared" si="65"/>
        <v>26.84</v>
      </c>
      <c r="K1050" s="7">
        <f t="shared" si="66"/>
        <v>45992</v>
      </c>
      <c r="L1050" t="str">
        <f t="shared" si="67"/>
        <v>Q4-2025</v>
      </c>
    </row>
    <row r="1051" spans="1:12">
      <c r="A1051" s="6">
        <v>46015</v>
      </c>
      <c r="B1051" t="s">
        <v>36</v>
      </c>
      <c r="C1051" t="s">
        <v>37</v>
      </c>
      <c r="D1051" s="2">
        <v>1229.0520802122271</v>
      </c>
      <c r="E1051" s="2">
        <v>1234.4479430084059</v>
      </c>
      <c r="F1051" s="2">
        <v>1223.756115954151</v>
      </c>
      <c r="G1051" s="2">
        <v>1225.35498046875</v>
      </c>
      <c r="H1051" s="3">
        <v>3155506</v>
      </c>
      <c r="I1051" s="4">
        <f t="shared" si="64"/>
        <v>-0.43</v>
      </c>
      <c r="J1051" s="2">
        <f t="shared" si="65"/>
        <v>9.09</v>
      </c>
      <c r="K1051" s="7">
        <f t="shared" si="66"/>
        <v>45992</v>
      </c>
      <c r="L1051" t="str">
        <f t="shared" si="67"/>
        <v>Q4-2025</v>
      </c>
    </row>
    <row r="1052" spans="1:12">
      <c r="A1052" s="6">
        <v>46017</v>
      </c>
      <c r="B1052" t="s">
        <v>8</v>
      </c>
      <c r="C1052" t="s">
        <v>9</v>
      </c>
      <c r="D1052" s="2">
        <v>1547.544758194015</v>
      </c>
      <c r="E1052" s="2">
        <v>1553.8158123179851</v>
      </c>
      <c r="F1052" s="2">
        <v>1547.146696320151</v>
      </c>
      <c r="G1052" s="2">
        <v>1552.024047851562</v>
      </c>
      <c r="H1052" s="3">
        <v>2311495</v>
      </c>
      <c r="I1052" s="4">
        <f t="shared" si="64"/>
        <v>-0.03</v>
      </c>
      <c r="J1052" s="2">
        <f t="shared" si="65"/>
        <v>1.79</v>
      </c>
      <c r="K1052" s="7">
        <f t="shared" si="66"/>
        <v>45992</v>
      </c>
      <c r="L1052" t="str">
        <f t="shared" si="67"/>
        <v>Q4-2025</v>
      </c>
    </row>
    <row r="1053" spans="1:12">
      <c r="A1053" s="6">
        <v>46017</v>
      </c>
      <c r="B1053" t="s">
        <v>10</v>
      </c>
      <c r="C1053" t="s">
        <v>11</v>
      </c>
      <c r="D1053" s="2">
        <v>3192.9100605591038</v>
      </c>
      <c r="E1053" s="2">
        <v>3199.559653677592</v>
      </c>
      <c r="F1053" s="2">
        <v>3153.1082623888078</v>
      </c>
      <c r="G1053" s="2">
        <v>3161.0107421875</v>
      </c>
      <c r="H1053" s="3">
        <v>1176664</v>
      </c>
      <c r="I1053" s="4">
        <f t="shared" si="64"/>
        <v>-1.25</v>
      </c>
      <c r="J1053" s="2">
        <f t="shared" si="65"/>
        <v>38.549999999999997</v>
      </c>
      <c r="K1053" s="7">
        <f t="shared" si="66"/>
        <v>45992</v>
      </c>
      <c r="L1053" t="str">
        <f t="shared" si="67"/>
        <v>Q4-2025</v>
      </c>
    </row>
    <row r="1054" spans="1:12">
      <c r="A1054" s="6">
        <v>46017</v>
      </c>
      <c r="B1054" t="s">
        <v>12</v>
      </c>
      <c r="C1054" t="s">
        <v>13</v>
      </c>
      <c r="D1054" s="2">
        <v>1628.167521100225</v>
      </c>
      <c r="E1054" s="2">
        <v>1633.453167508233</v>
      </c>
      <c r="F1054" s="2">
        <v>1616.7152673020839</v>
      </c>
      <c r="G1054" s="2">
        <v>1621.022094726562</v>
      </c>
      <c r="H1054" s="3">
        <v>2006491</v>
      </c>
      <c r="I1054" s="4">
        <f t="shared" si="64"/>
        <v>-0.7</v>
      </c>
      <c r="J1054" s="2">
        <f t="shared" si="65"/>
        <v>12.43</v>
      </c>
      <c r="K1054" s="7">
        <f t="shared" si="66"/>
        <v>45992</v>
      </c>
      <c r="L1054" t="str">
        <f t="shared" si="67"/>
        <v>Q4-2025</v>
      </c>
    </row>
    <row r="1055" spans="1:12">
      <c r="A1055" s="6">
        <v>46017</v>
      </c>
      <c r="B1055" t="s">
        <v>14</v>
      </c>
      <c r="C1055" t="s">
        <v>15</v>
      </c>
      <c r="D1055" s="2">
        <v>979.7947606844748</v>
      </c>
      <c r="E1055" s="2">
        <v>980.97524830817622</v>
      </c>
      <c r="F1055" s="2">
        <v>971.62981635385643</v>
      </c>
      <c r="G1055" s="2">
        <v>975.95819091796875</v>
      </c>
      <c r="H1055" s="3">
        <v>9360853</v>
      </c>
      <c r="I1055" s="4">
        <f t="shared" si="64"/>
        <v>-0.83</v>
      </c>
      <c r="J1055" s="2">
        <f t="shared" si="65"/>
        <v>5.0199999999999996</v>
      </c>
      <c r="K1055" s="7">
        <f t="shared" si="66"/>
        <v>45992</v>
      </c>
      <c r="L1055" t="str">
        <f t="shared" si="67"/>
        <v>Q4-2025</v>
      </c>
    </row>
    <row r="1056" spans="1:12">
      <c r="A1056" s="6">
        <v>46017</v>
      </c>
      <c r="B1056" t="s">
        <v>16</v>
      </c>
      <c r="C1056" t="s">
        <v>17</v>
      </c>
      <c r="D1056" s="2">
        <v>1345.159575111433</v>
      </c>
      <c r="E1056" s="2">
        <v>1350.6135947672481</v>
      </c>
      <c r="F1056" s="2">
        <v>1337.226455612066</v>
      </c>
      <c r="G1056" s="2">
        <v>1339.110595703125</v>
      </c>
      <c r="H1056" s="3">
        <v>2812144</v>
      </c>
      <c r="I1056" s="4">
        <f t="shared" si="64"/>
        <v>-0.59</v>
      </c>
      <c r="J1056" s="2">
        <f t="shared" si="65"/>
        <v>11.5</v>
      </c>
      <c r="K1056" s="7">
        <f t="shared" si="66"/>
        <v>45992</v>
      </c>
      <c r="L1056" t="str">
        <f t="shared" si="67"/>
        <v>Q4-2025</v>
      </c>
    </row>
    <row r="1057" spans="1:12">
      <c r="A1057" s="6">
        <v>46017</v>
      </c>
      <c r="B1057" t="s">
        <v>18</v>
      </c>
      <c r="C1057" t="s">
        <v>19</v>
      </c>
      <c r="D1057" s="2">
        <v>257.53393903985591</v>
      </c>
      <c r="E1057" s="2">
        <v>259.1531572718402</v>
      </c>
      <c r="F1057" s="2">
        <v>256.12673397801041</v>
      </c>
      <c r="G1057" s="2">
        <v>256.66647338867188</v>
      </c>
      <c r="H1057" s="3">
        <v>2899112</v>
      </c>
      <c r="I1057" s="4">
        <f t="shared" si="64"/>
        <v>-0.55000000000000004</v>
      </c>
      <c r="J1057" s="2">
        <f t="shared" si="65"/>
        <v>2.4900000000000002</v>
      </c>
      <c r="K1057" s="7">
        <f t="shared" si="66"/>
        <v>45992</v>
      </c>
      <c r="L1057" t="str">
        <f t="shared" si="67"/>
        <v>Q4-2025</v>
      </c>
    </row>
    <row r="1058" spans="1:12">
      <c r="A1058" s="6">
        <v>46017</v>
      </c>
      <c r="B1058" t="s">
        <v>20</v>
      </c>
      <c r="C1058" t="s">
        <v>21</v>
      </c>
      <c r="D1058" s="2">
        <v>1608.473917383925</v>
      </c>
      <c r="E1058" s="2">
        <v>1616.574169287647</v>
      </c>
      <c r="F1058" s="2">
        <v>1591.598441631995</v>
      </c>
      <c r="G1058" s="2">
        <v>1601.627319335938</v>
      </c>
      <c r="H1058" s="3">
        <v>921138</v>
      </c>
      <c r="I1058" s="4">
        <f t="shared" si="64"/>
        <v>-1.05</v>
      </c>
      <c r="J1058" s="2">
        <f t="shared" si="65"/>
        <v>14.95</v>
      </c>
      <c r="K1058" s="7">
        <f t="shared" si="66"/>
        <v>45992</v>
      </c>
      <c r="L1058" t="str">
        <f t="shared" si="67"/>
        <v>Q4-2025</v>
      </c>
    </row>
    <row r="1059" spans="1:12">
      <c r="A1059" s="6">
        <v>46017</v>
      </c>
      <c r="B1059" t="s">
        <v>22</v>
      </c>
      <c r="C1059" t="s">
        <v>23</v>
      </c>
      <c r="D1059" s="2">
        <v>1005.518848698612</v>
      </c>
      <c r="E1059" s="2">
        <v>1005.518848698612</v>
      </c>
      <c r="F1059" s="2">
        <v>991.90253918457029</v>
      </c>
      <c r="G1059" s="2">
        <v>993.89031982421875</v>
      </c>
      <c r="H1059" s="3">
        <v>5211460</v>
      </c>
      <c r="I1059" s="4">
        <f t="shared" si="64"/>
        <v>-1.35</v>
      </c>
      <c r="J1059" s="2">
        <f t="shared" si="65"/>
        <v>11.63</v>
      </c>
      <c r="K1059" s="7">
        <f t="shared" si="66"/>
        <v>45992</v>
      </c>
      <c r="L1059" t="str">
        <f t="shared" si="67"/>
        <v>Q4-2025</v>
      </c>
    </row>
    <row r="1060" spans="1:12">
      <c r="A1060" s="6">
        <v>46017</v>
      </c>
      <c r="B1060" t="s">
        <v>24</v>
      </c>
      <c r="C1060" t="s">
        <v>25</v>
      </c>
      <c r="D1060" s="2">
        <v>16536.918497986149</v>
      </c>
      <c r="E1060" s="2">
        <v>16536.918497986149</v>
      </c>
      <c r="F1060" s="2">
        <v>16351.77787898816</v>
      </c>
      <c r="G1060" s="2">
        <v>16430.982421875</v>
      </c>
      <c r="H1060" s="3">
        <v>212925</v>
      </c>
      <c r="I1060" s="4">
        <f t="shared" si="64"/>
        <v>-1.1200000000000001</v>
      </c>
      <c r="J1060" s="2">
        <f t="shared" si="65"/>
        <v>105.94</v>
      </c>
      <c r="K1060" s="7">
        <f t="shared" si="66"/>
        <v>45992</v>
      </c>
      <c r="L1060" t="str">
        <f t="shared" si="67"/>
        <v>Q4-2025</v>
      </c>
    </row>
    <row r="1061" spans="1:12">
      <c r="A1061" s="6">
        <v>46017</v>
      </c>
      <c r="B1061" t="s">
        <v>26</v>
      </c>
      <c r="C1061" t="s">
        <v>27</v>
      </c>
      <c r="D1061" s="2">
        <v>356.24484739758071</v>
      </c>
      <c r="E1061" s="2">
        <v>357.43495674978402</v>
      </c>
      <c r="F1061" s="2">
        <v>351.78186922717589</v>
      </c>
      <c r="G1061" s="2">
        <v>355.84811401367188</v>
      </c>
      <c r="H1061" s="3">
        <v>8589856</v>
      </c>
      <c r="I1061" s="4">
        <f t="shared" si="64"/>
        <v>-1.25</v>
      </c>
      <c r="J1061" s="2">
        <f t="shared" si="65"/>
        <v>1.59</v>
      </c>
      <c r="K1061" s="7">
        <f t="shared" si="66"/>
        <v>45992</v>
      </c>
      <c r="L1061" t="str">
        <f t="shared" si="67"/>
        <v>Q4-2025</v>
      </c>
    </row>
    <row r="1062" spans="1:12">
      <c r="A1062" s="6">
        <v>46017</v>
      </c>
      <c r="B1062" t="s">
        <v>28</v>
      </c>
      <c r="C1062" t="s">
        <v>29</v>
      </c>
      <c r="D1062" s="2">
        <v>1721.27837469218</v>
      </c>
      <c r="E1062" s="2">
        <v>1721.27837469218</v>
      </c>
      <c r="F1062" s="2">
        <v>1692.540854331746</v>
      </c>
      <c r="G1062" s="2">
        <v>1703.936767578125</v>
      </c>
      <c r="H1062" s="3">
        <v>2507337</v>
      </c>
      <c r="I1062" s="4">
        <f t="shared" si="64"/>
        <v>-1.67</v>
      </c>
      <c r="J1062" s="2">
        <f t="shared" si="65"/>
        <v>17.34</v>
      </c>
      <c r="K1062" s="7">
        <f t="shared" si="66"/>
        <v>45992</v>
      </c>
      <c r="L1062" t="str">
        <f t="shared" si="67"/>
        <v>Q4-2025</v>
      </c>
    </row>
    <row r="1063" spans="1:12">
      <c r="A1063" s="6">
        <v>46017</v>
      </c>
      <c r="B1063" t="s">
        <v>30</v>
      </c>
      <c r="C1063" t="s">
        <v>31</v>
      </c>
      <c r="D1063" s="2">
        <v>2761.0453138867078</v>
      </c>
      <c r="E1063" s="2">
        <v>2770.364364628972</v>
      </c>
      <c r="F1063" s="2">
        <v>2719.406569476208</v>
      </c>
      <c r="G1063" s="2">
        <v>2722.87646484375</v>
      </c>
      <c r="H1063" s="3">
        <v>532078</v>
      </c>
      <c r="I1063" s="4">
        <f t="shared" si="64"/>
        <v>-1.51</v>
      </c>
      <c r="J1063" s="2">
        <f t="shared" si="65"/>
        <v>47.49</v>
      </c>
      <c r="K1063" s="7">
        <f t="shared" si="66"/>
        <v>45992</v>
      </c>
      <c r="L1063" t="str">
        <f t="shared" si="67"/>
        <v>Q4-2025</v>
      </c>
    </row>
    <row r="1064" spans="1:12">
      <c r="A1064" s="6">
        <v>46017</v>
      </c>
      <c r="B1064" t="s">
        <v>32</v>
      </c>
      <c r="C1064" t="s">
        <v>33</v>
      </c>
      <c r="D1064" s="2">
        <v>2259.3192987304969</v>
      </c>
      <c r="E1064" s="2">
        <v>2266.9417181800491</v>
      </c>
      <c r="F1064" s="2">
        <v>2252.092754960529</v>
      </c>
      <c r="G1064" s="2">
        <v>2262.387939453125</v>
      </c>
      <c r="H1064" s="3">
        <v>533626</v>
      </c>
      <c r="I1064" s="4">
        <f t="shared" si="64"/>
        <v>-0.32</v>
      </c>
      <c r="J1064" s="2">
        <f t="shared" si="65"/>
        <v>4.55</v>
      </c>
      <c r="K1064" s="7">
        <f t="shared" si="66"/>
        <v>45992</v>
      </c>
      <c r="L1064" t="str">
        <f t="shared" si="67"/>
        <v>Q4-2025</v>
      </c>
    </row>
    <row r="1065" spans="1:12">
      <c r="A1065" s="6">
        <v>46017</v>
      </c>
      <c r="B1065" t="s">
        <v>34</v>
      </c>
      <c r="C1065" t="s">
        <v>35</v>
      </c>
      <c r="D1065" s="2">
        <v>4012.8053678724982</v>
      </c>
      <c r="E1065" s="2">
        <v>4022.2134752256052</v>
      </c>
      <c r="F1065" s="2">
        <v>3991.2161889590279</v>
      </c>
      <c r="G1065" s="2">
        <v>4008.15087890625</v>
      </c>
      <c r="H1065" s="3">
        <v>594330</v>
      </c>
      <c r="I1065" s="4">
        <f t="shared" si="64"/>
        <v>-0.54</v>
      </c>
      <c r="J1065" s="2">
        <f t="shared" si="65"/>
        <v>14.06</v>
      </c>
      <c r="K1065" s="7">
        <f t="shared" si="66"/>
        <v>45992</v>
      </c>
      <c r="L1065" t="str">
        <f t="shared" si="67"/>
        <v>Q4-2025</v>
      </c>
    </row>
    <row r="1066" spans="1:12">
      <c r="A1066" s="6">
        <v>46017</v>
      </c>
      <c r="B1066" t="s">
        <v>36</v>
      </c>
      <c r="C1066" t="s">
        <v>37</v>
      </c>
      <c r="D1066" s="2">
        <v>1224.055932893727</v>
      </c>
      <c r="E1066" s="2">
        <v>1228.952181020549</v>
      </c>
      <c r="F1066" s="2">
        <v>1221.058244894803</v>
      </c>
      <c r="G1066" s="2">
        <v>1227.25341796875</v>
      </c>
      <c r="H1066" s="3">
        <v>1665983</v>
      </c>
      <c r="I1066" s="4">
        <f t="shared" si="64"/>
        <v>-0.24</v>
      </c>
      <c r="J1066" s="2">
        <f t="shared" si="65"/>
        <v>1.7</v>
      </c>
      <c r="K1066" s="7">
        <f t="shared" si="66"/>
        <v>45992</v>
      </c>
      <c r="L1066" t="str">
        <f t="shared" si="67"/>
        <v>Q4-2025</v>
      </c>
    </row>
    <row r="1067" spans="1:12">
      <c r="A1067" s="6">
        <v>46020</v>
      </c>
      <c r="B1067" t="s">
        <v>8</v>
      </c>
      <c r="C1067" t="s">
        <v>9</v>
      </c>
      <c r="D1067" s="2">
        <v>1547.74394175102</v>
      </c>
      <c r="E1067" s="2">
        <v>1550.929165857011</v>
      </c>
      <c r="F1067" s="2">
        <v>1536.4958988925659</v>
      </c>
      <c r="G1067" s="2">
        <v>1538.486694335938</v>
      </c>
      <c r="H1067" s="3">
        <v>5972105</v>
      </c>
      <c r="I1067" s="4">
        <f t="shared" si="64"/>
        <v>-0.73</v>
      </c>
      <c r="J1067" s="2">
        <f t="shared" si="65"/>
        <v>12.44</v>
      </c>
      <c r="K1067" s="7">
        <f t="shared" si="66"/>
        <v>45992</v>
      </c>
      <c r="L1067" t="str">
        <f t="shared" si="67"/>
        <v>Q4-2025</v>
      </c>
    </row>
    <row r="1068" spans="1:12">
      <c r="A1068" s="6">
        <v>46020</v>
      </c>
      <c r="B1068" t="s">
        <v>10</v>
      </c>
      <c r="C1068" t="s">
        <v>11</v>
      </c>
      <c r="D1068" s="2">
        <v>3161.010777477703</v>
      </c>
      <c r="E1068" s="2">
        <v>3168.7205598617952</v>
      </c>
      <c r="F1068" s="2">
        <v>3125.2565675579222</v>
      </c>
      <c r="G1068" s="2">
        <v>3133.544677734375</v>
      </c>
      <c r="H1068" s="3">
        <v>2079473</v>
      </c>
      <c r="I1068" s="4">
        <f t="shared" si="64"/>
        <v>-1.1299999999999999</v>
      </c>
      <c r="J1068" s="2">
        <f t="shared" si="65"/>
        <v>35.18</v>
      </c>
      <c r="K1068" s="7">
        <f t="shared" si="66"/>
        <v>45992</v>
      </c>
      <c r="L1068" t="str">
        <f t="shared" si="67"/>
        <v>Q4-2025</v>
      </c>
    </row>
    <row r="1069" spans="1:12">
      <c r="A1069" s="6">
        <v>46020</v>
      </c>
      <c r="B1069" t="s">
        <v>12</v>
      </c>
      <c r="C1069" t="s">
        <v>13</v>
      </c>
      <c r="D1069" s="2">
        <v>1622.8818655924699</v>
      </c>
      <c r="E1069" s="2">
        <v>1637.6620082639461</v>
      </c>
      <c r="F1069" s="2">
        <v>1602.4245250544591</v>
      </c>
      <c r="G1069" s="2">
        <v>1609.863525390625</v>
      </c>
      <c r="H1069" s="3">
        <v>4062817</v>
      </c>
      <c r="I1069" s="4">
        <f t="shared" si="64"/>
        <v>-1.26</v>
      </c>
      <c r="J1069" s="2">
        <f t="shared" si="65"/>
        <v>27.8</v>
      </c>
      <c r="K1069" s="7">
        <f t="shared" si="66"/>
        <v>45992</v>
      </c>
      <c r="L1069" t="str">
        <f t="shared" si="67"/>
        <v>Q4-2025</v>
      </c>
    </row>
    <row r="1070" spans="1:12">
      <c r="A1070" s="6">
        <v>46020</v>
      </c>
      <c r="B1070" t="s">
        <v>14</v>
      </c>
      <c r="C1070" t="s">
        <v>15</v>
      </c>
      <c r="D1070" s="2">
        <v>976.94188273816133</v>
      </c>
      <c r="E1070" s="2">
        <v>981.17196822933852</v>
      </c>
      <c r="F1070" s="2">
        <v>971.13791387986578</v>
      </c>
      <c r="G1070" s="2">
        <v>975.564697265625</v>
      </c>
      <c r="H1070" s="3">
        <v>13545749</v>
      </c>
      <c r="I1070" s="4">
        <f t="shared" si="64"/>
        <v>-0.59</v>
      </c>
      <c r="J1070" s="2">
        <f t="shared" si="65"/>
        <v>5.61</v>
      </c>
      <c r="K1070" s="7">
        <f t="shared" si="66"/>
        <v>45992</v>
      </c>
      <c r="L1070" t="str">
        <f t="shared" si="67"/>
        <v>Q4-2025</v>
      </c>
    </row>
    <row r="1071" spans="1:12">
      <c r="A1071" s="6">
        <v>46020</v>
      </c>
      <c r="B1071" t="s">
        <v>16</v>
      </c>
      <c r="C1071" t="s">
        <v>17</v>
      </c>
      <c r="D1071" s="2">
        <v>1340.7964277815031</v>
      </c>
      <c r="E1071" s="2">
        <v>1344.36630759282</v>
      </c>
      <c r="F1071" s="2">
        <v>1330.285067928814</v>
      </c>
      <c r="G1071" s="2">
        <v>1332.070068359375</v>
      </c>
      <c r="H1071" s="3">
        <v>6057201</v>
      </c>
      <c r="I1071" s="4">
        <f t="shared" si="64"/>
        <v>-0.78</v>
      </c>
      <c r="J1071" s="2">
        <f t="shared" si="65"/>
        <v>12.3</v>
      </c>
      <c r="K1071" s="7">
        <f t="shared" si="66"/>
        <v>45992</v>
      </c>
      <c r="L1071" t="str">
        <f t="shared" si="67"/>
        <v>Q4-2025</v>
      </c>
    </row>
    <row r="1072" spans="1:12">
      <c r="A1072" s="6">
        <v>46020</v>
      </c>
      <c r="B1072" t="s">
        <v>18</v>
      </c>
      <c r="C1072" t="s">
        <v>19</v>
      </c>
      <c r="D1072" s="2">
        <v>256.36770814493627</v>
      </c>
      <c r="E1072" s="2">
        <v>257.71708618004158</v>
      </c>
      <c r="F1072" s="2">
        <v>254.06418253635491</v>
      </c>
      <c r="G1072" s="2">
        <v>254.68101501464841</v>
      </c>
      <c r="H1072" s="3">
        <v>3755074</v>
      </c>
      <c r="I1072" s="4">
        <f t="shared" si="64"/>
        <v>-0.9</v>
      </c>
      <c r="J1072" s="2">
        <f t="shared" si="65"/>
        <v>3.04</v>
      </c>
      <c r="K1072" s="7">
        <f t="shared" si="66"/>
        <v>45992</v>
      </c>
      <c r="L1072" t="str">
        <f t="shared" si="67"/>
        <v>Q4-2025</v>
      </c>
    </row>
    <row r="1073" spans="1:12">
      <c r="A1073" s="6">
        <v>46020</v>
      </c>
      <c r="B1073" t="s">
        <v>20</v>
      </c>
      <c r="C1073" t="s">
        <v>21</v>
      </c>
      <c r="D1073" s="2">
        <v>1600.4699875803431</v>
      </c>
      <c r="E1073" s="2">
        <v>1601.530825884877</v>
      </c>
      <c r="F1073" s="2">
        <v>1567.394127504959</v>
      </c>
      <c r="G1073" s="2">
        <v>1572.601440429688</v>
      </c>
      <c r="H1073" s="3">
        <v>1516288</v>
      </c>
      <c r="I1073" s="4">
        <f t="shared" si="64"/>
        <v>-2.0699999999999998</v>
      </c>
      <c r="J1073" s="2">
        <f t="shared" si="65"/>
        <v>28.93</v>
      </c>
      <c r="K1073" s="7">
        <f t="shared" si="66"/>
        <v>45992</v>
      </c>
      <c r="L1073" t="str">
        <f t="shared" si="67"/>
        <v>Q4-2025</v>
      </c>
    </row>
    <row r="1074" spans="1:12">
      <c r="A1074" s="6">
        <v>46020</v>
      </c>
      <c r="B1074" t="s">
        <v>22</v>
      </c>
      <c r="C1074" t="s">
        <v>23</v>
      </c>
      <c r="D1074" s="2">
        <v>996.87203973376438</v>
      </c>
      <c r="E1074" s="2">
        <v>997.76656533043104</v>
      </c>
      <c r="F1074" s="2">
        <v>983.55388452924922</v>
      </c>
      <c r="G1074" s="2">
        <v>991.902587890625</v>
      </c>
      <c r="H1074" s="3">
        <v>6715489</v>
      </c>
      <c r="I1074" s="4">
        <f t="shared" si="64"/>
        <v>-1.34</v>
      </c>
      <c r="J1074" s="2">
        <f t="shared" si="65"/>
        <v>5.86</v>
      </c>
      <c r="K1074" s="7">
        <f t="shared" si="66"/>
        <v>45992</v>
      </c>
      <c r="L1074" t="str">
        <f t="shared" si="67"/>
        <v>Q4-2025</v>
      </c>
    </row>
    <row r="1075" spans="1:12">
      <c r="A1075" s="6">
        <v>46020</v>
      </c>
      <c r="B1075" t="s">
        <v>24</v>
      </c>
      <c r="C1075" t="s">
        <v>25</v>
      </c>
      <c r="D1075" s="2">
        <v>16434.942825459439</v>
      </c>
      <c r="E1075" s="2">
        <v>16516.12748279002</v>
      </c>
      <c r="F1075" s="2">
        <v>16334.947088991281</v>
      </c>
      <c r="G1075" s="2">
        <v>16377.51953125</v>
      </c>
      <c r="H1075" s="3">
        <v>251796</v>
      </c>
      <c r="I1075" s="4">
        <f t="shared" si="64"/>
        <v>-0.61</v>
      </c>
      <c r="J1075" s="2">
        <f t="shared" si="65"/>
        <v>138.61000000000001</v>
      </c>
      <c r="K1075" s="7">
        <f t="shared" si="66"/>
        <v>45992</v>
      </c>
      <c r="L1075" t="str">
        <f t="shared" si="67"/>
        <v>Q4-2025</v>
      </c>
    </row>
    <row r="1076" spans="1:12">
      <c r="A1076" s="6">
        <v>46020</v>
      </c>
      <c r="B1076" t="s">
        <v>26</v>
      </c>
      <c r="C1076" t="s">
        <v>27</v>
      </c>
      <c r="D1076" s="2">
        <v>355.55059692671142</v>
      </c>
      <c r="E1076" s="2">
        <v>359.8152084373603</v>
      </c>
      <c r="F1076" s="2">
        <v>354.90595057275402</v>
      </c>
      <c r="G1076" s="2">
        <v>355.6497802734375</v>
      </c>
      <c r="H1076" s="3">
        <v>10050266</v>
      </c>
      <c r="I1076" s="4">
        <f t="shared" si="64"/>
        <v>-0.18</v>
      </c>
      <c r="J1076" s="2">
        <f t="shared" si="65"/>
        <v>4.17</v>
      </c>
      <c r="K1076" s="7">
        <f t="shared" si="66"/>
        <v>45992</v>
      </c>
      <c r="L1076" t="str">
        <f t="shared" si="67"/>
        <v>Q4-2025</v>
      </c>
    </row>
    <row r="1077" spans="1:12">
      <c r="A1077" s="6">
        <v>46020</v>
      </c>
      <c r="B1077" t="s">
        <v>28</v>
      </c>
      <c r="C1077" t="s">
        <v>29</v>
      </c>
      <c r="D1077" s="2">
        <v>1703.9369461180261</v>
      </c>
      <c r="E1077" s="2">
        <v>1711.864538772254</v>
      </c>
      <c r="F1077" s="2">
        <v>1694.8202629518501</v>
      </c>
      <c r="G1077" s="2">
        <v>1701.65771484375</v>
      </c>
      <c r="H1077" s="3">
        <v>1800816</v>
      </c>
      <c r="I1077" s="4">
        <f t="shared" si="64"/>
        <v>-0.54</v>
      </c>
      <c r="J1077" s="2">
        <f t="shared" si="65"/>
        <v>10.210000000000001</v>
      </c>
      <c r="K1077" s="7">
        <f t="shared" si="66"/>
        <v>45992</v>
      </c>
      <c r="L1077" t="str">
        <f t="shared" si="67"/>
        <v>Q4-2025</v>
      </c>
    </row>
    <row r="1078" spans="1:12">
      <c r="A1078" s="6">
        <v>46020</v>
      </c>
      <c r="B1078" t="s">
        <v>30</v>
      </c>
      <c r="C1078" t="s">
        <v>31</v>
      </c>
      <c r="D1078" s="2">
        <v>2722.876265059987</v>
      </c>
      <c r="E1078" s="2">
        <v>2769.7694674230961</v>
      </c>
      <c r="F1078" s="2">
        <v>2711.4751811174451</v>
      </c>
      <c r="G1078" s="2">
        <v>2751.527587890625</v>
      </c>
      <c r="H1078" s="3">
        <v>815529</v>
      </c>
      <c r="I1078" s="4">
        <f t="shared" si="64"/>
        <v>-0.42</v>
      </c>
      <c r="J1078" s="2">
        <f t="shared" si="65"/>
        <v>18.239999999999998</v>
      </c>
      <c r="K1078" s="7">
        <f t="shared" si="66"/>
        <v>45992</v>
      </c>
      <c r="L1078" t="str">
        <f t="shared" si="67"/>
        <v>Q4-2025</v>
      </c>
    </row>
    <row r="1079" spans="1:12">
      <c r="A1079" s="6">
        <v>46020</v>
      </c>
      <c r="B1079" t="s">
        <v>32</v>
      </c>
      <c r="C1079" t="s">
        <v>33</v>
      </c>
      <c r="D1079" s="2">
        <v>2265.8526552878379</v>
      </c>
      <c r="E1079" s="2">
        <v>2275.5540260801649</v>
      </c>
      <c r="F1079" s="2">
        <v>2257.0423672814741</v>
      </c>
      <c r="G1079" s="2">
        <v>2270.20849609375</v>
      </c>
      <c r="H1079" s="3">
        <v>1086695</v>
      </c>
      <c r="I1079" s="4">
        <f t="shared" si="64"/>
        <v>-0.39</v>
      </c>
      <c r="J1079" s="2">
        <f t="shared" si="65"/>
        <v>5.35</v>
      </c>
      <c r="K1079" s="7">
        <f t="shared" si="66"/>
        <v>45992</v>
      </c>
      <c r="L1079" t="str">
        <f t="shared" si="67"/>
        <v>Q4-2025</v>
      </c>
    </row>
    <row r="1080" spans="1:12">
      <c r="A1080" s="6">
        <v>46020</v>
      </c>
      <c r="B1080" t="s">
        <v>34</v>
      </c>
      <c r="C1080" t="s">
        <v>35</v>
      </c>
      <c r="D1080" s="2">
        <v>4013.7957591696299</v>
      </c>
      <c r="E1080" s="2">
        <v>4021.8175054369672</v>
      </c>
      <c r="F1080" s="2">
        <v>3994.3852511874029</v>
      </c>
      <c r="G1080" s="2">
        <v>3999.634033203125</v>
      </c>
      <c r="H1080" s="3">
        <v>952143</v>
      </c>
      <c r="I1080" s="4">
        <f t="shared" si="64"/>
        <v>-0.48</v>
      </c>
      <c r="J1080" s="2">
        <f t="shared" si="65"/>
        <v>22.18</v>
      </c>
      <c r="K1080" s="7">
        <f t="shared" si="66"/>
        <v>45992</v>
      </c>
      <c r="L1080" t="str">
        <f t="shared" si="67"/>
        <v>Q4-2025</v>
      </c>
    </row>
    <row r="1081" spans="1:12">
      <c r="A1081" s="6">
        <v>46020</v>
      </c>
      <c r="B1081" t="s">
        <v>36</v>
      </c>
      <c r="C1081" t="s">
        <v>37</v>
      </c>
      <c r="D1081" s="2">
        <v>1227.2534168570171</v>
      </c>
      <c r="E1081" s="2">
        <v>1232.9490972355541</v>
      </c>
      <c r="F1081" s="2">
        <v>1218.0605557924739</v>
      </c>
      <c r="G1081" s="2">
        <v>1231.050537109375</v>
      </c>
      <c r="H1081" s="3">
        <v>2209655</v>
      </c>
      <c r="I1081" s="4">
        <f t="shared" si="64"/>
        <v>-0.75</v>
      </c>
      <c r="J1081" s="2">
        <f t="shared" si="65"/>
        <v>1.9</v>
      </c>
      <c r="K1081" s="7">
        <f t="shared" si="66"/>
        <v>45992</v>
      </c>
      <c r="L1081" t="str">
        <f t="shared" si="67"/>
        <v>Q4-2025</v>
      </c>
    </row>
    <row r="1082" spans="1:12">
      <c r="A1082" s="6">
        <v>46021</v>
      </c>
      <c r="B1082" t="s">
        <v>8</v>
      </c>
      <c r="C1082" t="s">
        <v>9</v>
      </c>
      <c r="D1082" s="2">
        <v>1539.8801935176691</v>
      </c>
      <c r="E1082" s="2">
        <v>1546.4497938295531</v>
      </c>
      <c r="F1082" s="2">
        <v>1530.7225835688</v>
      </c>
      <c r="G1082" s="2">
        <v>1532.71337890625</v>
      </c>
      <c r="H1082" s="3">
        <v>8815884</v>
      </c>
      <c r="I1082" s="4">
        <f t="shared" si="64"/>
        <v>-0.59</v>
      </c>
      <c r="J1082" s="2">
        <f t="shared" si="65"/>
        <v>13.74</v>
      </c>
      <c r="K1082" s="7">
        <f t="shared" si="66"/>
        <v>45992</v>
      </c>
      <c r="L1082" t="str">
        <f t="shared" si="67"/>
        <v>Q4-2025</v>
      </c>
    </row>
    <row r="1083" spans="1:12">
      <c r="A1083" s="6">
        <v>46021</v>
      </c>
      <c r="B1083" t="s">
        <v>10</v>
      </c>
      <c r="C1083" t="s">
        <v>11</v>
      </c>
      <c r="D1083" s="2">
        <v>3132.0990025259998</v>
      </c>
      <c r="E1083" s="2">
        <v>3148.9641510011402</v>
      </c>
      <c r="F1083" s="2">
        <v>3121.979913440915</v>
      </c>
      <c r="G1083" s="2">
        <v>3129.01513671875</v>
      </c>
      <c r="H1083" s="3">
        <v>2807593</v>
      </c>
      <c r="I1083" s="4">
        <f t="shared" si="64"/>
        <v>-0.32</v>
      </c>
      <c r="J1083" s="2">
        <f t="shared" si="65"/>
        <v>19.95</v>
      </c>
      <c r="K1083" s="7">
        <f t="shared" si="66"/>
        <v>45992</v>
      </c>
      <c r="L1083" t="str">
        <f t="shared" si="67"/>
        <v>Q4-2025</v>
      </c>
    </row>
    <row r="1084" spans="1:12">
      <c r="A1084" s="6">
        <v>46021</v>
      </c>
      <c r="B1084" t="s">
        <v>12</v>
      </c>
      <c r="C1084" t="s">
        <v>13</v>
      </c>
      <c r="D1084" s="2">
        <v>1612.1148331917741</v>
      </c>
      <c r="E1084" s="2">
        <v>1612.995794156039</v>
      </c>
      <c r="F1084" s="2">
        <v>1582.5545482823341</v>
      </c>
      <c r="G1084" s="2">
        <v>1587.252807617188</v>
      </c>
      <c r="H1084" s="3">
        <v>9395937</v>
      </c>
      <c r="I1084" s="4">
        <f t="shared" si="64"/>
        <v>-1.83</v>
      </c>
      <c r="J1084" s="2">
        <f t="shared" si="65"/>
        <v>25.74</v>
      </c>
      <c r="K1084" s="7">
        <f t="shared" si="66"/>
        <v>45992</v>
      </c>
      <c r="L1084" t="str">
        <f t="shared" si="67"/>
        <v>Q4-2025</v>
      </c>
    </row>
    <row r="1085" spans="1:12">
      <c r="A1085" s="6">
        <v>46021</v>
      </c>
      <c r="B1085" t="s">
        <v>14</v>
      </c>
      <c r="C1085" t="s">
        <v>15</v>
      </c>
      <c r="D1085" s="2">
        <v>974.08914820668224</v>
      </c>
      <c r="E1085" s="2">
        <v>978.81103869649758</v>
      </c>
      <c r="F1085" s="2">
        <v>966.21931070962501</v>
      </c>
      <c r="G1085" s="2">
        <v>974.77777099609375</v>
      </c>
      <c r="H1085" s="3">
        <v>33155849</v>
      </c>
      <c r="I1085" s="4">
        <f t="shared" si="64"/>
        <v>-0.81</v>
      </c>
      <c r="J1085" s="2">
        <f t="shared" si="65"/>
        <v>4.03</v>
      </c>
      <c r="K1085" s="7">
        <f t="shared" si="66"/>
        <v>45992</v>
      </c>
      <c r="L1085" t="str">
        <f t="shared" si="67"/>
        <v>Q4-2025</v>
      </c>
    </row>
    <row r="1086" spans="1:12">
      <c r="A1086" s="6">
        <v>46021</v>
      </c>
      <c r="B1086" t="s">
        <v>16</v>
      </c>
      <c r="C1086" t="s">
        <v>17</v>
      </c>
      <c r="D1086" s="2">
        <v>1332.069971695204</v>
      </c>
      <c r="E1086" s="2">
        <v>1335.8381308143371</v>
      </c>
      <c r="F1086" s="2">
        <v>1326.913371408785</v>
      </c>
      <c r="G1086" s="2">
        <v>1331.276611328125</v>
      </c>
      <c r="H1086" s="3">
        <v>18621277</v>
      </c>
      <c r="I1086" s="4">
        <f t="shared" si="64"/>
        <v>-0.39</v>
      </c>
      <c r="J1086" s="2">
        <f t="shared" si="65"/>
        <v>4.5599999999999996</v>
      </c>
      <c r="K1086" s="7">
        <f t="shared" si="66"/>
        <v>45992</v>
      </c>
      <c r="L1086" t="str">
        <f t="shared" si="67"/>
        <v>Q4-2025</v>
      </c>
    </row>
    <row r="1087" spans="1:12">
      <c r="A1087" s="6">
        <v>46021</v>
      </c>
      <c r="B1087" t="s">
        <v>18</v>
      </c>
      <c r="C1087" t="s">
        <v>19</v>
      </c>
      <c r="D1087" s="2">
        <v>254.44971023637029</v>
      </c>
      <c r="E1087" s="2">
        <v>255.14366516810421</v>
      </c>
      <c r="F1087" s="2">
        <v>253.50515148068979</v>
      </c>
      <c r="G1087" s="2">
        <v>254.11236572265619</v>
      </c>
      <c r="H1087" s="3">
        <v>5117699</v>
      </c>
      <c r="I1087" s="4">
        <f t="shared" si="64"/>
        <v>-0.37</v>
      </c>
      <c r="J1087" s="2">
        <f t="shared" si="65"/>
        <v>1.03</v>
      </c>
      <c r="K1087" s="7">
        <f t="shared" si="66"/>
        <v>45992</v>
      </c>
      <c r="L1087" t="str">
        <f t="shared" si="67"/>
        <v>Q4-2025</v>
      </c>
    </row>
    <row r="1088" spans="1:12">
      <c r="A1088" s="6">
        <v>46021</v>
      </c>
      <c r="B1088" t="s">
        <v>20</v>
      </c>
      <c r="C1088" t="s">
        <v>21</v>
      </c>
      <c r="D1088" s="2">
        <v>1572.601480459547</v>
      </c>
      <c r="E1088" s="2">
        <v>1577.326519366326</v>
      </c>
      <c r="F1088" s="2">
        <v>1553.6044462320301</v>
      </c>
      <c r="G1088" s="2">
        <v>1557.55810546875</v>
      </c>
      <c r="H1088" s="3">
        <v>3323273</v>
      </c>
      <c r="I1088" s="4">
        <f t="shared" si="64"/>
        <v>-1.21</v>
      </c>
      <c r="J1088" s="2">
        <f t="shared" si="65"/>
        <v>19.77</v>
      </c>
      <c r="K1088" s="7">
        <f t="shared" si="66"/>
        <v>45992</v>
      </c>
      <c r="L1088" t="str">
        <f t="shared" si="67"/>
        <v>Q4-2025</v>
      </c>
    </row>
    <row r="1089" spans="1:12">
      <c r="A1089" s="6">
        <v>46021</v>
      </c>
      <c r="B1089" t="s">
        <v>22</v>
      </c>
      <c r="C1089" t="s">
        <v>23</v>
      </c>
      <c r="D1089" s="2">
        <v>988.02633764797724</v>
      </c>
      <c r="E1089" s="2">
        <v>991.50495374967238</v>
      </c>
      <c r="F1089" s="2">
        <v>981.06910544458708</v>
      </c>
      <c r="G1089" s="2">
        <v>983.25567626953125</v>
      </c>
      <c r="H1089" s="3">
        <v>7473887</v>
      </c>
      <c r="I1089" s="4">
        <f t="shared" si="64"/>
        <v>-0.7</v>
      </c>
      <c r="J1089" s="2">
        <f t="shared" si="65"/>
        <v>8.25</v>
      </c>
      <c r="K1089" s="7">
        <f t="shared" si="66"/>
        <v>45992</v>
      </c>
      <c r="L1089" t="str">
        <f t="shared" si="67"/>
        <v>Q4-2025</v>
      </c>
    </row>
    <row r="1090" spans="1:12">
      <c r="A1090" s="6">
        <v>46021</v>
      </c>
      <c r="B1090" t="s">
        <v>24</v>
      </c>
      <c r="C1090" t="s">
        <v>25</v>
      </c>
      <c r="D1090" s="2">
        <v>16410.192468519101</v>
      </c>
      <c r="E1090" s="2">
        <v>16650.776285704629</v>
      </c>
      <c r="F1090" s="2">
        <v>16318.11718046044</v>
      </c>
      <c r="G1090" s="2">
        <v>16481.4765625</v>
      </c>
      <c r="H1090" s="3">
        <v>1055843</v>
      </c>
      <c r="I1090" s="4">
        <f t="shared" ref="I1090:I1153" si="68">ROUND(((F1090-D1090)/D1090)*100, 2)</f>
        <v>-0.56000000000000005</v>
      </c>
      <c r="J1090" s="2">
        <f t="shared" ref="J1090:J1153" si="69">ROUND(E1090-G1090, 2)</f>
        <v>169.3</v>
      </c>
      <c r="K1090" s="7">
        <f t="shared" ref="K1090:K1153" si="70">DATE(YEAR(A1090),MONTH(A1090),1)</f>
        <v>45992</v>
      </c>
      <c r="L1090" t="str">
        <f t="shared" ref="L1090:L1153" si="71">"Q"&amp;INT((MONTH(A1090)-1)/3)+1&amp;"-"&amp;YEAR(A1090)</f>
        <v>Q4-2025</v>
      </c>
    </row>
    <row r="1091" spans="1:12">
      <c r="A1091" s="6">
        <v>46021</v>
      </c>
      <c r="B1091" t="s">
        <v>26</v>
      </c>
      <c r="C1091" t="s">
        <v>27</v>
      </c>
      <c r="D1091" s="2">
        <v>355.64978600616757</v>
      </c>
      <c r="E1091" s="2">
        <v>360.95577734320551</v>
      </c>
      <c r="F1091" s="2">
        <v>355.50102611693461</v>
      </c>
      <c r="G1091" s="2">
        <v>358.77386474609381</v>
      </c>
      <c r="H1091" s="3">
        <v>13807060</v>
      </c>
      <c r="I1091" s="4">
        <f t="shared" si="68"/>
        <v>-0.04</v>
      </c>
      <c r="J1091" s="2">
        <f t="shared" si="69"/>
        <v>2.1800000000000002</v>
      </c>
      <c r="K1091" s="7">
        <f t="shared" si="70"/>
        <v>45992</v>
      </c>
      <c r="L1091" t="str">
        <f t="shared" si="71"/>
        <v>Q4-2025</v>
      </c>
    </row>
    <row r="1092" spans="1:12">
      <c r="A1092" s="6">
        <v>46021</v>
      </c>
      <c r="B1092" t="s">
        <v>28</v>
      </c>
      <c r="C1092" t="s">
        <v>29</v>
      </c>
      <c r="D1092" s="2">
        <v>1707.504269578114</v>
      </c>
      <c r="E1092" s="2">
        <v>1707.504269578114</v>
      </c>
      <c r="F1092" s="2">
        <v>1691.550014199669</v>
      </c>
      <c r="G1092" s="2">
        <v>1704.630493164062</v>
      </c>
      <c r="H1092" s="3">
        <v>2639497</v>
      </c>
      <c r="I1092" s="4">
        <f t="shared" si="68"/>
        <v>-0.93</v>
      </c>
      <c r="J1092" s="2">
        <f t="shared" si="69"/>
        <v>2.87</v>
      </c>
      <c r="K1092" s="7">
        <f t="shared" si="70"/>
        <v>45992</v>
      </c>
      <c r="L1092" t="str">
        <f t="shared" si="71"/>
        <v>Q4-2025</v>
      </c>
    </row>
    <row r="1093" spans="1:12">
      <c r="A1093" s="6">
        <v>46021</v>
      </c>
      <c r="B1093" t="s">
        <v>30</v>
      </c>
      <c r="C1093" t="s">
        <v>31</v>
      </c>
      <c r="D1093" s="2">
        <v>2746.4717350000169</v>
      </c>
      <c r="E1093" s="2">
        <v>2768.3814999924339</v>
      </c>
      <c r="F1093" s="2">
        <v>2717.4237060781661</v>
      </c>
      <c r="G1093" s="2">
        <v>2734.574951171875</v>
      </c>
      <c r="H1093" s="3">
        <v>4833527</v>
      </c>
      <c r="I1093" s="4">
        <f t="shared" si="68"/>
        <v>-1.06</v>
      </c>
      <c r="J1093" s="2">
        <f t="shared" si="69"/>
        <v>33.81</v>
      </c>
      <c r="K1093" s="7">
        <f t="shared" si="70"/>
        <v>45992</v>
      </c>
      <c r="L1093" t="str">
        <f t="shared" si="71"/>
        <v>Q4-2025</v>
      </c>
    </row>
    <row r="1094" spans="1:12">
      <c r="A1094" s="6">
        <v>46021</v>
      </c>
      <c r="B1094" t="s">
        <v>32</v>
      </c>
      <c r="C1094" t="s">
        <v>33</v>
      </c>
      <c r="D1094" s="2">
        <v>2270.208530832208</v>
      </c>
      <c r="E1094" s="2">
        <v>2274.8611576222952</v>
      </c>
      <c r="F1094" s="2">
        <v>2260.0121944524371</v>
      </c>
      <c r="G1094" s="2">
        <v>2267.1396484375</v>
      </c>
      <c r="H1094" s="3">
        <v>1556717</v>
      </c>
      <c r="I1094" s="4">
        <f t="shared" si="68"/>
        <v>-0.45</v>
      </c>
      <c r="J1094" s="2">
        <f t="shared" si="69"/>
        <v>7.72</v>
      </c>
      <c r="K1094" s="7">
        <f t="shared" si="70"/>
        <v>45992</v>
      </c>
      <c r="L1094" t="str">
        <f t="shared" si="71"/>
        <v>Q4-2025</v>
      </c>
    </row>
    <row r="1095" spans="1:12">
      <c r="A1095" s="6">
        <v>46021</v>
      </c>
      <c r="B1095" t="s">
        <v>34</v>
      </c>
      <c r="C1095" t="s">
        <v>35</v>
      </c>
      <c r="D1095" s="2">
        <v>3999.931167587476</v>
      </c>
      <c r="E1095" s="2">
        <v>4024.5902157317319</v>
      </c>
      <c r="F1095" s="2">
        <v>3967.448390264869</v>
      </c>
      <c r="G1095" s="2">
        <v>4012.805419921875</v>
      </c>
      <c r="H1095" s="3">
        <v>1362208</v>
      </c>
      <c r="I1095" s="4">
        <f t="shared" si="68"/>
        <v>-0.81</v>
      </c>
      <c r="J1095" s="2">
        <f t="shared" si="69"/>
        <v>11.78</v>
      </c>
      <c r="K1095" s="7">
        <f t="shared" si="70"/>
        <v>45992</v>
      </c>
      <c r="L1095" t="str">
        <f t="shared" si="71"/>
        <v>Q4-2025</v>
      </c>
    </row>
    <row r="1096" spans="1:12">
      <c r="A1096" s="6">
        <v>46021</v>
      </c>
      <c r="B1096" t="s">
        <v>36</v>
      </c>
      <c r="C1096" t="s">
        <v>37</v>
      </c>
      <c r="D1096" s="2">
        <v>1232.0498131128991</v>
      </c>
      <c r="E1096" s="2">
        <v>1251.135069683146</v>
      </c>
      <c r="F1096" s="2">
        <v>1231.050583742978</v>
      </c>
      <c r="G1096" s="2">
        <v>1245.039794921875</v>
      </c>
      <c r="H1096" s="3">
        <v>5673233</v>
      </c>
      <c r="I1096" s="4">
        <f t="shared" si="68"/>
        <v>-0.08</v>
      </c>
      <c r="J1096" s="2">
        <f t="shared" si="69"/>
        <v>6.1</v>
      </c>
      <c r="K1096" s="7">
        <f t="shared" si="70"/>
        <v>45992</v>
      </c>
      <c r="L1096" t="str">
        <f t="shared" si="71"/>
        <v>Q4-2025</v>
      </c>
    </row>
    <row r="1097" spans="1:12">
      <c r="A1097" s="6">
        <v>46022</v>
      </c>
      <c r="B1097" t="s">
        <v>8</v>
      </c>
      <c r="C1097" t="s">
        <v>9</v>
      </c>
      <c r="D1097" s="2">
        <v>1533.9078900841739</v>
      </c>
      <c r="E1097" s="2">
        <v>1569.742208087438</v>
      </c>
      <c r="F1097" s="2">
        <v>1533.9078900841739</v>
      </c>
      <c r="G1097" s="2">
        <v>1563.172607421875</v>
      </c>
      <c r="H1097" s="3">
        <v>5771830</v>
      </c>
      <c r="I1097" s="4">
        <f t="shared" si="68"/>
        <v>0</v>
      </c>
      <c r="J1097" s="2">
        <f t="shared" si="69"/>
        <v>6.57</v>
      </c>
      <c r="K1097" s="7">
        <f t="shared" si="70"/>
        <v>45992</v>
      </c>
      <c r="L1097" t="str">
        <f t="shared" si="71"/>
        <v>Q4-2025</v>
      </c>
    </row>
    <row r="1098" spans="1:12">
      <c r="A1098" s="6">
        <v>46022</v>
      </c>
      <c r="B1098" t="s">
        <v>10</v>
      </c>
      <c r="C1098" t="s">
        <v>11</v>
      </c>
      <c r="D1098" s="2">
        <v>3122.4618165716679</v>
      </c>
      <c r="E1098" s="2">
        <v>3128.2441532690232</v>
      </c>
      <c r="F1098" s="2">
        <v>3082.46732108163</v>
      </c>
      <c r="G1098" s="2">
        <v>3089.887939453125</v>
      </c>
      <c r="H1098" s="3">
        <v>3362634</v>
      </c>
      <c r="I1098" s="4">
        <f t="shared" si="68"/>
        <v>-1.28</v>
      </c>
      <c r="J1098" s="2">
        <f t="shared" si="69"/>
        <v>38.36</v>
      </c>
      <c r="K1098" s="7">
        <f t="shared" si="70"/>
        <v>45992</v>
      </c>
      <c r="L1098" t="str">
        <f t="shared" si="71"/>
        <v>Q4-2025</v>
      </c>
    </row>
    <row r="1099" spans="1:12">
      <c r="A1099" s="6">
        <v>46022</v>
      </c>
      <c r="B1099" t="s">
        <v>12</v>
      </c>
      <c r="C1099" t="s">
        <v>13</v>
      </c>
      <c r="D1099" s="2">
        <v>1586.6655664923121</v>
      </c>
      <c r="E1099" s="2">
        <v>1594.1045668429531</v>
      </c>
      <c r="F1099" s="2">
        <v>1575.115454735055</v>
      </c>
      <c r="G1099" s="2">
        <v>1581.184204101562</v>
      </c>
      <c r="H1099" s="3">
        <v>6538656</v>
      </c>
      <c r="I1099" s="4">
        <f t="shared" si="68"/>
        <v>-0.73</v>
      </c>
      <c r="J1099" s="2">
        <f t="shared" si="69"/>
        <v>12.92</v>
      </c>
      <c r="K1099" s="7">
        <f t="shared" si="70"/>
        <v>45992</v>
      </c>
      <c r="L1099" t="str">
        <f t="shared" si="71"/>
        <v>Q4-2025</v>
      </c>
    </row>
    <row r="1100" spans="1:12">
      <c r="A1100" s="6">
        <v>46022</v>
      </c>
      <c r="B1100" t="s">
        <v>14</v>
      </c>
      <c r="C1100" t="s">
        <v>15</v>
      </c>
      <c r="D1100" s="2">
        <v>974.87611803110383</v>
      </c>
      <c r="E1100" s="2">
        <v>981.36870993657192</v>
      </c>
      <c r="F1100" s="2">
        <v>971.53141308459305</v>
      </c>
      <c r="G1100" s="2">
        <v>975.0728759765625</v>
      </c>
      <c r="H1100" s="3">
        <v>10963454</v>
      </c>
      <c r="I1100" s="4">
        <f t="shared" si="68"/>
        <v>-0.34</v>
      </c>
      <c r="J1100" s="2">
        <f t="shared" si="69"/>
        <v>6.3</v>
      </c>
      <c r="K1100" s="7">
        <f t="shared" si="70"/>
        <v>45992</v>
      </c>
      <c r="L1100" t="str">
        <f t="shared" si="71"/>
        <v>Q4-2025</v>
      </c>
    </row>
    <row r="1101" spans="1:12">
      <c r="A1101" s="6">
        <v>46022</v>
      </c>
      <c r="B1101" t="s">
        <v>16</v>
      </c>
      <c r="C1101" t="s">
        <v>17</v>
      </c>
      <c r="D1101" s="2">
        <v>1331.5742000567161</v>
      </c>
      <c r="E1101" s="2">
        <v>1338.7139594203711</v>
      </c>
      <c r="F1101" s="2">
        <v>1328.3017397359899</v>
      </c>
      <c r="G1101" s="2">
        <v>1331.67333984375</v>
      </c>
      <c r="H1101" s="3">
        <v>6150634</v>
      </c>
      <c r="I1101" s="4">
        <f t="shared" si="68"/>
        <v>-0.25</v>
      </c>
      <c r="J1101" s="2">
        <f t="shared" si="69"/>
        <v>7.04</v>
      </c>
      <c r="K1101" s="7">
        <f t="shared" si="70"/>
        <v>45992</v>
      </c>
      <c r="L1101" t="str">
        <f t="shared" si="71"/>
        <v>Q4-2025</v>
      </c>
    </row>
    <row r="1102" spans="1:12">
      <c r="A1102" s="6">
        <v>46022</v>
      </c>
      <c r="B1102" t="s">
        <v>18</v>
      </c>
      <c r="C1102" t="s">
        <v>19</v>
      </c>
      <c r="D1102" s="2">
        <v>254.44970748771411</v>
      </c>
      <c r="E1102" s="2">
        <v>255.02800816017771</v>
      </c>
      <c r="F1102" s="2">
        <v>251.8088373602296</v>
      </c>
      <c r="G1102" s="2">
        <v>253.75575256347659</v>
      </c>
      <c r="H1102" s="3">
        <v>5705044</v>
      </c>
      <c r="I1102" s="4">
        <f t="shared" si="68"/>
        <v>-1.04</v>
      </c>
      <c r="J1102" s="2">
        <f t="shared" si="69"/>
        <v>1.27</v>
      </c>
      <c r="K1102" s="7">
        <f t="shared" si="70"/>
        <v>45992</v>
      </c>
      <c r="L1102" t="str">
        <f t="shared" si="71"/>
        <v>Q4-2025</v>
      </c>
    </row>
    <row r="1103" spans="1:12">
      <c r="A1103" s="6">
        <v>46022</v>
      </c>
      <c r="B1103" t="s">
        <v>20</v>
      </c>
      <c r="C1103" t="s">
        <v>21</v>
      </c>
      <c r="D1103" s="2">
        <v>1566.5261468314891</v>
      </c>
      <c r="E1103" s="2">
        <v>1573.4691519202249</v>
      </c>
      <c r="F1103" s="2">
        <v>1559.1009853417579</v>
      </c>
      <c r="G1103" s="2">
        <v>1565.369018554688</v>
      </c>
      <c r="H1103" s="3">
        <v>1359963</v>
      </c>
      <c r="I1103" s="4">
        <f t="shared" si="68"/>
        <v>-0.47</v>
      </c>
      <c r="J1103" s="2">
        <f t="shared" si="69"/>
        <v>8.1</v>
      </c>
      <c r="K1103" s="7">
        <f t="shared" si="70"/>
        <v>45992</v>
      </c>
      <c r="L1103" t="str">
        <f t="shared" si="71"/>
        <v>Q4-2025</v>
      </c>
    </row>
    <row r="1104" spans="1:12">
      <c r="A1104" s="6">
        <v>46022</v>
      </c>
      <c r="B1104" t="s">
        <v>22</v>
      </c>
      <c r="C1104" t="s">
        <v>23</v>
      </c>
      <c r="D1104" s="2">
        <v>983.95145738137285</v>
      </c>
      <c r="E1104" s="2">
        <v>988.12580902998695</v>
      </c>
      <c r="F1104" s="2">
        <v>972.42235345877532</v>
      </c>
      <c r="G1104" s="2">
        <v>980.77099609375</v>
      </c>
      <c r="H1104" s="3">
        <v>9895270</v>
      </c>
      <c r="I1104" s="4">
        <f t="shared" si="68"/>
        <v>-1.17</v>
      </c>
      <c r="J1104" s="2">
        <f t="shared" si="69"/>
        <v>7.35</v>
      </c>
      <c r="K1104" s="7">
        <f t="shared" si="70"/>
        <v>45992</v>
      </c>
      <c r="L1104" t="str">
        <f t="shared" si="71"/>
        <v>Q4-2025</v>
      </c>
    </row>
    <row r="1105" spans="1:12">
      <c r="A1105" s="6">
        <v>46022</v>
      </c>
      <c r="B1105" t="s">
        <v>24</v>
      </c>
      <c r="C1105" t="s">
        <v>25</v>
      </c>
      <c r="D1105" s="2">
        <v>16416.131925949459</v>
      </c>
      <c r="E1105" s="2">
        <v>16609.193003421271</v>
      </c>
      <c r="F1105" s="2">
        <v>16416.131925949459</v>
      </c>
      <c r="G1105" s="2">
        <v>16530.978515625</v>
      </c>
      <c r="H1105" s="3">
        <v>314427</v>
      </c>
      <c r="I1105" s="4">
        <f t="shared" si="68"/>
        <v>0</v>
      </c>
      <c r="J1105" s="2">
        <f t="shared" si="69"/>
        <v>78.209999999999994</v>
      </c>
      <c r="K1105" s="7">
        <f t="shared" si="70"/>
        <v>45992</v>
      </c>
      <c r="L1105" t="str">
        <f t="shared" si="71"/>
        <v>Q4-2025</v>
      </c>
    </row>
    <row r="1106" spans="1:12">
      <c r="A1106" s="6">
        <v>46022</v>
      </c>
      <c r="B1106" t="s">
        <v>26</v>
      </c>
      <c r="C1106" t="s">
        <v>27</v>
      </c>
      <c r="D1106" s="2">
        <v>358.77385488470242</v>
      </c>
      <c r="E1106" s="2">
        <v>365.46832211475561</v>
      </c>
      <c r="F1106" s="2">
        <v>357.68289861613289</v>
      </c>
      <c r="G1106" s="2">
        <v>364.32778930664063</v>
      </c>
      <c r="H1106" s="3">
        <v>10439184</v>
      </c>
      <c r="I1106" s="4">
        <f t="shared" si="68"/>
        <v>-0.3</v>
      </c>
      <c r="J1106" s="2">
        <f t="shared" si="69"/>
        <v>1.1399999999999999</v>
      </c>
      <c r="K1106" s="7">
        <f t="shared" si="70"/>
        <v>45992</v>
      </c>
      <c r="L1106" t="str">
        <f t="shared" si="71"/>
        <v>Q4-2025</v>
      </c>
    </row>
    <row r="1107" spans="1:12">
      <c r="A1107" s="6">
        <v>46022</v>
      </c>
      <c r="B1107" t="s">
        <v>28</v>
      </c>
      <c r="C1107" t="s">
        <v>29</v>
      </c>
      <c r="D1107" s="2">
        <v>1704.630484283899</v>
      </c>
      <c r="E1107" s="2">
        <v>1709.981633274351</v>
      </c>
      <c r="F1107" s="2">
        <v>1699.973072198306</v>
      </c>
      <c r="G1107" s="2">
        <v>1704.135009765625</v>
      </c>
      <c r="H1107" s="3">
        <v>1428439</v>
      </c>
      <c r="I1107" s="4">
        <f t="shared" si="68"/>
        <v>-0.27</v>
      </c>
      <c r="J1107" s="2">
        <f t="shared" si="69"/>
        <v>5.85</v>
      </c>
      <c r="K1107" s="7">
        <f t="shared" si="70"/>
        <v>45992</v>
      </c>
      <c r="L1107" t="str">
        <f t="shared" si="71"/>
        <v>Q4-2025</v>
      </c>
    </row>
    <row r="1108" spans="1:12">
      <c r="A1108" s="6">
        <v>46022</v>
      </c>
      <c r="B1108" t="s">
        <v>30</v>
      </c>
      <c r="C1108" t="s">
        <v>31</v>
      </c>
      <c r="D1108" s="2">
        <v>2731.3031868660009</v>
      </c>
      <c r="E1108" s="2">
        <v>2772.7436974196899</v>
      </c>
      <c r="F1108" s="2">
        <v>2731.2039501881382</v>
      </c>
      <c r="G1108" s="2">
        <v>2745.678466796875</v>
      </c>
      <c r="H1108" s="3">
        <v>1274705</v>
      </c>
      <c r="I1108" s="4">
        <f t="shared" si="68"/>
        <v>0</v>
      </c>
      <c r="J1108" s="2">
        <f t="shared" si="69"/>
        <v>27.07</v>
      </c>
      <c r="K1108" s="7">
        <f t="shared" si="70"/>
        <v>45992</v>
      </c>
      <c r="L1108" t="str">
        <f t="shared" si="71"/>
        <v>Q4-2025</v>
      </c>
    </row>
    <row r="1109" spans="1:12">
      <c r="A1109" s="6">
        <v>46022</v>
      </c>
      <c r="B1109" t="s">
        <v>32</v>
      </c>
      <c r="C1109" t="s">
        <v>33</v>
      </c>
      <c r="D1109" s="2">
        <v>2266.9416976265679</v>
      </c>
      <c r="E1109" s="2">
        <v>2302.0842435941422</v>
      </c>
      <c r="F1109" s="2">
        <v>2263.7739671715931</v>
      </c>
      <c r="G1109" s="2">
        <v>2292.580810546875</v>
      </c>
      <c r="H1109" s="3">
        <v>1324220</v>
      </c>
      <c r="I1109" s="4">
        <f t="shared" si="68"/>
        <v>-0.14000000000000001</v>
      </c>
      <c r="J1109" s="2">
        <f t="shared" si="69"/>
        <v>9.5</v>
      </c>
      <c r="K1109" s="7">
        <f t="shared" si="70"/>
        <v>45992</v>
      </c>
      <c r="L1109" t="str">
        <f t="shared" si="71"/>
        <v>Q4-2025</v>
      </c>
    </row>
    <row r="1110" spans="1:12">
      <c r="A1110" s="6">
        <v>46022</v>
      </c>
      <c r="B1110" t="s">
        <v>34</v>
      </c>
      <c r="C1110" t="s">
        <v>35</v>
      </c>
      <c r="D1110" s="2">
        <v>4018.7473912496562</v>
      </c>
      <c r="E1110" s="2">
        <v>4054.894330574597</v>
      </c>
      <c r="F1110" s="2">
        <v>4008.844120201727</v>
      </c>
      <c r="G1110" s="2">
        <v>4044.000732421875</v>
      </c>
      <c r="H1110" s="3">
        <v>1160164</v>
      </c>
      <c r="I1110" s="4">
        <f t="shared" si="68"/>
        <v>-0.25</v>
      </c>
      <c r="J1110" s="2">
        <f t="shared" si="69"/>
        <v>10.89</v>
      </c>
      <c r="K1110" s="7">
        <f t="shared" si="70"/>
        <v>45992</v>
      </c>
      <c r="L1110" t="str">
        <f t="shared" si="71"/>
        <v>Q4-2025</v>
      </c>
    </row>
    <row r="1111" spans="1:12">
      <c r="A1111" s="6">
        <v>46022</v>
      </c>
      <c r="B1111" t="s">
        <v>36</v>
      </c>
      <c r="C1111" t="s">
        <v>37</v>
      </c>
      <c r="D1111" s="2">
        <v>1245.039761898465</v>
      </c>
      <c r="E1111" s="2">
        <v>1270.520110155617</v>
      </c>
      <c r="F1111" s="2">
        <v>1244.040532555048</v>
      </c>
      <c r="G1111" s="2">
        <v>1268.421752929688</v>
      </c>
      <c r="H1111" s="3">
        <v>3711090</v>
      </c>
      <c r="I1111" s="4">
        <f t="shared" si="68"/>
        <v>-0.08</v>
      </c>
      <c r="J1111" s="2">
        <f t="shared" si="69"/>
        <v>2.1</v>
      </c>
      <c r="K1111" s="7">
        <f t="shared" si="70"/>
        <v>45992</v>
      </c>
      <c r="L1111" t="str">
        <f t="shared" si="71"/>
        <v>Q4-2025</v>
      </c>
    </row>
    <row r="1112" spans="1:12">
      <c r="A1112" s="6">
        <v>46023</v>
      </c>
      <c r="B1112" t="s">
        <v>8</v>
      </c>
      <c r="C1112" t="s">
        <v>9</v>
      </c>
      <c r="D1112" s="2">
        <v>1566.457230908256</v>
      </c>
      <c r="E1112" s="2">
        <v>1585.17075530426</v>
      </c>
      <c r="F1112" s="2">
        <v>1563.869221323745</v>
      </c>
      <c r="G1112" s="2">
        <v>1568.348510742188</v>
      </c>
      <c r="H1112" s="3">
        <v>6408128</v>
      </c>
      <c r="I1112" s="4">
        <f t="shared" si="68"/>
        <v>-0.17</v>
      </c>
      <c r="J1112" s="2">
        <f t="shared" si="69"/>
        <v>16.82</v>
      </c>
      <c r="K1112" s="7">
        <f t="shared" si="70"/>
        <v>46023</v>
      </c>
      <c r="L1112" t="str">
        <f t="shared" si="71"/>
        <v>Q1-2026</v>
      </c>
    </row>
    <row r="1113" spans="1:12">
      <c r="A1113" s="6">
        <v>46023</v>
      </c>
      <c r="B1113" t="s">
        <v>10</v>
      </c>
      <c r="C1113" t="s">
        <v>11</v>
      </c>
      <c r="D1113" s="2">
        <v>3098.3687791379812</v>
      </c>
      <c r="E1113" s="2">
        <v>3116.7759785957142</v>
      </c>
      <c r="F1113" s="2">
        <v>3082.1781891606702</v>
      </c>
      <c r="G1113" s="2">
        <v>3110.31884765625</v>
      </c>
      <c r="H1113" s="3">
        <v>1255735</v>
      </c>
      <c r="I1113" s="4">
        <f t="shared" si="68"/>
        <v>-0.52</v>
      </c>
      <c r="J1113" s="2">
        <f t="shared" si="69"/>
        <v>6.46</v>
      </c>
      <c r="K1113" s="7">
        <f t="shared" si="70"/>
        <v>46023</v>
      </c>
      <c r="L1113" t="str">
        <f t="shared" si="71"/>
        <v>Q1-2026</v>
      </c>
    </row>
    <row r="1114" spans="1:12">
      <c r="A1114" s="6">
        <v>46023</v>
      </c>
      <c r="B1114" t="s">
        <v>12</v>
      </c>
      <c r="C1114" t="s">
        <v>13</v>
      </c>
      <c r="D1114" s="2">
        <v>1581.184158007412</v>
      </c>
      <c r="E1114" s="2">
        <v>1604.8715288376809</v>
      </c>
      <c r="F1114" s="2">
        <v>1579.911645576683</v>
      </c>
      <c r="G1114" s="2">
        <v>1595.279174804688</v>
      </c>
      <c r="H1114" s="3">
        <v>3658165</v>
      </c>
      <c r="I1114" s="4">
        <f t="shared" si="68"/>
        <v>-0.08</v>
      </c>
      <c r="J1114" s="2">
        <f t="shared" si="69"/>
        <v>9.59</v>
      </c>
      <c r="K1114" s="7">
        <f t="shared" si="70"/>
        <v>46023</v>
      </c>
      <c r="L1114" t="str">
        <f t="shared" si="71"/>
        <v>Q1-2026</v>
      </c>
    </row>
    <row r="1115" spans="1:12">
      <c r="A1115" s="6">
        <v>46023</v>
      </c>
      <c r="B1115" t="s">
        <v>14</v>
      </c>
      <c r="C1115" t="s">
        <v>15</v>
      </c>
      <c r="D1115" s="2">
        <v>977.33542233691458</v>
      </c>
      <c r="E1115" s="2">
        <v>981.31951547239566</v>
      </c>
      <c r="F1115" s="2">
        <v>973.40050367627271</v>
      </c>
      <c r="G1115" s="2">
        <v>975.023681640625</v>
      </c>
      <c r="H1115" s="3">
        <v>7132074</v>
      </c>
      <c r="I1115" s="4">
        <f t="shared" si="68"/>
        <v>-0.4</v>
      </c>
      <c r="J1115" s="2">
        <f t="shared" si="69"/>
        <v>6.3</v>
      </c>
      <c r="K1115" s="7">
        <f t="shared" si="70"/>
        <v>46023</v>
      </c>
      <c r="L1115" t="str">
        <f t="shared" si="71"/>
        <v>Q1-2026</v>
      </c>
    </row>
    <row r="1116" spans="1:12">
      <c r="A1116" s="6">
        <v>46023</v>
      </c>
      <c r="B1116" t="s">
        <v>16</v>
      </c>
      <c r="C1116" t="s">
        <v>17</v>
      </c>
      <c r="D1116" s="2">
        <v>1332.665031313395</v>
      </c>
      <c r="E1116" s="2">
        <v>1337.127411350574</v>
      </c>
      <c r="F1116" s="2">
        <v>1324.831051038163</v>
      </c>
      <c r="G1116" s="2">
        <v>1326.814331054688</v>
      </c>
      <c r="H1116" s="3">
        <v>4179311</v>
      </c>
      <c r="I1116" s="4">
        <f t="shared" si="68"/>
        <v>-0.59</v>
      </c>
      <c r="J1116" s="2">
        <f t="shared" si="69"/>
        <v>10.31</v>
      </c>
      <c r="K1116" s="7">
        <f t="shared" si="70"/>
        <v>46023</v>
      </c>
      <c r="L1116" t="str">
        <f t="shared" si="71"/>
        <v>Q1-2026</v>
      </c>
    </row>
    <row r="1117" spans="1:12">
      <c r="A1117" s="6">
        <v>46023</v>
      </c>
      <c r="B1117" t="s">
        <v>18</v>
      </c>
      <c r="C1117" t="s">
        <v>19</v>
      </c>
      <c r="D1117" s="2">
        <v>254.93162167792451</v>
      </c>
      <c r="E1117" s="2">
        <v>258.35318744351378</v>
      </c>
      <c r="F1117" s="2">
        <v>254.2087531854541</v>
      </c>
      <c r="G1117" s="2">
        <v>257.67852783203119</v>
      </c>
      <c r="H1117" s="3">
        <v>3639755</v>
      </c>
      <c r="I1117" s="4">
        <f t="shared" si="68"/>
        <v>-0.28000000000000003</v>
      </c>
      <c r="J1117" s="2">
        <f t="shared" si="69"/>
        <v>0.67</v>
      </c>
      <c r="K1117" s="7">
        <f t="shared" si="70"/>
        <v>46023</v>
      </c>
      <c r="L1117" t="str">
        <f t="shared" si="71"/>
        <v>Q1-2026</v>
      </c>
    </row>
    <row r="1118" spans="1:12">
      <c r="A1118" s="6">
        <v>46023</v>
      </c>
      <c r="B1118" t="s">
        <v>20</v>
      </c>
      <c r="C1118" t="s">
        <v>21</v>
      </c>
      <c r="D1118" s="2">
        <v>1564.9833063028959</v>
      </c>
      <c r="E1118" s="2">
        <v>1586.969568071416</v>
      </c>
      <c r="F1118" s="2">
        <v>1560.643898592981</v>
      </c>
      <c r="G1118" s="2">
        <v>1576.169311523438</v>
      </c>
      <c r="H1118" s="3">
        <v>773806</v>
      </c>
      <c r="I1118" s="4">
        <f t="shared" si="68"/>
        <v>-0.28000000000000003</v>
      </c>
      <c r="J1118" s="2">
        <f t="shared" si="69"/>
        <v>10.8</v>
      </c>
      <c r="K1118" s="7">
        <f t="shared" si="70"/>
        <v>46023</v>
      </c>
      <c r="L1118" t="str">
        <f t="shared" si="71"/>
        <v>Q1-2026</v>
      </c>
    </row>
    <row r="1119" spans="1:12">
      <c r="A1119" s="6">
        <v>46023</v>
      </c>
      <c r="B1119" t="s">
        <v>22</v>
      </c>
      <c r="C1119" t="s">
        <v>23</v>
      </c>
      <c r="D1119" s="2">
        <v>982.16244357844607</v>
      </c>
      <c r="E1119" s="2">
        <v>982.95754371593785</v>
      </c>
      <c r="F1119" s="2">
        <v>963.07973696738497</v>
      </c>
      <c r="G1119" s="2">
        <v>967.1546630859375</v>
      </c>
      <c r="H1119" s="3">
        <v>7118751</v>
      </c>
      <c r="I1119" s="4">
        <f t="shared" si="68"/>
        <v>-1.94</v>
      </c>
      <c r="J1119" s="2">
        <f t="shared" si="69"/>
        <v>15.8</v>
      </c>
      <c r="K1119" s="7">
        <f t="shared" si="70"/>
        <v>46023</v>
      </c>
      <c r="L1119" t="str">
        <f t="shared" si="71"/>
        <v>Q1-2026</v>
      </c>
    </row>
    <row r="1120" spans="1:12">
      <c r="A1120" s="6">
        <v>46023</v>
      </c>
      <c r="B1120" t="s">
        <v>24</v>
      </c>
      <c r="C1120" t="s">
        <v>25</v>
      </c>
      <c r="D1120" s="2">
        <v>16533.94868616456</v>
      </c>
      <c r="E1120" s="2">
        <v>16630.974253304928</v>
      </c>
      <c r="F1120" s="2">
        <v>16436.923119024199</v>
      </c>
      <c r="G1120" s="2">
        <v>16541.869140625</v>
      </c>
      <c r="H1120" s="3">
        <v>171293</v>
      </c>
      <c r="I1120" s="4">
        <f t="shared" si="68"/>
        <v>-0.59</v>
      </c>
      <c r="J1120" s="2">
        <f t="shared" si="69"/>
        <v>89.11</v>
      </c>
      <c r="K1120" s="7">
        <f t="shared" si="70"/>
        <v>46023</v>
      </c>
      <c r="L1120" t="str">
        <f t="shared" si="71"/>
        <v>Q1-2026</v>
      </c>
    </row>
    <row r="1121" spans="1:12">
      <c r="A1121" s="6">
        <v>46023</v>
      </c>
      <c r="B1121" t="s">
        <v>26</v>
      </c>
      <c r="C1121" t="s">
        <v>27</v>
      </c>
      <c r="D1121" s="2">
        <v>365.81544599714681</v>
      </c>
      <c r="E1121" s="2">
        <v>367.94775171252979</v>
      </c>
      <c r="F1121" s="2">
        <v>362.54257721554058</v>
      </c>
      <c r="G1121" s="2">
        <v>364.526123046875</v>
      </c>
      <c r="H1121" s="3">
        <v>7214281</v>
      </c>
      <c r="I1121" s="4">
        <f t="shared" si="68"/>
        <v>-0.89</v>
      </c>
      <c r="J1121" s="2">
        <f t="shared" si="69"/>
        <v>3.42</v>
      </c>
      <c r="K1121" s="7">
        <f t="shared" si="70"/>
        <v>46023</v>
      </c>
      <c r="L1121" t="str">
        <f t="shared" si="71"/>
        <v>Q1-2026</v>
      </c>
    </row>
    <row r="1122" spans="1:12">
      <c r="A1122" s="6">
        <v>46023</v>
      </c>
      <c r="B1122" t="s">
        <v>28</v>
      </c>
      <c r="C1122" t="s">
        <v>29</v>
      </c>
      <c r="D1122" s="2">
        <v>1704.432319135251</v>
      </c>
      <c r="E1122" s="2">
        <v>1710.3780132717691</v>
      </c>
      <c r="F1122" s="2">
        <v>1693.4328091757829</v>
      </c>
      <c r="G1122" s="2">
        <v>1705.522338867188</v>
      </c>
      <c r="H1122" s="3">
        <v>877515</v>
      </c>
      <c r="I1122" s="4">
        <f t="shared" si="68"/>
        <v>-0.65</v>
      </c>
      <c r="J1122" s="2">
        <f t="shared" si="69"/>
        <v>4.8600000000000003</v>
      </c>
      <c r="K1122" s="7">
        <f t="shared" si="70"/>
        <v>46023</v>
      </c>
      <c r="L1122" t="str">
        <f t="shared" si="71"/>
        <v>Q1-2026</v>
      </c>
    </row>
    <row r="1123" spans="1:12">
      <c r="A1123" s="6">
        <v>46023</v>
      </c>
      <c r="B1123" t="s">
        <v>30</v>
      </c>
      <c r="C1123" t="s">
        <v>31</v>
      </c>
      <c r="D1123" s="2">
        <v>2752.023432626801</v>
      </c>
      <c r="E1123" s="2">
        <v>2758.7649918963571</v>
      </c>
      <c r="F1123" s="2">
        <v>2722.479946307838</v>
      </c>
      <c r="G1123" s="2">
        <v>2728.3291015625</v>
      </c>
      <c r="H1123" s="3">
        <v>327945</v>
      </c>
      <c r="I1123" s="4">
        <f t="shared" si="68"/>
        <v>-1.07</v>
      </c>
      <c r="J1123" s="2">
        <f t="shared" si="69"/>
        <v>30.44</v>
      </c>
      <c r="K1123" s="7">
        <f t="shared" si="70"/>
        <v>46023</v>
      </c>
      <c r="L1123" t="str">
        <f t="shared" si="71"/>
        <v>Q1-2026</v>
      </c>
    </row>
    <row r="1124" spans="1:12">
      <c r="A1124" s="6">
        <v>46023</v>
      </c>
      <c r="B1124" t="s">
        <v>32</v>
      </c>
      <c r="C1124" t="s">
        <v>33</v>
      </c>
      <c r="D1124" s="2">
        <v>2298.6194441455009</v>
      </c>
      <c r="E1124" s="2">
        <v>2302.579167563496</v>
      </c>
      <c r="F1124" s="2">
        <v>2276.8409653465351</v>
      </c>
      <c r="G1124" s="2">
        <v>2299.609375</v>
      </c>
      <c r="H1124" s="3">
        <v>758866</v>
      </c>
      <c r="I1124" s="4">
        <f t="shared" si="68"/>
        <v>-0.95</v>
      </c>
      <c r="J1124" s="2">
        <f t="shared" si="69"/>
        <v>2.97</v>
      </c>
      <c r="K1124" s="7">
        <f t="shared" si="70"/>
        <v>46023</v>
      </c>
      <c r="L1124" t="str">
        <f t="shared" si="71"/>
        <v>Q1-2026</v>
      </c>
    </row>
    <row r="1125" spans="1:12">
      <c r="A1125" s="6">
        <v>46023</v>
      </c>
      <c r="B1125" t="s">
        <v>34</v>
      </c>
      <c r="C1125" t="s">
        <v>35</v>
      </c>
      <c r="D1125" s="2">
        <v>4050.4377101160808</v>
      </c>
      <c r="E1125" s="2">
        <v>4106.6880941829459</v>
      </c>
      <c r="F1125" s="2">
        <v>4048.754202455465</v>
      </c>
      <c r="G1125" s="2">
        <v>4100.35009765625</v>
      </c>
      <c r="H1125" s="3">
        <v>1360716</v>
      </c>
      <c r="I1125" s="4">
        <f t="shared" si="68"/>
        <v>-0.04</v>
      </c>
      <c r="J1125" s="2">
        <f t="shared" si="69"/>
        <v>6.34</v>
      </c>
      <c r="K1125" s="7">
        <f t="shared" si="70"/>
        <v>46023</v>
      </c>
      <c r="L1125" t="str">
        <f t="shared" si="71"/>
        <v>Q1-2026</v>
      </c>
    </row>
    <row r="1126" spans="1:12">
      <c r="A1126" s="6">
        <v>46023</v>
      </c>
      <c r="B1126" t="s">
        <v>36</v>
      </c>
      <c r="C1126" t="s">
        <v>37</v>
      </c>
      <c r="D1126" s="2">
        <v>1269.021335005127</v>
      </c>
      <c r="E1126" s="2">
        <v>1278.2141966729339</v>
      </c>
      <c r="F1126" s="2">
        <v>1262.8261615302461</v>
      </c>
      <c r="G1126" s="2">
        <v>1273.41796875</v>
      </c>
      <c r="H1126" s="3">
        <v>2022412</v>
      </c>
      <c r="I1126" s="4">
        <f t="shared" si="68"/>
        <v>-0.49</v>
      </c>
      <c r="J1126" s="2">
        <f t="shared" si="69"/>
        <v>4.8</v>
      </c>
      <c r="K1126" s="7">
        <f t="shared" si="70"/>
        <v>46023</v>
      </c>
      <c r="L1126" t="str">
        <f t="shared" si="71"/>
        <v>Q1-2026</v>
      </c>
    </row>
    <row r="1127" spans="1:12">
      <c r="A1127" s="6">
        <v>46024</v>
      </c>
      <c r="B1127" t="s">
        <v>8</v>
      </c>
      <c r="C1127" t="s">
        <v>9</v>
      </c>
      <c r="D1127" s="2">
        <v>1572.7283614795999</v>
      </c>
      <c r="E1127" s="2">
        <v>1587.2611435561271</v>
      </c>
      <c r="F1127" s="2">
        <v>1570.936597021346</v>
      </c>
      <c r="G1127" s="2">
        <v>1584.971801757812</v>
      </c>
      <c r="H1127" s="3">
        <v>6602230</v>
      </c>
      <c r="I1127" s="4">
        <f t="shared" si="68"/>
        <v>-0.11</v>
      </c>
      <c r="J1127" s="2">
        <f t="shared" si="69"/>
        <v>2.29</v>
      </c>
      <c r="K1127" s="7">
        <f t="shared" si="70"/>
        <v>46023</v>
      </c>
      <c r="L1127" t="str">
        <f t="shared" si="71"/>
        <v>Q1-2026</v>
      </c>
    </row>
    <row r="1128" spans="1:12">
      <c r="A1128" s="6">
        <v>46024</v>
      </c>
      <c r="B1128" t="s">
        <v>10</v>
      </c>
      <c r="C1128" t="s">
        <v>11</v>
      </c>
      <c r="D1128" s="2">
        <v>3116.679557820592</v>
      </c>
      <c r="E1128" s="2">
        <v>3136.2431778593609</v>
      </c>
      <c r="F1128" s="2">
        <v>3102.7055771191699</v>
      </c>
      <c r="G1128" s="2">
        <v>3132.773681640625</v>
      </c>
      <c r="H1128" s="3">
        <v>1184324</v>
      </c>
      <c r="I1128" s="4">
        <f t="shared" si="68"/>
        <v>-0.45</v>
      </c>
      <c r="J1128" s="2">
        <f t="shared" si="69"/>
        <v>3.47</v>
      </c>
      <c r="K1128" s="7">
        <f t="shared" si="70"/>
        <v>46023</v>
      </c>
      <c r="L1128" t="str">
        <f t="shared" si="71"/>
        <v>Q1-2026</v>
      </c>
    </row>
    <row r="1129" spans="1:12">
      <c r="A1129" s="6">
        <v>46024</v>
      </c>
      <c r="B1129" t="s">
        <v>12</v>
      </c>
      <c r="C1129" t="s">
        <v>13</v>
      </c>
      <c r="D1129" s="2">
        <v>1601.24997771874</v>
      </c>
      <c r="E1129" s="2">
        <v>1608.688977997504</v>
      </c>
      <c r="F1129" s="2">
        <v>1593.0278744696909</v>
      </c>
      <c r="G1129" s="2">
        <v>1605.654663085938</v>
      </c>
      <c r="H1129" s="3">
        <v>2524526</v>
      </c>
      <c r="I1129" s="4">
        <f t="shared" si="68"/>
        <v>-0.51</v>
      </c>
      <c r="J1129" s="2">
        <f t="shared" si="69"/>
        <v>3.03</v>
      </c>
      <c r="K1129" s="7">
        <f t="shared" si="70"/>
        <v>46023</v>
      </c>
      <c r="L1129" t="str">
        <f t="shared" si="71"/>
        <v>Q1-2026</v>
      </c>
    </row>
    <row r="1130" spans="1:12">
      <c r="A1130" s="6">
        <v>46024</v>
      </c>
      <c r="B1130" t="s">
        <v>14</v>
      </c>
      <c r="C1130" t="s">
        <v>15</v>
      </c>
      <c r="D1130" s="2">
        <v>975.02366210589548</v>
      </c>
      <c r="E1130" s="2">
        <v>986.87759232516521</v>
      </c>
      <c r="F1130" s="2">
        <v>972.71186141382941</v>
      </c>
      <c r="G1130" s="2">
        <v>985.3035888671875</v>
      </c>
      <c r="H1130" s="3">
        <v>11751459</v>
      </c>
      <c r="I1130" s="4">
        <f t="shared" si="68"/>
        <v>-0.24</v>
      </c>
      <c r="J1130" s="2">
        <f t="shared" si="69"/>
        <v>1.57</v>
      </c>
      <c r="K1130" s="7">
        <f t="shared" si="70"/>
        <v>46023</v>
      </c>
      <c r="L1130" t="str">
        <f t="shared" si="71"/>
        <v>Q1-2026</v>
      </c>
    </row>
    <row r="1131" spans="1:12">
      <c r="A1131" s="6">
        <v>46024</v>
      </c>
      <c r="B1131" t="s">
        <v>16</v>
      </c>
      <c r="C1131" t="s">
        <v>17</v>
      </c>
      <c r="D1131" s="2">
        <v>1326.8142878641991</v>
      </c>
      <c r="E1131" s="2">
        <v>1345.5563076202229</v>
      </c>
      <c r="F1131" s="2">
        <v>1325.1285483249501</v>
      </c>
      <c r="G1131" s="2">
        <v>1344.06884765625</v>
      </c>
      <c r="H1131" s="3">
        <v>8226205</v>
      </c>
      <c r="I1131" s="4">
        <f t="shared" si="68"/>
        <v>-0.13</v>
      </c>
      <c r="J1131" s="2">
        <f t="shared" si="69"/>
        <v>1.49</v>
      </c>
      <c r="K1131" s="7">
        <f t="shared" si="70"/>
        <v>46023</v>
      </c>
      <c r="L1131" t="str">
        <f t="shared" si="71"/>
        <v>Q1-2026</v>
      </c>
    </row>
    <row r="1132" spans="1:12">
      <c r="A1132" s="6">
        <v>46024</v>
      </c>
      <c r="B1132" t="s">
        <v>18</v>
      </c>
      <c r="C1132" t="s">
        <v>19</v>
      </c>
      <c r="D1132" s="2">
        <v>257.6784942347598</v>
      </c>
      <c r="E1132" s="2">
        <v>262.54579635066949</v>
      </c>
      <c r="F1132" s="2">
        <v>256.52189303217222</v>
      </c>
      <c r="G1132" s="2">
        <v>259.268798828125</v>
      </c>
      <c r="H1132" s="3">
        <v>8286204</v>
      </c>
      <c r="I1132" s="4">
        <f t="shared" si="68"/>
        <v>-0.45</v>
      </c>
      <c r="J1132" s="2">
        <f t="shared" si="69"/>
        <v>3.28</v>
      </c>
      <c r="K1132" s="7">
        <f t="shared" si="70"/>
        <v>46023</v>
      </c>
      <c r="L1132" t="str">
        <f t="shared" si="71"/>
        <v>Q1-2026</v>
      </c>
    </row>
    <row r="1133" spans="1:12">
      <c r="A1133" s="6">
        <v>46024</v>
      </c>
      <c r="B1133" t="s">
        <v>20</v>
      </c>
      <c r="C1133" t="s">
        <v>21</v>
      </c>
      <c r="D1133" s="2">
        <v>1573.758696709966</v>
      </c>
      <c r="E1133" s="2">
        <v>1584.366138905928</v>
      </c>
      <c r="F1133" s="2">
        <v>1567.104913971521</v>
      </c>
      <c r="G1133" s="2">
        <v>1581.666015625</v>
      </c>
      <c r="H1133" s="3">
        <v>950573</v>
      </c>
      <c r="I1133" s="4">
        <f t="shared" si="68"/>
        <v>-0.42</v>
      </c>
      <c r="J1133" s="2">
        <f t="shared" si="69"/>
        <v>2.7</v>
      </c>
      <c r="K1133" s="7">
        <f t="shared" si="70"/>
        <v>46023</v>
      </c>
      <c r="L1133" t="str">
        <f t="shared" si="71"/>
        <v>Q1-2026</v>
      </c>
    </row>
    <row r="1134" spans="1:12">
      <c r="A1134" s="6">
        <v>46024</v>
      </c>
      <c r="B1134" t="s">
        <v>22</v>
      </c>
      <c r="C1134" t="s">
        <v>23</v>
      </c>
      <c r="D1134" s="2">
        <v>966.95591862049957</v>
      </c>
      <c r="E1134" s="2">
        <v>988.12577034844026</v>
      </c>
      <c r="F1134" s="2">
        <v>954.73101912906463</v>
      </c>
      <c r="G1134" s="2">
        <v>984.398681640625</v>
      </c>
      <c r="H1134" s="3">
        <v>6206869</v>
      </c>
      <c r="I1134" s="4">
        <f t="shared" si="68"/>
        <v>-1.26</v>
      </c>
      <c r="J1134" s="2">
        <f t="shared" si="69"/>
        <v>3.73</v>
      </c>
      <c r="K1134" s="7">
        <f t="shared" si="70"/>
        <v>46023</v>
      </c>
      <c r="L1134" t="str">
        <f t="shared" si="71"/>
        <v>Q1-2026</v>
      </c>
    </row>
    <row r="1135" spans="1:12">
      <c r="A1135" s="6">
        <v>46024</v>
      </c>
      <c r="B1135" t="s">
        <v>24</v>
      </c>
      <c r="C1135" t="s">
        <v>25</v>
      </c>
      <c r="D1135" s="2">
        <v>16583.451353828859</v>
      </c>
      <c r="E1135" s="2">
        <v>16829.9754963425</v>
      </c>
      <c r="F1135" s="2">
        <v>16556.719820303289</v>
      </c>
      <c r="G1135" s="2">
        <v>16791.36328125</v>
      </c>
      <c r="H1135" s="3">
        <v>388562</v>
      </c>
      <c r="I1135" s="4">
        <f t="shared" si="68"/>
        <v>-0.16</v>
      </c>
      <c r="J1135" s="2">
        <f t="shared" si="69"/>
        <v>38.61</v>
      </c>
      <c r="K1135" s="7">
        <f t="shared" si="70"/>
        <v>46023</v>
      </c>
      <c r="L1135" t="str">
        <f t="shared" si="71"/>
        <v>Q1-2026</v>
      </c>
    </row>
    <row r="1136" spans="1:12">
      <c r="A1136" s="6">
        <v>46024</v>
      </c>
      <c r="B1136" t="s">
        <v>26</v>
      </c>
      <c r="C1136" t="s">
        <v>27</v>
      </c>
      <c r="D1136" s="2">
        <v>366.16259822389532</v>
      </c>
      <c r="E1136" s="2">
        <v>369.83214010904368</v>
      </c>
      <c r="F1136" s="2">
        <v>365.51792157034032</v>
      </c>
      <c r="G1136" s="2">
        <v>367.30313110351563</v>
      </c>
      <c r="H1136" s="3">
        <v>7077536</v>
      </c>
      <c r="I1136" s="4">
        <f t="shared" si="68"/>
        <v>-0.18</v>
      </c>
      <c r="J1136" s="2">
        <f t="shared" si="69"/>
        <v>2.5299999999999998</v>
      </c>
      <c r="K1136" s="7">
        <f t="shared" si="70"/>
        <v>46023</v>
      </c>
      <c r="L1136" t="str">
        <f t="shared" si="71"/>
        <v>Q1-2026</v>
      </c>
    </row>
    <row r="1137" spans="1:12">
      <c r="A1137" s="6">
        <v>46024</v>
      </c>
      <c r="B1137" t="s">
        <v>28</v>
      </c>
      <c r="C1137" t="s">
        <v>29</v>
      </c>
      <c r="D1137" s="2">
        <v>1705.5222910229741</v>
      </c>
      <c r="E1137" s="2">
        <v>1716.3236592610681</v>
      </c>
      <c r="F1137" s="2">
        <v>1703.8377261177329</v>
      </c>
      <c r="G1137" s="2">
        <v>1712.35986328125</v>
      </c>
      <c r="H1137" s="3">
        <v>974123</v>
      </c>
      <c r="I1137" s="4">
        <f t="shared" si="68"/>
        <v>-0.1</v>
      </c>
      <c r="J1137" s="2">
        <f t="shared" si="69"/>
        <v>3.96</v>
      </c>
      <c r="K1137" s="7">
        <f t="shared" si="70"/>
        <v>46023</v>
      </c>
      <c r="L1137" t="str">
        <f t="shared" si="71"/>
        <v>Q1-2026</v>
      </c>
    </row>
    <row r="1138" spans="1:12">
      <c r="A1138" s="6">
        <v>46024</v>
      </c>
      <c r="B1138" t="s">
        <v>30</v>
      </c>
      <c r="C1138" t="s">
        <v>31</v>
      </c>
      <c r="D1138" s="2">
        <v>2732.0964076433629</v>
      </c>
      <c r="E1138" s="2">
        <v>2774.9247802813702</v>
      </c>
      <c r="F1138" s="2">
        <v>2732.0964076433629</v>
      </c>
      <c r="G1138" s="2">
        <v>2748.751953125</v>
      </c>
      <c r="H1138" s="3">
        <v>508884</v>
      </c>
      <c r="I1138" s="4">
        <f t="shared" si="68"/>
        <v>0</v>
      </c>
      <c r="J1138" s="2">
        <f t="shared" si="69"/>
        <v>26.17</v>
      </c>
      <c r="K1138" s="7">
        <f t="shared" si="70"/>
        <v>46023</v>
      </c>
      <c r="L1138" t="str">
        <f t="shared" si="71"/>
        <v>Q1-2026</v>
      </c>
    </row>
    <row r="1139" spans="1:12">
      <c r="A1139" s="6">
        <v>46024</v>
      </c>
      <c r="B1139" t="s">
        <v>32</v>
      </c>
      <c r="C1139" t="s">
        <v>33</v>
      </c>
      <c r="D1139" s="2">
        <v>2302.5791870325138</v>
      </c>
      <c r="E1139" s="2">
        <v>2333.9599470489829</v>
      </c>
      <c r="F1139" s="2">
        <v>2298.6194635810398</v>
      </c>
      <c r="G1139" s="2">
        <v>2324.357666015625</v>
      </c>
      <c r="H1139" s="3">
        <v>973413</v>
      </c>
      <c r="I1139" s="4">
        <f t="shared" si="68"/>
        <v>-0.17</v>
      </c>
      <c r="J1139" s="2">
        <f t="shared" si="69"/>
        <v>9.6</v>
      </c>
      <c r="K1139" s="7">
        <f t="shared" si="70"/>
        <v>46023</v>
      </c>
      <c r="L1139" t="str">
        <f t="shared" si="71"/>
        <v>Q1-2026</v>
      </c>
    </row>
    <row r="1140" spans="1:12">
      <c r="A1140" s="6">
        <v>46024</v>
      </c>
      <c r="B1140" t="s">
        <v>34</v>
      </c>
      <c r="C1140" t="s">
        <v>35</v>
      </c>
      <c r="D1140" s="2">
        <v>4098.0728463975311</v>
      </c>
      <c r="E1140" s="2">
        <v>4132.3382622505906</v>
      </c>
      <c r="F1140" s="2">
        <v>4087.1792478265579</v>
      </c>
      <c r="G1140" s="2">
        <v>4123.1279296875</v>
      </c>
      <c r="H1140" s="3">
        <v>984027</v>
      </c>
      <c r="I1140" s="4">
        <f t="shared" si="68"/>
        <v>-0.27</v>
      </c>
      <c r="J1140" s="2">
        <f t="shared" si="69"/>
        <v>9.2100000000000009</v>
      </c>
      <c r="K1140" s="7">
        <f t="shared" si="70"/>
        <v>46023</v>
      </c>
      <c r="L1140" t="str">
        <f t="shared" si="71"/>
        <v>Q1-2026</v>
      </c>
    </row>
    <row r="1141" spans="1:12">
      <c r="A1141" s="6">
        <v>46024</v>
      </c>
      <c r="B1141" t="s">
        <v>36</v>
      </c>
      <c r="C1141" t="s">
        <v>37</v>
      </c>
      <c r="D1141" s="2">
        <v>1272.918311604941</v>
      </c>
      <c r="E1141" s="2">
        <v>1280.8122479783319</v>
      </c>
      <c r="F1141" s="2">
        <v>1263.325734102699</v>
      </c>
      <c r="G1141" s="2">
        <v>1265.923706054688</v>
      </c>
      <c r="H1141" s="3">
        <v>5860547</v>
      </c>
      <c r="I1141" s="4">
        <f t="shared" si="68"/>
        <v>-0.75</v>
      </c>
      <c r="J1141" s="2">
        <f t="shared" si="69"/>
        <v>14.89</v>
      </c>
      <c r="K1141" s="7">
        <f t="shared" si="70"/>
        <v>46023</v>
      </c>
      <c r="L1141" t="str">
        <f t="shared" si="71"/>
        <v>Q1-2026</v>
      </c>
    </row>
    <row r="1142" spans="1:12">
      <c r="A1142" s="6">
        <v>46027</v>
      </c>
      <c r="B1142" t="s">
        <v>8</v>
      </c>
      <c r="C1142" t="s">
        <v>9</v>
      </c>
      <c r="D1142" s="2">
        <v>1585.668485693036</v>
      </c>
      <c r="E1142" s="2">
        <v>1604.3820104615529</v>
      </c>
      <c r="F1142" s="2">
        <v>1568.049995566515</v>
      </c>
      <c r="G1142" s="2">
        <v>1570.837036132812</v>
      </c>
      <c r="H1142" s="3">
        <v>8704973</v>
      </c>
      <c r="I1142" s="4">
        <f t="shared" si="68"/>
        <v>-1.1100000000000001</v>
      </c>
      <c r="J1142" s="2">
        <f t="shared" si="69"/>
        <v>33.54</v>
      </c>
      <c r="K1142" s="7">
        <f t="shared" si="70"/>
        <v>46023</v>
      </c>
      <c r="L1142" t="str">
        <f t="shared" si="71"/>
        <v>Q1-2026</v>
      </c>
    </row>
    <row r="1143" spans="1:12">
      <c r="A1143" s="6">
        <v>46027</v>
      </c>
      <c r="B1143" t="s">
        <v>10</v>
      </c>
      <c r="C1143" t="s">
        <v>11</v>
      </c>
      <c r="D1143" s="2">
        <v>3122.9436970105698</v>
      </c>
      <c r="E1143" s="2">
        <v>3129.2078951375779</v>
      </c>
      <c r="F1143" s="2">
        <v>3075.2394189664342</v>
      </c>
      <c r="G1143" s="2">
        <v>3099.428955078125</v>
      </c>
      <c r="H1143" s="3">
        <v>2341703</v>
      </c>
      <c r="I1143" s="4">
        <f t="shared" si="68"/>
        <v>-1.53</v>
      </c>
      <c r="J1143" s="2">
        <f t="shared" si="69"/>
        <v>29.78</v>
      </c>
      <c r="K1143" s="7">
        <f t="shared" si="70"/>
        <v>46023</v>
      </c>
      <c r="L1143" t="str">
        <f t="shared" si="71"/>
        <v>Q1-2026</v>
      </c>
    </row>
    <row r="1144" spans="1:12">
      <c r="A1144" s="6">
        <v>46027</v>
      </c>
      <c r="B1144" t="s">
        <v>12</v>
      </c>
      <c r="C1144" t="s">
        <v>13</v>
      </c>
      <c r="D1144" s="2">
        <v>1602.3265912739639</v>
      </c>
      <c r="E1144" s="2">
        <v>1602.3265912739639</v>
      </c>
      <c r="F1144" s="2">
        <v>1549.568226955718</v>
      </c>
      <c r="G1144" s="2">
        <v>1572.374755859375</v>
      </c>
      <c r="H1144" s="3">
        <v>5917885</v>
      </c>
      <c r="I1144" s="4">
        <f t="shared" si="68"/>
        <v>-3.29</v>
      </c>
      <c r="J1144" s="2">
        <f t="shared" si="69"/>
        <v>29.95</v>
      </c>
      <c r="K1144" s="7">
        <f t="shared" si="70"/>
        <v>46023</v>
      </c>
      <c r="L1144" t="str">
        <f t="shared" si="71"/>
        <v>Q1-2026</v>
      </c>
    </row>
    <row r="1145" spans="1:12">
      <c r="A1145" s="6">
        <v>46027</v>
      </c>
      <c r="B1145" t="s">
        <v>14</v>
      </c>
      <c r="C1145" t="s">
        <v>15</v>
      </c>
      <c r="D1145" s="2">
        <v>989.38612767680524</v>
      </c>
      <c r="E1145" s="2">
        <v>990.02557598694659</v>
      </c>
      <c r="F1145" s="2">
        <v>960.41527653333094</v>
      </c>
      <c r="G1145" s="2">
        <v>961.59576416015625</v>
      </c>
      <c r="H1145" s="3">
        <v>27647379</v>
      </c>
      <c r="I1145" s="4">
        <f t="shared" si="68"/>
        <v>-2.93</v>
      </c>
      <c r="J1145" s="2">
        <f t="shared" si="69"/>
        <v>28.43</v>
      </c>
      <c r="K1145" s="7">
        <f t="shared" si="70"/>
        <v>46023</v>
      </c>
      <c r="L1145" t="str">
        <f t="shared" si="71"/>
        <v>Q1-2026</v>
      </c>
    </row>
    <row r="1146" spans="1:12">
      <c r="A1146" s="6">
        <v>46027</v>
      </c>
      <c r="B1146" t="s">
        <v>16</v>
      </c>
      <c r="C1146" t="s">
        <v>17</v>
      </c>
      <c r="D1146" s="2">
        <v>1342.8787602806369</v>
      </c>
      <c r="E1146" s="2">
        <v>1364.000739453267</v>
      </c>
      <c r="F1146" s="2">
        <v>1341.2921605842889</v>
      </c>
      <c r="G1146" s="2">
        <v>1360.0341796875</v>
      </c>
      <c r="H1146" s="3">
        <v>6920565</v>
      </c>
      <c r="I1146" s="4">
        <f t="shared" si="68"/>
        <v>-0.12</v>
      </c>
      <c r="J1146" s="2">
        <f t="shared" si="69"/>
        <v>3.97</v>
      </c>
      <c r="K1146" s="7">
        <f t="shared" si="70"/>
        <v>46023</v>
      </c>
      <c r="L1146" t="str">
        <f t="shared" si="71"/>
        <v>Q1-2026</v>
      </c>
    </row>
    <row r="1147" spans="1:12">
      <c r="A1147" s="6">
        <v>46027</v>
      </c>
      <c r="B1147" t="s">
        <v>18</v>
      </c>
      <c r="C1147" t="s">
        <v>19</v>
      </c>
      <c r="D1147" s="2">
        <v>259.70255406352112</v>
      </c>
      <c r="E1147" s="2">
        <v>259.89530133820671</v>
      </c>
      <c r="F1147" s="2">
        <v>252.23291330341661</v>
      </c>
      <c r="G1147" s="2">
        <v>253.77500915527341</v>
      </c>
      <c r="H1147" s="3">
        <v>7006599</v>
      </c>
      <c r="I1147" s="4">
        <f t="shared" si="68"/>
        <v>-2.88</v>
      </c>
      <c r="J1147" s="2">
        <f t="shared" si="69"/>
        <v>6.12</v>
      </c>
      <c r="K1147" s="7">
        <f t="shared" si="70"/>
        <v>46023</v>
      </c>
      <c r="L1147" t="str">
        <f t="shared" si="71"/>
        <v>Q1-2026</v>
      </c>
    </row>
    <row r="1148" spans="1:12">
      <c r="A1148" s="6">
        <v>46027</v>
      </c>
      <c r="B1148" t="s">
        <v>20</v>
      </c>
      <c r="C1148" t="s">
        <v>21</v>
      </c>
      <c r="D1148" s="2">
        <v>1567.008437856103</v>
      </c>
      <c r="E1148" s="2">
        <v>1575.205097377197</v>
      </c>
      <c r="F1148" s="2">
        <v>1523.710765784238</v>
      </c>
      <c r="G1148" s="2">
        <v>1550.229370117188</v>
      </c>
      <c r="H1148" s="3">
        <v>3245802</v>
      </c>
      <c r="I1148" s="4">
        <f t="shared" si="68"/>
        <v>-2.76</v>
      </c>
      <c r="J1148" s="2">
        <f t="shared" si="69"/>
        <v>24.98</v>
      </c>
      <c r="K1148" s="7">
        <f t="shared" si="70"/>
        <v>46023</v>
      </c>
      <c r="L1148" t="str">
        <f t="shared" si="71"/>
        <v>Q1-2026</v>
      </c>
    </row>
    <row r="1149" spans="1:12">
      <c r="A1149" s="6">
        <v>46027</v>
      </c>
      <c r="B1149" t="s">
        <v>22</v>
      </c>
      <c r="C1149" t="s">
        <v>23</v>
      </c>
      <c r="D1149" s="2">
        <v>973.71441062358076</v>
      </c>
      <c r="E1149" s="2">
        <v>993.04559051213289</v>
      </c>
      <c r="F1149" s="2">
        <v>969.04311373772748</v>
      </c>
      <c r="G1149" s="2">
        <v>972.77020263671875</v>
      </c>
      <c r="H1149" s="3">
        <v>10564157</v>
      </c>
      <c r="I1149" s="4">
        <f t="shared" si="68"/>
        <v>-0.48</v>
      </c>
      <c r="J1149" s="2">
        <f t="shared" si="69"/>
        <v>20.28</v>
      </c>
      <c r="K1149" s="7">
        <f t="shared" si="70"/>
        <v>46023</v>
      </c>
      <c r="L1149" t="str">
        <f t="shared" si="71"/>
        <v>Q1-2026</v>
      </c>
    </row>
    <row r="1150" spans="1:12">
      <c r="A1150" s="6">
        <v>46027</v>
      </c>
      <c r="B1150" t="s">
        <v>24</v>
      </c>
      <c r="C1150" t="s">
        <v>25</v>
      </c>
      <c r="D1150" s="2">
        <v>16855.716448488962</v>
      </c>
      <c r="E1150" s="2">
        <v>17197.286032907679</v>
      </c>
      <c r="F1150" s="2">
        <v>16811.163893999561</v>
      </c>
      <c r="G1150" s="2">
        <v>16984.423828125</v>
      </c>
      <c r="H1150" s="3">
        <v>305668</v>
      </c>
      <c r="I1150" s="4">
        <f t="shared" si="68"/>
        <v>-0.26</v>
      </c>
      <c r="J1150" s="2">
        <f t="shared" si="69"/>
        <v>212.86</v>
      </c>
      <c r="K1150" s="7">
        <f t="shared" si="70"/>
        <v>46023</v>
      </c>
      <c r="L1150" t="str">
        <f t="shared" si="71"/>
        <v>Q1-2026</v>
      </c>
    </row>
    <row r="1151" spans="1:12">
      <c r="A1151" s="6">
        <v>46027</v>
      </c>
      <c r="B1151" t="s">
        <v>26</v>
      </c>
      <c r="C1151" t="s">
        <v>27</v>
      </c>
      <c r="D1151" s="2">
        <v>367.30312081933312</v>
      </c>
      <c r="E1151" s="2">
        <v>371.91485901785268</v>
      </c>
      <c r="F1151" s="2">
        <v>366.06340462260692</v>
      </c>
      <c r="G1151" s="2">
        <v>370.47677612304688</v>
      </c>
      <c r="H1151" s="3">
        <v>9591926</v>
      </c>
      <c r="I1151" s="4">
        <f t="shared" si="68"/>
        <v>-0.34</v>
      </c>
      <c r="J1151" s="2">
        <f t="shared" si="69"/>
        <v>1.44</v>
      </c>
      <c r="K1151" s="7">
        <f t="shared" si="70"/>
        <v>46023</v>
      </c>
      <c r="L1151" t="str">
        <f t="shared" si="71"/>
        <v>Q1-2026</v>
      </c>
    </row>
    <row r="1152" spans="1:12">
      <c r="A1152" s="6">
        <v>46027</v>
      </c>
      <c r="B1152" t="s">
        <v>28</v>
      </c>
      <c r="C1152" t="s">
        <v>29</v>
      </c>
      <c r="D1152" s="2">
        <v>1712.359952719554</v>
      </c>
      <c r="E1152" s="2">
        <v>1730.197035560383</v>
      </c>
      <c r="F1152" s="2">
        <v>1707.801611297768</v>
      </c>
      <c r="G1152" s="2">
        <v>1713.251831054688</v>
      </c>
      <c r="H1152" s="3">
        <v>1416698</v>
      </c>
      <c r="I1152" s="4">
        <f t="shared" si="68"/>
        <v>-0.27</v>
      </c>
      <c r="J1152" s="2">
        <f t="shared" si="69"/>
        <v>16.95</v>
      </c>
      <c r="K1152" s="7">
        <f t="shared" si="70"/>
        <v>46023</v>
      </c>
      <c r="L1152" t="str">
        <f t="shared" si="71"/>
        <v>Q1-2026</v>
      </c>
    </row>
    <row r="1153" spans="1:12">
      <c r="A1153" s="6">
        <v>46027</v>
      </c>
      <c r="B1153" t="s">
        <v>30</v>
      </c>
      <c r="C1153" t="s">
        <v>31</v>
      </c>
      <c r="D1153" s="2">
        <v>2746.174205723587</v>
      </c>
      <c r="E1153" s="2">
        <v>2803.6753262766438</v>
      </c>
      <c r="F1153" s="2">
        <v>2745.182807093362</v>
      </c>
      <c r="G1153" s="2">
        <v>2791.382080078125</v>
      </c>
      <c r="H1153" s="3">
        <v>866733</v>
      </c>
      <c r="I1153" s="4">
        <f t="shared" si="68"/>
        <v>-0.04</v>
      </c>
      <c r="J1153" s="2">
        <f t="shared" si="69"/>
        <v>12.29</v>
      </c>
      <c r="K1153" s="7">
        <f t="shared" si="70"/>
        <v>46023</v>
      </c>
      <c r="L1153" t="str">
        <f t="shared" si="71"/>
        <v>Q1-2026</v>
      </c>
    </row>
    <row r="1154" spans="1:12">
      <c r="A1154" s="6">
        <v>46027</v>
      </c>
      <c r="B1154" t="s">
        <v>32</v>
      </c>
      <c r="C1154" t="s">
        <v>33</v>
      </c>
      <c r="D1154" s="2">
        <v>2317.9230873603751</v>
      </c>
      <c r="E1154" s="2">
        <v>2369.8944570321319</v>
      </c>
      <c r="F1154" s="2">
        <v>2312.874343347899</v>
      </c>
      <c r="G1154" s="2">
        <v>2360.09423828125</v>
      </c>
      <c r="H1154" s="3">
        <v>1344113</v>
      </c>
      <c r="I1154" s="4">
        <f t="shared" ref="I1154:I1217" si="72">ROUND(((F1154-D1154)/D1154)*100, 2)</f>
        <v>-0.22</v>
      </c>
      <c r="J1154" s="2">
        <f t="shared" ref="J1154:J1217" si="73">ROUND(E1154-G1154, 2)</f>
        <v>9.8000000000000007</v>
      </c>
      <c r="K1154" s="7">
        <f t="shared" ref="K1154:K1217" si="74">DATE(YEAR(A1154),MONTH(A1154),1)</f>
        <v>46023</v>
      </c>
      <c r="L1154" t="str">
        <f t="shared" ref="L1154:L1217" si="75">"Q"&amp;INT((MONTH(A1154)-1)/3)+1&amp;"-"&amp;YEAR(A1154)</f>
        <v>Q1-2026</v>
      </c>
    </row>
    <row r="1155" spans="1:12">
      <c r="A1155" s="6">
        <v>46027</v>
      </c>
      <c r="B1155" t="s">
        <v>34</v>
      </c>
      <c r="C1155" t="s">
        <v>35</v>
      </c>
      <c r="D1155" s="2">
        <v>4122.6325064743169</v>
      </c>
      <c r="E1155" s="2">
        <v>4154.4221024682411</v>
      </c>
      <c r="F1155" s="2">
        <v>4092.8235646412832</v>
      </c>
      <c r="G1155" s="2">
        <v>4110.25341796875</v>
      </c>
      <c r="H1155" s="3">
        <v>1167460</v>
      </c>
      <c r="I1155" s="4">
        <f t="shared" si="72"/>
        <v>-0.72</v>
      </c>
      <c r="J1155" s="2">
        <f t="shared" si="73"/>
        <v>44.17</v>
      </c>
      <c r="K1155" s="7">
        <f t="shared" si="74"/>
        <v>46023</v>
      </c>
      <c r="L1155" t="str">
        <f t="shared" si="75"/>
        <v>Q1-2026</v>
      </c>
    </row>
    <row r="1156" spans="1:12">
      <c r="A1156" s="6">
        <v>46027</v>
      </c>
      <c r="B1156" t="s">
        <v>36</v>
      </c>
      <c r="C1156" t="s">
        <v>37</v>
      </c>
      <c r="D1156" s="2">
        <v>1273.218045545603</v>
      </c>
      <c r="E1156" s="2">
        <v>1288.7061011587009</v>
      </c>
      <c r="F1156" s="2">
        <v>1269.021330879649</v>
      </c>
      <c r="G1156" s="2">
        <v>1284.809204101562</v>
      </c>
      <c r="H1156" s="3">
        <v>6177100</v>
      </c>
      <c r="I1156" s="4">
        <f t="shared" si="72"/>
        <v>-0.33</v>
      </c>
      <c r="J1156" s="2">
        <f t="shared" si="73"/>
        <v>3.9</v>
      </c>
      <c r="K1156" s="7">
        <f t="shared" si="74"/>
        <v>46023</v>
      </c>
      <c r="L1156" t="str">
        <f t="shared" si="75"/>
        <v>Q1-2026</v>
      </c>
    </row>
    <row r="1157" spans="1:12">
      <c r="A1157" s="6">
        <v>46028</v>
      </c>
      <c r="B1157" t="s">
        <v>8</v>
      </c>
      <c r="C1157" t="s">
        <v>9</v>
      </c>
      <c r="D1157" s="2">
        <v>1561.77894010158</v>
      </c>
      <c r="E1157" s="2">
        <v>1561.77894010158</v>
      </c>
      <c r="F1157" s="2">
        <v>1489.4135782872729</v>
      </c>
      <c r="G1157" s="2">
        <v>1500.661499023438</v>
      </c>
      <c r="H1157" s="3">
        <v>27417125</v>
      </c>
      <c r="I1157" s="4">
        <f t="shared" si="72"/>
        <v>-4.63</v>
      </c>
      <c r="J1157" s="2">
        <f t="shared" si="73"/>
        <v>61.12</v>
      </c>
      <c r="K1157" s="7">
        <f t="shared" si="74"/>
        <v>46023</v>
      </c>
      <c r="L1157" t="str">
        <f t="shared" si="75"/>
        <v>Q1-2026</v>
      </c>
    </row>
    <row r="1158" spans="1:12">
      <c r="A1158" s="6">
        <v>46028</v>
      </c>
      <c r="B1158" t="s">
        <v>10</v>
      </c>
      <c r="C1158" t="s">
        <v>11</v>
      </c>
      <c r="D1158" s="2">
        <v>3093.5501696679089</v>
      </c>
      <c r="E1158" s="2">
        <v>3144.8201752673099</v>
      </c>
      <c r="F1158" s="2">
        <v>3088.7315556964641</v>
      </c>
      <c r="G1158" s="2">
        <v>3137.688720703125</v>
      </c>
      <c r="H1158" s="3">
        <v>2912325</v>
      </c>
      <c r="I1158" s="4">
        <f t="shared" si="72"/>
        <v>-0.16</v>
      </c>
      <c r="J1158" s="2">
        <f t="shared" si="73"/>
        <v>7.13</v>
      </c>
      <c r="K1158" s="7">
        <f t="shared" si="74"/>
        <v>46023</v>
      </c>
      <c r="L1158" t="str">
        <f t="shared" si="75"/>
        <v>Q1-2026</v>
      </c>
    </row>
    <row r="1159" spans="1:12">
      <c r="A1159" s="6">
        <v>46028</v>
      </c>
      <c r="B1159" t="s">
        <v>12</v>
      </c>
      <c r="C1159" t="s">
        <v>13</v>
      </c>
      <c r="D1159" s="2">
        <v>1566.2081943610219</v>
      </c>
      <c r="E1159" s="2">
        <v>1585.588857567396</v>
      </c>
      <c r="F1159" s="2">
        <v>1565.1315174017211</v>
      </c>
      <c r="G1159" s="2">
        <v>1578.051879882812</v>
      </c>
      <c r="H1159" s="3">
        <v>4466729</v>
      </c>
      <c r="I1159" s="4">
        <f t="shared" si="72"/>
        <v>-7.0000000000000007E-2</v>
      </c>
      <c r="J1159" s="2">
        <f t="shared" si="73"/>
        <v>7.54</v>
      </c>
      <c r="K1159" s="7">
        <f t="shared" si="74"/>
        <v>46023</v>
      </c>
      <c r="L1159" t="str">
        <f t="shared" si="75"/>
        <v>Q1-2026</v>
      </c>
    </row>
    <row r="1160" spans="1:12">
      <c r="A1160" s="6">
        <v>46028</v>
      </c>
      <c r="B1160" t="s">
        <v>14</v>
      </c>
      <c r="C1160" t="s">
        <v>15</v>
      </c>
      <c r="D1160" s="2">
        <v>947.03654255755407</v>
      </c>
      <c r="E1160" s="2">
        <v>950.97146114298732</v>
      </c>
      <c r="F1160" s="2">
        <v>940.44554191853501</v>
      </c>
      <c r="G1160" s="2">
        <v>946.544677734375</v>
      </c>
      <c r="H1160" s="3">
        <v>31988783</v>
      </c>
      <c r="I1160" s="4">
        <f t="shared" si="72"/>
        <v>-0.7</v>
      </c>
      <c r="J1160" s="2">
        <f t="shared" si="73"/>
        <v>4.43</v>
      </c>
      <c r="K1160" s="7">
        <f t="shared" si="74"/>
        <v>46023</v>
      </c>
      <c r="L1160" t="str">
        <f t="shared" si="75"/>
        <v>Q1-2026</v>
      </c>
    </row>
    <row r="1161" spans="1:12">
      <c r="A1161" s="6">
        <v>46028</v>
      </c>
      <c r="B1161" t="s">
        <v>16</v>
      </c>
      <c r="C1161" t="s">
        <v>17</v>
      </c>
      <c r="D1161" s="2">
        <v>1360.5299848190609</v>
      </c>
      <c r="E1161" s="2">
        <v>1401.78218172315</v>
      </c>
      <c r="F1161" s="2">
        <v>1354.5801452353039</v>
      </c>
      <c r="G1161" s="2">
        <v>1399.402221679688</v>
      </c>
      <c r="H1161" s="3">
        <v>17260416</v>
      </c>
      <c r="I1161" s="4">
        <f t="shared" si="72"/>
        <v>-0.44</v>
      </c>
      <c r="J1161" s="2">
        <f t="shared" si="73"/>
        <v>2.38</v>
      </c>
      <c r="K1161" s="7">
        <f t="shared" si="74"/>
        <v>46023</v>
      </c>
      <c r="L1161" t="str">
        <f t="shared" si="75"/>
        <v>Q1-2026</v>
      </c>
    </row>
    <row r="1162" spans="1:12">
      <c r="A1162" s="6">
        <v>46028</v>
      </c>
      <c r="B1162" t="s">
        <v>18</v>
      </c>
      <c r="C1162" t="s">
        <v>19</v>
      </c>
      <c r="D1162" s="2">
        <v>253.7750070466501</v>
      </c>
      <c r="E1162" s="2">
        <v>256.47373359216181</v>
      </c>
      <c r="F1162" s="2">
        <v>253.43769196535479</v>
      </c>
      <c r="G1162" s="2">
        <v>255.9918212890625</v>
      </c>
      <c r="H1162" s="3">
        <v>4083654</v>
      </c>
      <c r="I1162" s="4">
        <f t="shared" si="72"/>
        <v>-0.13</v>
      </c>
      <c r="J1162" s="2">
        <f t="shared" si="73"/>
        <v>0.48</v>
      </c>
      <c r="K1162" s="7">
        <f t="shared" si="74"/>
        <v>46023</v>
      </c>
      <c r="L1162" t="str">
        <f t="shared" si="75"/>
        <v>Q1-2026</v>
      </c>
    </row>
    <row r="1163" spans="1:12">
      <c r="A1163" s="6">
        <v>46028</v>
      </c>
      <c r="B1163" t="s">
        <v>20</v>
      </c>
      <c r="C1163" t="s">
        <v>21</v>
      </c>
      <c r="D1163" s="2">
        <v>1543.1900118458429</v>
      </c>
      <c r="E1163" s="2">
        <v>1567.972806786333</v>
      </c>
      <c r="F1163" s="2">
        <v>1540.2970730879349</v>
      </c>
      <c r="G1163" s="2">
        <v>1558.619018554688</v>
      </c>
      <c r="H1163" s="3">
        <v>2112043</v>
      </c>
      <c r="I1163" s="4">
        <f t="shared" si="72"/>
        <v>-0.19</v>
      </c>
      <c r="J1163" s="2">
        <f t="shared" si="73"/>
        <v>9.35</v>
      </c>
      <c r="K1163" s="7">
        <f t="shared" si="74"/>
        <v>46023</v>
      </c>
      <c r="L1163" t="str">
        <f t="shared" si="75"/>
        <v>Q1-2026</v>
      </c>
    </row>
    <row r="1164" spans="1:12">
      <c r="A1164" s="6">
        <v>46028</v>
      </c>
      <c r="B1164" t="s">
        <v>22</v>
      </c>
      <c r="C1164" t="s">
        <v>23</v>
      </c>
      <c r="D1164" s="2">
        <v>972.0247761461352</v>
      </c>
      <c r="E1164" s="2">
        <v>980.96978942355361</v>
      </c>
      <c r="F1164" s="2">
        <v>967.35347930214368</v>
      </c>
      <c r="G1164" s="2">
        <v>971.37872314453125</v>
      </c>
      <c r="H1164" s="3">
        <v>8380183</v>
      </c>
      <c r="I1164" s="4">
        <f t="shared" si="72"/>
        <v>-0.48</v>
      </c>
      <c r="J1164" s="2">
        <f t="shared" si="73"/>
        <v>9.59</v>
      </c>
      <c r="K1164" s="7">
        <f t="shared" si="74"/>
        <v>46023</v>
      </c>
      <c r="L1164" t="str">
        <f t="shared" si="75"/>
        <v>Q1-2026</v>
      </c>
    </row>
    <row r="1165" spans="1:12">
      <c r="A1165" s="6">
        <v>46028</v>
      </c>
      <c r="B1165" t="s">
        <v>24</v>
      </c>
      <c r="C1165" t="s">
        <v>25</v>
      </c>
      <c r="D1165" s="2">
        <v>16999.27556818182</v>
      </c>
      <c r="E1165" s="2">
        <v>17133.923295454551</v>
      </c>
      <c r="F1165" s="2">
        <v>16971.553977272732</v>
      </c>
      <c r="G1165" s="2">
        <v>17120.0625</v>
      </c>
      <c r="H1165" s="3">
        <v>192182</v>
      </c>
      <c r="I1165" s="4">
        <f t="shared" si="72"/>
        <v>-0.16</v>
      </c>
      <c r="J1165" s="2">
        <f t="shared" si="73"/>
        <v>13.86</v>
      </c>
      <c r="K1165" s="7">
        <f t="shared" si="74"/>
        <v>46023</v>
      </c>
      <c r="L1165" t="str">
        <f t="shared" si="75"/>
        <v>Q1-2026</v>
      </c>
    </row>
    <row r="1166" spans="1:12">
      <c r="A1166" s="6">
        <v>46028</v>
      </c>
      <c r="B1166" t="s">
        <v>26</v>
      </c>
      <c r="C1166" t="s">
        <v>27</v>
      </c>
      <c r="D1166" s="2">
        <v>368.44363637341303</v>
      </c>
      <c r="E1166" s="2">
        <v>368.44363637341303</v>
      </c>
      <c r="F1166" s="2">
        <v>357.03824789886602</v>
      </c>
      <c r="G1166" s="2">
        <v>365.86502075195313</v>
      </c>
      <c r="H1166" s="3">
        <v>17493345</v>
      </c>
      <c r="I1166" s="4">
        <f t="shared" si="72"/>
        <v>-3.1</v>
      </c>
      <c r="J1166" s="2">
        <f t="shared" si="73"/>
        <v>2.58</v>
      </c>
      <c r="K1166" s="7">
        <f t="shared" si="74"/>
        <v>46023</v>
      </c>
      <c r="L1166" t="str">
        <f t="shared" si="75"/>
        <v>Q1-2026</v>
      </c>
    </row>
    <row r="1167" spans="1:12">
      <c r="A1167" s="6">
        <v>46028</v>
      </c>
      <c r="B1167" t="s">
        <v>28</v>
      </c>
      <c r="C1167" t="s">
        <v>29</v>
      </c>
      <c r="D1167" s="2">
        <v>1710.080691113599</v>
      </c>
      <c r="E1167" s="2">
        <v>1746.646734480094</v>
      </c>
      <c r="F1167" s="2">
        <v>1710.080691113599</v>
      </c>
      <c r="G1167" s="2">
        <v>1744.268432617188</v>
      </c>
      <c r="H1167" s="3">
        <v>1658801</v>
      </c>
      <c r="I1167" s="4">
        <f t="shared" si="72"/>
        <v>0</v>
      </c>
      <c r="J1167" s="2">
        <f t="shared" si="73"/>
        <v>2.38</v>
      </c>
      <c r="K1167" s="7">
        <f t="shared" si="74"/>
        <v>46023</v>
      </c>
      <c r="L1167" t="str">
        <f t="shared" si="75"/>
        <v>Q1-2026</v>
      </c>
    </row>
    <row r="1168" spans="1:12">
      <c r="A1168" s="6">
        <v>46028</v>
      </c>
      <c r="B1168" t="s">
        <v>30</v>
      </c>
      <c r="C1168" t="s">
        <v>31</v>
      </c>
      <c r="D1168" s="2">
        <v>2795.744132599465</v>
      </c>
      <c r="E1168" s="2">
        <v>2823.8997568349032</v>
      </c>
      <c r="F1168" s="2">
        <v>2787.416480935653</v>
      </c>
      <c r="G1168" s="2">
        <v>2821.322265625</v>
      </c>
      <c r="H1168" s="3">
        <v>875891</v>
      </c>
      <c r="I1168" s="4">
        <f t="shared" si="72"/>
        <v>-0.3</v>
      </c>
      <c r="J1168" s="2">
        <f t="shared" si="73"/>
        <v>2.58</v>
      </c>
      <c r="K1168" s="7">
        <f t="shared" si="74"/>
        <v>46023</v>
      </c>
      <c r="L1168" t="str">
        <f t="shared" si="75"/>
        <v>Q1-2026</v>
      </c>
    </row>
    <row r="1169" spans="1:12">
      <c r="A1169" s="6">
        <v>46028</v>
      </c>
      <c r="B1169" t="s">
        <v>32</v>
      </c>
      <c r="C1169" t="s">
        <v>33</v>
      </c>
      <c r="D1169" s="2">
        <v>2374.6462868016629</v>
      </c>
      <c r="E1169" s="2">
        <v>2403.6513104537198</v>
      </c>
      <c r="F1169" s="2">
        <v>2343.9584289592331</v>
      </c>
      <c r="G1169" s="2">
        <v>2400.285400390625</v>
      </c>
      <c r="H1169" s="3">
        <v>1584720</v>
      </c>
      <c r="I1169" s="4">
        <f t="shared" si="72"/>
        <v>-1.29</v>
      </c>
      <c r="J1169" s="2">
        <f t="shared" si="73"/>
        <v>3.37</v>
      </c>
      <c r="K1169" s="7">
        <f t="shared" si="74"/>
        <v>46023</v>
      </c>
      <c r="L1169" t="str">
        <f t="shared" si="75"/>
        <v>Q1-2026</v>
      </c>
    </row>
    <row r="1170" spans="1:12">
      <c r="A1170" s="6">
        <v>46028</v>
      </c>
      <c r="B1170" t="s">
        <v>34</v>
      </c>
      <c r="C1170" t="s">
        <v>35</v>
      </c>
      <c r="D1170" s="2">
        <v>4112.8282987315142</v>
      </c>
      <c r="E1170" s="2">
        <v>4144.5187647944585</v>
      </c>
      <c r="F1170" s="2">
        <v>4089.9516468306979</v>
      </c>
      <c r="G1170" s="2">
        <v>4100.54833984375</v>
      </c>
      <c r="H1170" s="3">
        <v>1205337</v>
      </c>
      <c r="I1170" s="4">
        <f t="shared" si="72"/>
        <v>-0.56000000000000005</v>
      </c>
      <c r="J1170" s="2">
        <f t="shared" si="73"/>
        <v>43.97</v>
      </c>
      <c r="K1170" s="7">
        <f t="shared" si="74"/>
        <v>46023</v>
      </c>
      <c r="L1170" t="str">
        <f t="shared" si="75"/>
        <v>Q1-2026</v>
      </c>
    </row>
    <row r="1171" spans="1:12">
      <c r="A1171" s="6">
        <v>46028</v>
      </c>
      <c r="B1171" t="s">
        <v>36</v>
      </c>
      <c r="C1171" t="s">
        <v>37</v>
      </c>
      <c r="D1171" s="2">
        <v>1303.5945822822939</v>
      </c>
      <c r="E1171" s="2">
        <v>1303.5945822822939</v>
      </c>
      <c r="F1171" s="2">
        <v>1284.4094276018341</v>
      </c>
      <c r="G1171" s="2">
        <v>1292.802978515625</v>
      </c>
      <c r="H1171" s="3">
        <v>6751769</v>
      </c>
      <c r="I1171" s="4">
        <f t="shared" si="72"/>
        <v>-1.47</v>
      </c>
      <c r="J1171" s="2">
        <f t="shared" si="73"/>
        <v>10.79</v>
      </c>
      <c r="K1171" s="7">
        <f t="shared" si="74"/>
        <v>46023</v>
      </c>
      <c r="L1171" t="str">
        <f t="shared" si="75"/>
        <v>Q1-2026</v>
      </c>
    </row>
    <row r="1172" spans="1:12">
      <c r="A1172" s="6">
        <v>46029</v>
      </c>
      <c r="B1172" t="s">
        <v>8</v>
      </c>
      <c r="C1172" t="s">
        <v>9</v>
      </c>
      <c r="D1172" s="2">
        <v>1503.0504545946631</v>
      </c>
      <c r="E1172" s="2">
        <v>1513.0044311151571</v>
      </c>
      <c r="F1172" s="2">
        <v>1491.10568277007</v>
      </c>
      <c r="G1172" s="2">
        <v>1497.277099609375</v>
      </c>
      <c r="H1172" s="3">
        <v>11199340</v>
      </c>
      <c r="I1172" s="4">
        <f t="shared" si="72"/>
        <v>-0.79</v>
      </c>
      <c r="J1172" s="2">
        <f t="shared" si="73"/>
        <v>15.73</v>
      </c>
      <c r="K1172" s="7">
        <f t="shared" si="74"/>
        <v>46023</v>
      </c>
      <c r="L1172" t="str">
        <f t="shared" si="75"/>
        <v>Q1-2026</v>
      </c>
    </row>
    <row r="1173" spans="1:12">
      <c r="A1173" s="6">
        <v>46029</v>
      </c>
      <c r="B1173" t="s">
        <v>10</v>
      </c>
      <c r="C1173" t="s">
        <v>11</v>
      </c>
      <c r="D1173" s="2">
        <v>3125.256542598303</v>
      </c>
      <c r="E1173" s="2">
        <v>3180.8635358265742</v>
      </c>
      <c r="F1173" s="2">
        <v>3106.2712506858779</v>
      </c>
      <c r="G1173" s="2">
        <v>3176.044921875</v>
      </c>
      <c r="H1173" s="3">
        <v>1989442</v>
      </c>
      <c r="I1173" s="4">
        <f t="shared" si="72"/>
        <v>-0.61</v>
      </c>
      <c r="J1173" s="2">
        <f t="shared" si="73"/>
        <v>4.82</v>
      </c>
      <c r="K1173" s="7">
        <f t="shared" si="74"/>
        <v>46023</v>
      </c>
      <c r="L1173" t="str">
        <f t="shared" si="75"/>
        <v>Q1-2026</v>
      </c>
    </row>
    <row r="1174" spans="1:12">
      <c r="A1174" s="6">
        <v>46029</v>
      </c>
      <c r="B1174" t="s">
        <v>12</v>
      </c>
      <c r="C1174" t="s">
        <v>13</v>
      </c>
      <c r="D1174" s="2">
        <v>1580.7926463324391</v>
      </c>
      <c r="E1174" s="2">
        <v>1607.220758685984</v>
      </c>
      <c r="F1174" s="2">
        <v>1580.7926463324391</v>
      </c>
      <c r="G1174" s="2">
        <v>1604.284301757812</v>
      </c>
      <c r="H1174" s="3">
        <v>4508079</v>
      </c>
      <c r="I1174" s="4">
        <f t="shared" si="72"/>
        <v>0</v>
      </c>
      <c r="J1174" s="2">
        <f t="shared" si="73"/>
        <v>2.94</v>
      </c>
      <c r="K1174" s="7">
        <f t="shared" si="74"/>
        <v>46023</v>
      </c>
      <c r="L1174" t="str">
        <f t="shared" si="75"/>
        <v>Q1-2026</v>
      </c>
    </row>
    <row r="1175" spans="1:12">
      <c r="A1175" s="6">
        <v>46029</v>
      </c>
      <c r="B1175" t="s">
        <v>14</v>
      </c>
      <c r="C1175" t="s">
        <v>15</v>
      </c>
      <c r="D1175" s="2">
        <v>940.44557587559768</v>
      </c>
      <c r="E1175" s="2">
        <v>940.88826624086187</v>
      </c>
      <c r="F1175" s="2">
        <v>930.60827905681526</v>
      </c>
      <c r="G1175" s="2">
        <v>933.608642578125</v>
      </c>
      <c r="H1175" s="3">
        <v>52884712</v>
      </c>
      <c r="I1175" s="4">
        <f t="shared" si="72"/>
        <v>-1.05</v>
      </c>
      <c r="J1175" s="2">
        <f t="shared" si="73"/>
        <v>7.28</v>
      </c>
      <c r="K1175" s="7">
        <f t="shared" si="74"/>
        <v>46023</v>
      </c>
      <c r="L1175" t="str">
        <f t="shared" si="75"/>
        <v>Q1-2026</v>
      </c>
    </row>
    <row r="1176" spans="1:12">
      <c r="A1176" s="6">
        <v>46029</v>
      </c>
      <c r="B1176" t="s">
        <v>16</v>
      </c>
      <c r="C1176" t="s">
        <v>17</v>
      </c>
      <c r="D1176" s="2">
        <v>1396.2290239898059</v>
      </c>
      <c r="E1176" s="2">
        <v>1417.945962706425</v>
      </c>
      <c r="F1176" s="2">
        <v>1392.460743829005</v>
      </c>
      <c r="G1176" s="2">
        <v>1415.764282226562</v>
      </c>
      <c r="H1176" s="3">
        <v>15813795</v>
      </c>
      <c r="I1176" s="4">
        <f t="shared" si="72"/>
        <v>-0.27</v>
      </c>
      <c r="J1176" s="2">
        <f t="shared" si="73"/>
        <v>2.1800000000000002</v>
      </c>
      <c r="K1176" s="7">
        <f t="shared" si="74"/>
        <v>46023</v>
      </c>
      <c r="L1176" t="str">
        <f t="shared" si="75"/>
        <v>Q1-2026</v>
      </c>
    </row>
    <row r="1177" spans="1:12">
      <c r="A1177" s="6">
        <v>46029</v>
      </c>
      <c r="B1177" t="s">
        <v>18</v>
      </c>
      <c r="C1177" t="s">
        <v>19</v>
      </c>
      <c r="D1177" s="2">
        <v>255.4135216542962</v>
      </c>
      <c r="E1177" s="2">
        <v>262.64220622941781</v>
      </c>
      <c r="F1177" s="2">
        <v>254.9316093492881</v>
      </c>
      <c r="G1177" s="2">
        <v>261.00369262695313</v>
      </c>
      <c r="H1177" s="3">
        <v>10242615</v>
      </c>
      <c r="I1177" s="4">
        <f t="shared" si="72"/>
        <v>-0.19</v>
      </c>
      <c r="J1177" s="2">
        <f t="shared" si="73"/>
        <v>1.64</v>
      </c>
      <c r="K1177" s="7">
        <f t="shared" si="74"/>
        <v>46023</v>
      </c>
      <c r="L1177" t="str">
        <f t="shared" si="75"/>
        <v>Q1-2026</v>
      </c>
    </row>
    <row r="1178" spans="1:12">
      <c r="A1178" s="6">
        <v>46029</v>
      </c>
      <c r="B1178" t="s">
        <v>20</v>
      </c>
      <c r="C1178" t="s">
        <v>21</v>
      </c>
      <c r="D1178" s="2">
        <v>1562.9583926368221</v>
      </c>
      <c r="E1178" s="2">
        <v>1595.455690223662</v>
      </c>
      <c r="F1178" s="2">
        <v>1559.004615582644</v>
      </c>
      <c r="G1178" s="2">
        <v>1588.898315429688</v>
      </c>
      <c r="H1178" s="3">
        <v>3816569</v>
      </c>
      <c r="I1178" s="4">
        <f t="shared" si="72"/>
        <v>-0.25</v>
      </c>
      <c r="J1178" s="2">
        <f t="shared" si="73"/>
        <v>6.56</v>
      </c>
      <c r="K1178" s="7">
        <f t="shared" si="74"/>
        <v>46023</v>
      </c>
      <c r="L1178" t="str">
        <f t="shared" si="75"/>
        <v>Q1-2026</v>
      </c>
    </row>
    <row r="1179" spans="1:12">
      <c r="A1179" s="6">
        <v>46029</v>
      </c>
      <c r="B1179" t="s">
        <v>22</v>
      </c>
      <c r="C1179" t="s">
        <v>23</v>
      </c>
      <c r="D1179" s="2">
        <v>967.10501553150732</v>
      </c>
      <c r="E1179" s="2">
        <v>970.48426706536486</v>
      </c>
      <c r="F1179" s="2">
        <v>959.15389254572892</v>
      </c>
      <c r="G1179" s="2">
        <v>962.8809814453125</v>
      </c>
      <c r="H1179" s="3">
        <v>7048491</v>
      </c>
      <c r="I1179" s="4">
        <f t="shared" si="72"/>
        <v>-0.82</v>
      </c>
      <c r="J1179" s="2">
        <f t="shared" si="73"/>
        <v>7.6</v>
      </c>
      <c r="K1179" s="7">
        <f t="shared" si="74"/>
        <v>46023</v>
      </c>
      <c r="L1179" t="str">
        <f t="shared" si="75"/>
        <v>Q1-2026</v>
      </c>
    </row>
    <row r="1180" spans="1:12">
      <c r="A1180" s="6">
        <v>46029</v>
      </c>
      <c r="B1180" t="s">
        <v>24</v>
      </c>
      <c r="C1180" t="s">
        <v>25</v>
      </c>
      <c r="D1180" s="2">
        <v>17058.679159276649</v>
      </c>
      <c r="E1180" s="2">
        <v>17077.490239022809</v>
      </c>
      <c r="F1180" s="2">
        <v>16359.699038182671</v>
      </c>
      <c r="G1180" s="2">
        <v>16641.865234375</v>
      </c>
      <c r="H1180" s="3">
        <v>427979</v>
      </c>
      <c r="I1180" s="4">
        <f t="shared" si="72"/>
        <v>-4.0999999999999996</v>
      </c>
      <c r="J1180" s="2">
        <f t="shared" si="73"/>
        <v>435.63</v>
      </c>
      <c r="K1180" s="7">
        <f t="shared" si="74"/>
        <v>46023</v>
      </c>
      <c r="L1180" t="str">
        <f t="shared" si="75"/>
        <v>Q1-2026</v>
      </c>
    </row>
    <row r="1181" spans="1:12">
      <c r="A1181" s="6">
        <v>46029</v>
      </c>
      <c r="B1181" t="s">
        <v>26</v>
      </c>
      <c r="C1181" t="s">
        <v>27</v>
      </c>
      <c r="D1181" s="2">
        <v>364.03025963380031</v>
      </c>
      <c r="E1181" s="2">
        <v>364.22862633609412</v>
      </c>
      <c r="F1181" s="2">
        <v>356.24486596616811</v>
      </c>
      <c r="G1181" s="2">
        <v>360.3607177734375</v>
      </c>
      <c r="H1181" s="3">
        <v>10682229</v>
      </c>
      <c r="I1181" s="4">
        <f t="shared" si="72"/>
        <v>-2.14</v>
      </c>
      <c r="J1181" s="2">
        <f t="shared" si="73"/>
        <v>3.87</v>
      </c>
      <c r="K1181" s="7">
        <f t="shared" si="74"/>
        <v>46023</v>
      </c>
      <c r="L1181" t="str">
        <f t="shared" si="75"/>
        <v>Q1-2026</v>
      </c>
    </row>
    <row r="1182" spans="1:12">
      <c r="A1182" s="6">
        <v>46029</v>
      </c>
      <c r="B1182" t="s">
        <v>28</v>
      </c>
      <c r="C1182" t="s">
        <v>29</v>
      </c>
      <c r="D1182" s="2">
        <v>1739.115529492828</v>
      </c>
      <c r="E1182" s="2">
        <v>1790.248474713884</v>
      </c>
      <c r="F1182" s="2">
        <v>1732.6743608650761</v>
      </c>
      <c r="G1182" s="2">
        <v>1766.465698242188</v>
      </c>
      <c r="H1182" s="3">
        <v>3059500</v>
      </c>
      <c r="I1182" s="4">
        <f t="shared" si="72"/>
        <v>-0.37</v>
      </c>
      <c r="J1182" s="2">
        <f t="shared" si="73"/>
        <v>23.78</v>
      </c>
      <c r="K1182" s="7">
        <f t="shared" si="74"/>
        <v>46023</v>
      </c>
      <c r="L1182" t="str">
        <f t="shared" si="75"/>
        <v>Q1-2026</v>
      </c>
    </row>
    <row r="1183" spans="1:12">
      <c r="A1183" s="6">
        <v>46029</v>
      </c>
      <c r="B1183" t="s">
        <v>30</v>
      </c>
      <c r="C1183" t="s">
        <v>31</v>
      </c>
      <c r="D1183" s="2">
        <v>2821.322161393437</v>
      </c>
      <c r="E1183" s="2">
        <v>2830.1455120455671</v>
      </c>
      <c r="F1183" s="2">
        <v>2777.0066927411872</v>
      </c>
      <c r="G1183" s="2">
        <v>2785.235107421875</v>
      </c>
      <c r="H1183" s="3">
        <v>636748</v>
      </c>
      <c r="I1183" s="4">
        <f t="shared" si="72"/>
        <v>-1.57</v>
      </c>
      <c r="J1183" s="2">
        <f t="shared" si="73"/>
        <v>44.91</v>
      </c>
      <c r="K1183" s="7">
        <f t="shared" si="74"/>
        <v>46023</v>
      </c>
      <c r="L1183" t="str">
        <f t="shared" si="75"/>
        <v>Q1-2026</v>
      </c>
    </row>
    <row r="1184" spans="1:12">
      <c r="A1184" s="6">
        <v>46029</v>
      </c>
      <c r="B1184" t="s">
        <v>32</v>
      </c>
      <c r="C1184" t="s">
        <v>33</v>
      </c>
      <c r="D1184" s="2">
        <v>2391.6729390547889</v>
      </c>
      <c r="E1184" s="2">
        <v>2397.5134344101748</v>
      </c>
      <c r="F1184" s="2">
        <v>2358.015290078024</v>
      </c>
      <c r="G1184" s="2">
        <v>2375.239990234375</v>
      </c>
      <c r="H1184" s="3">
        <v>892690</v>
      </c>
      <c r="I1184" s="4">
        <f t="shared" si="72"/>
        <v>-1.41</v>
      </c>
      <c r="J1184" s="2">
        <f t="shared" si="73"/>
        <v>22.27</v>
      </c>
      <c r="K1184" s="7">
        <f t="shared" si="74"/>
        <v>46023</v>
      </c>
      <c r="L1184" t="str">
        <f t="shared" si="75"/>
        <v>Q1-2026</v>
      </c>
    </row>
    <row r="1185" spans="1:12">
      <c r="A1185" s="6">
        <v>46029</v>
      </c>
      <c r="B1185" t="s">
        <v>34</v>
      </c>
      <c r="C1185" t="s">
        <v>35</v>
      </c>
      <c r="D1185" s="2">
        <v>4066.2833534738088</v>
      </c>
      <c r="E1185" s="2">
        <v>4139.5675639358305</v>
      </c>
      <c r="F1185" s="2">
        <v>4054.3994274529409</v>
      </c>
      <c r="G1185" s="2">
        <v>4116.7900390625</v>
      </c>
      <c r="H1185" s="3">
        <v>1213160</v>
      </c>
      <c r="I1185" s="4">
        <f t="shared" si="72"/>
        <v>-0.28999999999999998</v>
      </c>
      <c r="J1185" s="2">
        <f t="shared" si="73"/>
        <v>22.78</v>
      </c>
      <c r="K1185" s="7">
        <f t="shared" si="74"/>
        <v>46023</v>
      </c>
      <c r="L1185" t="str">
        <f t="shared" si="75"/>
        <v>Q1-2026</v>
      </c>
    </row>
    <row r="1186" spans="1:12">
      <c r="A1186" s="6">
        <v>46029</v>
      </c>
      <c r="B1186" t="s">
        <v>36</v>
      </c>
      <c r="C1186" t="s">
        <v>37</v>
      </c>
      <c r="D1186" s="2">
        <v>1292.0036354433009</v>
      </c>
      <c r="E1186" s="2">
        <v>1297.9990119418781</v>
      </c>
      <c r="F1186" s="2">
        <v>1283.0105706954359</v>
      </c>
      <c r="G1186" s="2">
        <v>1294.501708984375</v>
      </c>
      <c r="H1186" s="3">
        <v>5440002</v>
      </c>
      <c r="I1186" s="4">
        <f t="shared" si="72"/>
        <v>-0.7</v>
      </c>
      <c r="J1186" s="2">
        <f t="shared" si="73"/>
        <v>3.5</v>
      </c>
      <c r="K1186" s="7">
        <f t="shared" si="74"/>
        <v>46023</v>
      </c>
      <c r="L1186" t="str">
        <f t="shared" si="75"/>
        <v>Q1-2026</v>
      </c>
    </row>
    <row r="1187" spans="1:12">
      <c r="A1187" s="6">
        <v>46030</v>
      </c>
      <c r="B1187" t="s">
        <v>8</v>
      </c>
      <c r="C1187" t="s">
        <v>9</v>
      </c>
      <c r="D1187" s="2">
        <v>1493.096502867274</v>
      </c>
      <c r="E1187" s="2">
        <v>1496.97857807643</v>
      </c>
      <c r="F1187" s="2">
        <v>1462.0401442110369</v>
      </c>
      <c r="G1187" s="2">
        <v>1463.831787109375</v>
      </c>
      <c r="H1187" s="3">
        <v>16518684</v>
      </c>
      <c r="I1187" s="4">
        <f t="shared" si="72"/>
        <v>-2.08</v>
      </c>
      <c r="J1187" s="2">
        <f t="shared" si="73"/>
        <v>33.15</v>
      </c>
      <c r="K1187" s="7">
        <f t="shared" si="74"/>
        <v>46023</v>
      </c>
      <c r="L1187" t="str">
        <f t="shared" si="75"/>
        <v>Q1-2026</v>
      </c>
    </row>
    <row r="1188" spans="1:12">
      <c r="A1188" s="6">
        <v>46030</v>
      </c>
      <c r="B1188" t="s">
        <v>10</v>
      </c>
      <c r="C1188" t="s">
        <v>11</v>
      </c>
      <c r="D1188" s="2">
        <v>3167.6601287029762</v>
      </c>
      <c r="E1188" s="2">
        <v>3167.6601287029762</v>
      </c>
      <c r="F1188" s="2">
        <v>3066.565709027404</v>
      </c>
      <c r="G1188" s="2">
        <v>3087.671142578125</v>
      </c>
      <c r="H1188" s="3">
        <v>4159336</v>
      </c>
      <c r="I1188" s="4">
        <f t="shared" si="72"/>
        <v>-3.19</v>
      </c>
      <c r="J1188" s="2">
        <f t="shared" si="73"/>
        <v>79.989999999999995</v>
      </c>
      <c r="K1188" s="7">
        <f t="shared" si="74"/>
        <v>46023</v>
      </c>
      <c r="L1188" t="str">
        <f t="shared" si="75"/>
        <v>Q1-2026</v>
      </c>
    </row>
    <row r="1189" spans="1:12">
      <c r="A1189" s="6">
        <v>46030</v>
      </c>
      <c r="B1189" t="s">
        <v>12</v>
      </c>
      <c r="C1189" t="s">
        <v>13</v>
      </c>
      <c r="D1189" s="2">
        <v>1604.1864033686149</v>
      </c>
      <c r="E1189" s="2">
        <v>1609.472049603195</v>
      </c>
      <c r="F1189" s="2">
        <v>1574.5281413468899</v>
      </c>
      <c r="G1189" s="2">
        <v>1579.128662109375</v>
      </c>
      <c r="H1189" s="3">
        <v>3942131</v>
      </c>
      <c r="I1189" s="4">
        <f t="shared" si="72"/>
        <v>-1.85</v>
      </c>
      <c r="J1189" s="2">
        <f t="shared" si="73"/>
        <v>30.34</v>
      </c>
      <c r="K1189" s="7">
        <f t="shared" si="74"/>
        <v>46023</v>
      </c>
      <c r="L1189" t="str">
        <f t="shared" si="75"/>
        <v>Q1-2026</v>
      </c>
    </row>
    <row r="1190" spans="1:12">
      <c r="A1190" s="6">
        <v>46030</v>
      </c>
      <c r="B1190" t="s">
        <v>14</v>
      </c>
      <c r="C1190" t="s">
        <v>15</v>
      </c>
      <c r="D1190" s="2">
        <v>929.3294156929511</v>
      </c>
      <c r="E1190" s="2">
        <v>937.49435980878525</v>
      </c>
      <c r="F1190" s="2">
        <v>926.08311984473903</v>
      </c>
      <c r="G1190" s="2">
        <v>931.296875</v>
      </c>
      <c r="H1190" s="3">
        <v>21928849</v>
      </c>
      <c r="I1190" s="4">
        <f t="shared" si="72"/>
        <v>-0.35</v>
      </c>
      <c r="J1190" s="2">
        <f t="shared" si="73"/>
        <v>6.2</v>
      </c>
      <c r="K1190" s="7">
        <f t="shared" si="74"/>
        <v>46023</v>
      </c>
      <c r="L1190" t="str">
        <f t="shared" si="75"/>
        <v>Q1-2026</v>
      </c>
    </row>
    <row r="1191" spans="1:12">
      <c r="A1191" s="6">
        <v>46030</v>
      </c>
      <c r="B1191" t="s">
        <v>16</v>
      </c>
      <c r="C1191" t="s">
        <v>17</v>
      </c>
      <c r="D1191" s="2">
        <v>1417.0535778936189</v>
      </c>
      <c r="E1191" s="2">
        <v>1430.1431776389841</v>
      </c>
      <c r="F1191" s="2">
        <v>1411.401278242168</v>
      </c>
      <c r="G1191" s="2">
        <v>1423.00341796875</v>
      </c>
      <c r="H1191" s="3">
        <v>14861699</v>
      </c>
      <c r="I1191" s="4">
        <f t="shared" si="72"/>
        <v>-0.4</v>
      </c>
      <c r="J1191" s="2">
        <f t="shared" si="73"/>
        <v>7.14</v>
      </c>
      <c r="K1191" s="7">
        <f t="shared" si="74"/>
        <v>46023</v>
      </c>
      <c r="L1191" t="str">
        <f t="shared" si="75"/>
        <v>Q1-2026</v>
      </c>
    </row>
    <row r="1192" spans="1:12">
      <c r="A1192" s="6">
        <v>46030</v>
      </c>
      <c r="B1192" t="s">
        <v>18</v>
      </c>
      <c r="C1192" t="s">
        <v>19</v>
      </c>
      <c r="D1192" s="2">
        <v>261.10008508223967</v>
      </c>
      <c r="E1192" s="2">
        <v>261.10008508223967</v>
      </c>
      <c r="F1192" s="2">
        <v>251.8955716770777</v>
      </c>
      <c r="G1192" s="2">
        <v>252.71482849121091</v>
      </c>
      <c r="H1192" s="3">
        <v>9269522</v>
      </c>
      <c r="I1192" s="4">
        <f t="shared" si="72"/>
        <v>-3.53</v>
      </c>
      <c r="J1192" s="2">
        <f t="shared" si="73"/>
        <v>8.39</v>
      </c>
      <c r="K1192" s="7">
        <f t="shared" si="74"/>
        <v>46023</v>
      </c>
      <c r="L1192" t="str">
        <f t="shared" si="75"/>
        <v>Q1-2026</v>
      </c>
    </row>
    <row r="1193" spans="1:12">
      <c r="A1193" s="6">
        <v>46030</v>
      </c>
      <c r="B1193" t="s">
        <v>20</v>
      </c>
      <c r="C1193" t="s">
        <v>21</v>
      </c>
      <c r="D1193" s="2">
        <v>1594.2985190902191</v>
      </c>
      <c r="E1193" s="2">
        <v>1601.337932430645</v>
      </c>
      <c r="F1193" s="2">
        <v>1577.037295130752</v>
      </c>
      <c r="G1193" s="2">
        <v>1587.933959960938</v>
      </c>
      <c r="H1193" s="3">
        <v>3266398</v>
      </c>
      <c r="I1193" s="4">
        <f t="shared" si="72"/>
        <v>-1.08</v>
      </c>
      <c r="J1193" s="2">
        <f t="shared" si="73"/>
        <v>13.4</v>
      </c>
      <c r="K1193" s="7">
        <f t="shared" si="74"/>
        <v>46023</v>
      </c>
      <c r="L1193" t="str">
        <f t="shared" si="75"/>
        <v>Q1-2026</v>
      </c>
    </row>
    <row r="1194" spans="1:12">
      <c r="A1194" s="6">
        <v>46030</v>
      </c>
      <c r="B1194" t="s">
        <v>22</v>
      </c>
      <c r="C1194" t="s">
        <v>23</v>
      </c>
      <c r="D1194" s="2">
        <v>962.58278497772199</v>
      </c>
      <c r="E1194" s="2">
        <v>972.37258046711202</v>
      </c>
      <c r="F1194" s="2">
        <v>959.40232378804012</v>
      </c>
      <c r="G1194" s="2">
        <v>966.01171875</v>
      </c>
      <c r="H1194" s="3">
        <v>4410256</v>
      </c>
      <c r="I1194" s="4">
        <f t="shared" si="72"/>
        <v>-0.33</v>
      </c>
      <c r="J1194" s="2">
        <f t="shared" si="73"/>
        <v>6.36</v>
      </c>
      <c r="K1194" s="7">
        <f t="shared" si="74"/>
        <v>46023</v>
      </c>
      <c r="L1194" t="str">
        <f t="shared" si="75"/>
        <v>Q1-2026</v>
      </c>
    </row>
    <row r="1195" spans="1:12">
      <c r="A1195" s="6">
        <v>46030</v>
      </c>
      <c r="B1195" t="s">
        <v>24</v>
      </c>
      <c r="C1195" t="s">
        <v>25</v>
      </c>
      <c r="D1195" s="2">
        <v>16640.874820908841</v>
      </c>
      <c r="E1195" s="2">
        <v>16640.874820908841</v>
      </c>
      <c r="F1195" s="2">
        <v>16376.529653299211</v>
      </c>
      <c r="G1195" s="2">
        <v>16498.306640625</v>
      </c>
      <c r="H1195" s="3">
        <v>238421</v>
      </c>
      <c r="I1195" s="4">
        <f t="shared" si="72"/>
        <v>-1.59</v>
      </c>
      <c r="J1195" s="2">
        <f t="shared" si="73"/>
        <v>142.57</v>
      </c>
      <c r="K1195" s="7">
        <f t="shared" si="74"/>
        <v>46023</v>
      </c>
      <c r="L1195" t="str">
        <f t="shared" si="75"/>
        <v>Q1-2026</v>
      </c>
    </row>
    <row r="1196" spans="1:12">
      <c r="A1196" s="6">
        <v>46030</v>
      </c>
      <c r="B1196" t="s">
        <v>26</v>
      </c>
      <c r="C1196" t="s">
        <v>27</v>
      </c>
      <c r="D1196" s="2">
        <v>360.3110994837254</v>
      </c>
      <c r="E1196" s="2">
        <v>362.34425218467129</v>
      </c>
      <c r="F1196" s="2">
        <v>355.05471497202768</v>
      </c>
      <c r="G1196" s="2">
        <v>356.4927978515625</v>
      </c>
      <c r="H1196" s="3">
        <v>7353203</v>
      </c>
      <c r="I1196" s="4">
        <f t="shared" si="72"/>
        <v>-1.46</v>
      </c>
      <c r="J1196" s="2">
        <f t="shared" si="73"/>
        <v>5.85</v>
      </c>
      <c r="K1196" s="7">
        <f t="shared" si="74"/>
        <v>46023</v>
      </c>
      <c r="L1196" t="str">
        <f t="shared" si="75"/>
        <v>Q1-2026</v>
      </c>
    </row>
    <row r="1197" spans="1:12">
      <c r="A1197" s="6">
        <v>46030</v>
      </c>
      <c r="B1197" t="s">
        <v>28</v>
      </c>
      <c r="C1197" t="s">
        <v>29</v>
      </c>
      <c r="D1197" s="2">
        <v>1750.0159942827249</v>
      </c>
      <c r="E1197" s="2">
        <v>1762.5019279197361</v>
      </c>
      <c r="F1197" s="2">
        <v>1741.79106891322</v>
      </c>
      <c r="G1197" s="2">
        <v>1744.763916015625</v>
      </c>
      <c r="H1197" s="3">
        <v>1910656</v>
      </c>
      <c r="I1197" s="4">
        <f t="shared" si="72"/>
        <v>-0.47</v>
      </c>
      <c r="J1197" s="2">
        <f t="shared" si="73"/>
        <v>17.739999999999998</v>
      </c>
      <c r="K1197" s="7">
        <f t="shared" si="74"/>
        <v>46023</v>
      </c>
      <c r="L1197" t="str">
        <f t="shared" si="75"/>
        <v>Q1-2026</v>
      </c>
    </row>
    <row r="1198" spans="1:12">
      <c r="A1198" s="6">
        <v>46030</v>
      </c>
      <c r="B1198" t="s">
        <v>30</v>
      </c>
      <c r="C1198" t="s">
        <v>31</v>
      </c>
      <c r="D1198" s="2">
        <v>2770.9591147468818</v>
      </c>
      <c r="E1198" s="2">
        <v>2780.5756328550419</v>
      </c>
      <c r="F1198" s="2">
        <v>2746.273386175963</v>
      </c>
      <c r="G1198" s="2">
        <v>2762.5322265625</v>
      </c>
      <c r="H1198" s="3">
        <v>620031</v>
      </c>
      <c r="I1198" s="4">
        <f t="shared" si="72"/>
        <v>-0.89</v>
      </c>
      <c r="J1198" s="2">
        <f t="shared" si="73"/>
        <v>18.04</v>
      </c>
      <c r="K1198" s="7">
        <f t="shared" si="74"/>
        <v>46023</v>
      </c>
      <c r="L1198" t="str">
        <f t="shared" si="75"/>
        <v>Q1-2026</v>
      </c>
    </row>
    <row r="1199" spans="1:12">
      <c r="A1199" s="6">
        <v>46030</v>
      </c>
      <c r="B1199" t="s">
        <v>32</v>
      </c>
      <c r="C1199" t="s">
        <v>33</v>
      </c>
      <c r="D1199" s="2">
        <v>2364.9448580967751</v>
      </c>
      <c r="E1199" s="2">
        <v>2393.751943204461</v>
      </c>
      <c r="F1199" s="2">
        <v>2344.2553995021431</v>
      </c>
      <c r="G1199" s="2">
        <v>2362.66796875</v>
      </c>
      <c r="H1199" s="3">
        <v>1163828</v>
      </c>
      <c r="I1199" s="4">
        <f t="shared" si="72"/>
        <v>-0.87</v>
      </c>
      <c r="J1199" s="2">
        <f t="shared" si="73"/>
        <v>31.08</v>
      </c>
      <c r="K1199" s="7">
        <f t="shared" si="74"/>
        <v>46023</v>
      </c>
      <c r="L1199" t="str">
        <f t="shared" si="75"/>
        <v>Q1-2026</v>
      </c>
    </row>
    <row r="1200" spans="1:12">
      <c r="A1200" s="6">
        <v>46030</v>
      </c>
      <c r="B1200" t="s">
        <v>34</v>
      </c>
      <c r="C1200" t="s">
        <v>35</v>
      </c>
      <c r="D1200" s="2">
        <v>4119.7607368484723</v>
      </c>
      <c r="E1200" s="2">
        <v>4129.5648784288614</v>
      </c>
      <c r="F1200" s="2">
        <v>3952.6926033998802</v>
      </c>
      <c r="G1200" s="2">
        <v>3989.43359375</v>
      </c>
      <c r="H1200" s="3">
        <v>2328813</v>
      </c>
      <c r="I1200" s="4">
        <f t="shared" si="72"/>
        <v>-4.0599999999999996</v>
      </c>
      <c r="J1200" s="2">
        <f t="shared" si="73"/>
        <v>140.13</v>
      </c>
      <c r="K1200" s="7">
        <f t="shared" si="74"/>
        <v>46023</v>
      </c>
      <c r="L1200" t="str">
        <f t="shared" si="75"/>
        <v>Q1-2026</v>
      </c>
    </row>
    <row r="1201" spans="1:12">
      <c r="A1201" s="6">
        <v>46030</v>
      </c>
      <c r="B1201" t="s">
        <v>36</v>
      </c>
      <c r="C1201" t="s">
        <v>37</v>
      </c>
      <c r="D1201" s="2">
        <v>1290.104962539207</v>
      </c>
      <c r="E1201" s="2">
        <v>1302.1956130273211</v>
      </c>
      <c r="F1201" s="2">
        <v>1282.8106616217649</v>
      </c>
      <c r="G1201" s="2">
        <v>1285.808349609375</v>
      </c>
      <c r="H1201" s="3">
        <v>3949654</v>
      </c>
      <c r="I1201" s="4">
        <f t="shared" si="72"/>
        <v>-0.56999999999999995</v>
      </c>
      <c r="J1201" s="2">
        <f t="shared" si="73"/>
        <v>16.39</v>
      </c>
      <c r="K1201" s="7">
        <f t="shared" si="74"/>
        <v>46023</v>
      </c>
      <c r="L1201" t="str">
        <f t="shared" si="75"/>
        <v>Q1-2026</v>
      </c>
    </row>
    <row r="1202" spans="1:12">
      <c r="A1202" s="6">
        <v>46031</v>
      </c>
      <c r="B1202" t="s">
        <v>8</v>
      </c>
      <c r="C1202" t="s">
        <v>9</v>
      </c>
      <c r="D1202" s="2">
        <v>1458.2576091430019</v>
      </c>
      <c r="E1202" s="2">
        <v>1473.089058957489</v>
      </c>
      <c r="F1202" s="2">
        <v>1458.2576091430019</v>
      </c>
      <c r="G1202" s="2">
        <v>1468.51025390625</v>
      </c>
      <c r="H1202" s="3">
        <v>8335311</v>
      </c>
      <c r="I1202" s="4">
        <f t="shared" si="72"/>
        <v>0</v>
      </c>
      <c r="J1202" s="2">
        <f t="shared" si="73"/>
        <v>4.58</v>
      </c>
      <c r="K1202" s="7">
        <f t="shared" si="74"/>
        <v>46023</v>
      </c>
      <c r="L1202" t="str">
        <f t="shared" si="75"/>
        <v>Q1-2026</v>
      </c>
    </row>
    <row r="1203" spans="1:12">
      <c r="A1203" s="6">
        <v>46031</v>
      </c>
      <c r="B1203" t="s">
        <v>10</v>
      </c>
      <c r="C1203" t="s">
        <v>11</v>
      </c>
      <c r="D1203" s="2">
        <v>3075.239584998998</v>
      </c>
      <c r="E1203" s="2">
        <v>3112.5356118812542</v>
      </c>
      <c r="F1203" s="2">
        <v>3075.239584998998</v>
      </c>
      <c r="G1203" s="2">
        <v>3091.43017578125</v>
      </c>
      <c r="H1203" s="3">
        <v>1938673</v>
      </c>
      <c r="I1203" s="4">
        <f t="shared" si="72"/>
        <v>0</v>
      </c>
      <c r="J1203" s="2">
        <f t="shared" si="73"/>
        <v>21.11</v>
      </c>
      <c r="K1203" s="7">
        <f t="shared" si="74"/>
        <v>46023</v>
      </c>
      <c r="L1203" t="str">
        <f t="shared" si="75"/>
        <v>Q1-2026</v>
      </c>
    </row>
    <row r="1204" spans="1:12">
      <c r="A1204" s="6">
        <v>46031</v>
      </c>
      <c r="B1204" t="s">
        <v>12</v>
      </c>
      <c r="C1204" t="s">
        <v>13</v>
      </c>
      <c r="D1204" s="2">
        <v>1575.8984873520981</v>
      </c>
      <c r="E1204" s="2">
        <v>1596.7473784879789</v>
      </c>
      <c r="F1204" s="2">
        <v>1572.962030543368</v>
      </c>
      <c r="G1204" s="2">
        <v>1579.91162109375</v>
      </c>
      <c r="H1204" s="3">
        <v>6816681</v>
      </c>
      <c r="I1204" s="4">
        <f t="shared" si="72"/>
        <v>-0.19</v>
      </c>
      <c r="J1204" s="2">
        <f t="shared" si="73"/>
        <v>16.84</v>
      </c>
      <c r="K1204" s="7">
        <f t="shared" si="74"/>
        <v>46023</v>
      </c>
      <c r="L1204" t="str">
        <f t="shared" si="75"/>
        <v>Q1-2026</v>
      </c>
    </row>
    <row r="1205" spans="1:12">
      <c r="A1205" s="6">
        <v>46031</v>
      </c>
      <c r="B1205" t="s">
        <v>14</v>
      </c>
      <c r="C1205" t="s">
        <v>15</v>
      </c>
      <c r="D1205" s="2">
        <v>929.62454603883782</v>
      </c>
      <c r="E1205" s="2">
        <v>935.13340822074861</v>
      </c>
      <c r="F1205" s="2">
        <v>918.11489679374756</v>
      </c>
      <c r="G1205" s="2">
        <v>923.72216796875</v>
      </c>
      <c r="H1205" s="3">
        <v>38183839</v>
      </c>
      <c r="I1205" s="4">
        <f t="shared" si="72"/>
        <v>-1.24</v>
      </c>
      <c r="J1205" s="2">
        <f t="shared" si="73"/>
        <v>11.41</v>
      </c>
      <c r="K1205" s="7">
        <f t="shared" si="74"/>
        <v>46023</v>
      </c>
      <c r="L1205" t="str">
        <f t="shared" si="75"/>
        <v>Q1-2026</v>
      </c>
    </row>
    <row r="1206" spans="1:12">
      <c r="A1206" s="6">
        <v>46031</v>
      </c>
      <c r="B1206" t="s">
        <v>16</v>
      </c>
      <c r="C1206" t="s">
        <v>17</v>
      </c>
      <c r="D1206" s="2">
        <v>1415.1693772847859</v>
      </c>
      <c r="E1206" s="2">
        <v>1417.549337423264</v>
      </c>
      <c r="F1206" s="2">
        <v>1389.783418257226</v>
      </c>
      <c r="G1206" s="2">
        <v>1392.56005859375</v>
      </c>
      <c r="H1206" s="3">
        <v>12555636</v>
      </c>
      <c r="I1206" s="4">
        <f t="shared" si="72"/>
        <v>-1.79</v>
      </c>
      <c r="J1206" s="2">
        <f t="shared" si="73"/>
        <v>24.99</v>
      </c>
      <c r="K1206" s="7">
        <f t="shared" si="74"/>
        <v>46023</v>
      </c>
      <c r="L1206" t="str">
        <f t="shared" si="75"/>
        <v>Q1-2026</v>
      </c>
    </row>
    <row r="1207" spans="1:12">
      <c r="A1207" s="6">
        <v>46031</v>
      </c>
      <c r="B1207" t="s">
        <v>18</v>
      </c>
      <c r="C1207" t="s">
        <v>19</v>
      </c>
      <c r="D1207" s="2">
        <v>251.89557628471201</v>
      </c>
      <c r="E1207" s="2">
        <v>254.4015262387725</v>
      </c>
      <c r="F1207" s="2">
        <v>251.02813998888931</v>
      </c>
      <c r="G1207" s="2">
        <v>252.473876953125</v>
      </c>
      <c r="H1207" s="3">
        <v>4735387</v>
      </c>
      <c r="I1207" s="4">
        <f t="shared" si="72"/>
        <v>-0.34</v>
      </c>
      <c r="J1207" s="2">
        <f t="shared" si="73"/>
        <v>1.93</v>
      </c>
      <c r="K1207" s="7">
        <f t="shared" si="74"/>
        <v>46023</v>
      </c>
      <c r="L1207" t="str">
        <f t="shared" si="75"/>
        <v>Q1-2026</v>
      </c>
    </row>
    <row r="1208" spans="1:12">
      <c r="A1208" s="6">
        <v>46031</v>
      </c>
      <c r="B1208" t="s">
        <v>20</v>
      </c>
      <c r="C1208" t="s">
        <v>21</v>
      </c>
      <c r="D1208" s="2">
        <v>1588.3196543103199</v>
      </c>
      <c r="E1208" s="2">
        <v>1615.2240060736849</v>
      </c>
      <c r="F1208" s="2">
        <v>1588.3196543103199</v>
      </c>
      <c r="G1208" s="2">
        <v>1602.109375</v>
      </c>
      <c r="H1208" s="3">
        <v>3281306</v>
      </c>
      <c r="I1208" s="4">
        <f t="shared" si="72"/>
        <v>0</v>
      </c>
      <c r="J1208" s="2">
        <f t="shared" si="73"/>
        <v>13.11</v>
      </c>
      <c r="K1208" s="7">
        <f t="shared" si="74"/>
        <v>46023</v>
      </c>
      <c r="L1208" t="str">
        <f t="shared" si="75"/>
        <v>Q1-2026</v>
      </c>
    </row>
    <row r="1209" spans="1:12">
      <c r="A1209" s="6">
        <v>46031</v>
      </c>
      <c r="B1209" t="s">
        <v>22</v>
      </c>
      <c r="C1209" t="s">
        <v>23</v>
      </c>
      <c r="D1209" s="2">
        <v>964.17296988485828</v>
      </c>
      <c r="E1209" s="2">
        <v>976.99417920751739</v>
      </c>
      <c r="F1209" s="2">
        <v>947.87320512350743</v>
      </c>
      <c r="G1209" s="2">
        <v>953.73712158203125</v>
      </c>
      <c r="H1209" s="3">
        <v>7598970</v>
      </c>
      <c r="I1209" s="4">
        <f t="shared" si="72"/>
        <v>-1.69</v>
      </c>
      <c r="J1209" s="2">
        <f t="shared" si="73"/>
        <v>23.26</v>
      </c>
      <c r="K1209" s="7">
        <f t="shared" si="74"/>
        <v>46023</v>
      </c>
      <c r="L1209" t="str">
        <f t="shared" si="75"/>
        <v>Q1-2026</v>
      </c>
    </row>
    <row r="1210" spans="1:12">
      <c r="A1210" s="6">
        <v>46031</v>
      </c>
      <c r="B1210" t="s">
        <v>24</v>
      </c>
      <c r="C1210" t="s">
        <v>25</v>
      </c>
      <c r="D1210" s="2">
        <v>16497.31694066363</v>
      </c>
      <c r="E1210" s="2">
        <v>16537.90927065026</v>
      </c>
      <c r="F1210" s="2">
        <v>16253.762960743859</v>
      </c>
      <c r="G1210" s="2">
        <v>16336.927734375</v>
      </c>
      <c r="H1210" s="3">
        <v>286302</v>
      </c>
      <c r="I1210" s="4">
        <f t="shared" si="72"/>
        <v>-1.48</v>
      </c>
      <c r="J1210" s="2">
        <f t="shared" si="73"/>
        <v>200.98</v>
      </c>
      <c r="K1210" s="7">
        <f t="shared" si="74"/>
        <v>46023</v>
      </c>
      <c r="L1210" t="str">
        <f t="shared" si="75"/>
        <v>Q1-2026</v>
      </c>
    </row>
    <row r="1211" spans="1:12">
      <c r="A1211" s="6">
        <v>46031</v>
      </c>
      <c r="B1211" t="s">
        <v>26</v>
      </c>
      <c r="C1211" t="s">
        <v>27</v>
      </c>
      <c r="D1211" s="2">
        <v>355.0547211249978</v>
      </c>
      <c r="E1211" s="2">
        <v>356.79032381206139</v>
      </c>
      <c r="F1211" s="2">
        <v>349.30245004019082</v>
      </c>
      <c r="G1211" s="2">
        <v>351.23638916015619</v>
      </c>
      <c r="H1211" s="3">
        <v>8018768</v>
      </c>
      <c r="I1211" s="4">
        <f t="shared" si="72"/>
        <v>-1.62</v>
      </c>
      <c r="J1211" s="2">
        <f t="shared" si="73"/>
        <v>5.55</v>
      </c>
      <c r="K1211" s="7">
        <f t="shared" si="74"/>
        <v>46023</v>
      </c>
      <c r="L1211" t="str">
        <f t="shared" si="75"/>
        <v>Q1-2026</v>
      </c>
    </row>
    <row r="1212" spans="1:12">
      <c r="A1212" s="6">
        <v>46031</v>
      </c>
      <c r="B1212" t="s">
        <v>28</v>
      </c>
      <c r="C1212" t="s">
        <v>29</v>
      </c>
      <c r="D1212" s="2">
        <v>1749.223226983451</v>
      </c>
      <c r="E1212" s="2">
        <v>1749.223226983451</v>
      </c>
      <c r="F1212" s="2">
        <v>1711.3690213932471</v>
      </c>
      <c r="G1212" s="2">
        <v>1714.242797851562</v>
      </c>
      <c r="H1212" s="3">
        <v>1585689</v>
      </c>
      <c r="I1212" s="4">
        <f t="shared" si="72"/>
        <v>-2.16</v>
      </c>
      <c r="J1212" s="2">
        <f t="shared" si="73"/>
        <v>34.979999999999997</v>
      </c>
      <c r="K1212" s="7">
        <f t="shared" si="74"/>
        <v>46023</v>
      </c>
      <c r="L1212" t="str">
        <f t="shared" si="75"/>
        <v>Q1-2026</v>
      </c>
    </row>
    <row r="1213" spans="1:12">
      <c r="A1213" s="6">
        <v>46031</v>
      </c>
      <c r="B1213" t="s">
        <v>30</v>
      </c>
      <c r="C1213" t="s">
        <v>31</v>
      </c>
      <c r="D1213" s="2">
        <v>2765.9028899511432</v>
      </c>
      <c r="E1213" s="2">
        <v>2832.1283656204942</v>
      </c>
      <c r="F1213" s="2">
        <v>2762.2347634960079</v>
      </c>
      <c r="G1213" s="2">
        <v>2801.19677734375</v>
      </c>
      <c r="H1213" s="3">
        <v>1657381</v>
      </c>
      <c r="I1213" s="4">
        <f t="shared" si="72"/>
        <v>-0.13</v>
      </c>
      <c r="J1213" s="2">
        <f t="shared" si="73"/>
        <v>30.93</v>
      </c>
      <c r="K1213" s="7">
        <f t="shared" si="74"/>
        <v>46023</v>
      </c>
      <c r="L1213" t="str">
        <f t="shared" si="75"/>
        <v>Q1-2026</v>
      </c>
    </row>
    <row r="1214" spans="1:12">
      <c r="A1214" s="6">
        <v>46031</v>
      </c>
      <c r="B1214" t="s">
        <v>32</v>
      </c>
      <c r="C1214" t="s">
        <v>33</v>
      </c>
      <c r="D1214" s="2">
        <v>2358.01521397547</v>
      </c>
      <c r="E1214" s="2">
        <v>2361.9749372567062</v>
      </c>
      <c r="F1214" s="2">
        <v>2337.2266667489871</v>
      </c>
      <c r="G1214" s="2">
        <v>2348.7099609375</v>
      </c>
      <c r="H1214" s="3">
        <v>1189464</v>
      </c>
      <c r="I1214" s="4">
        <f t="shared" si="72"/>
        <v>-0.88</v>
      </c>
      <c r="J1214" s="2">
        <f t="shared" si="73"/>
        <v>13.26</v>
      </c>
      <c r="K1214" s="7">
        <f t="shared" si="74"/>
        <v>46023</v>
      </c>
      <c r="L1214" t="str">
        <f t="shared" si="75"/>
        <v>Q1-2026</v>
      </c>
    </row>
    <row r="1215" spans="1:12">
      <c r="A1215" s="6">
        <v>46031</v>
      </c>
      <c r="B1215" t="s">
        <v>34</v>
      </c>
      <c r="C1215" t="s">
        <v>35</v>
      </c>
      <c r="D1215" s="2">
        <v>3990.027939824176</v>
      </c>
      <c r="E1215" s="2">
        <v>4054.3992021941358</v>
      </c>
      <c r="F1215" s="2">
        <v>3967.4484332832039</v>
      </c>
      <c r="G1215" s="2">
        <v>3986.2646484375</v>
      </c>
      <c r="H1215" s="3">
        <v>1718127</v>
      </c>
      <c r="I1215" s="4">
        <f t="shared" si="72"/>
        <v>-0.56999999999999995</v>
      </c>
      <c r="J1215" s="2">
        <f t="shared" si="73"/>
        <v>68.13</v>
      </c>
      <c r="K1215" s="7">
        <f t="shared" si="74"/>
        <v>46023</v>
      </c>
      <c r="L1215" t="str">
        <f t="shared" si="75"/>
        <v>Q1-2026</v>
      </c>
    </row>
    <row r="1216" spans="1:12">
      <c r="A1216" s="6">
        <v>46031</v>
      </c>
      <c r="B1216" t="s">
        <v>36</v>
      </c>
      <c r="C1216" t="s">
        <v>37</v>
      </c>
      <c r="D1216" s="2">
        <v>1285.808419052019</v>
      </c>
      <c r="E1216" s="2">
        <v>1294.3018688089539</v>
      </c>
      <c r="F1216" s="2">
        <v>1269.121215167356</v>
      </c>
      <c r="G1216" s="2">
        <v>1271.019775390625</v>
      </c>
      <c r="H1216" s="3">
        <v>5531427</v>
      </c>
      <c r="I1216" s="4">
        <f t="shared" si="72"/>
        <v>-1.3</v>
      </c>
      <c r="J1216" s="2">
        <f t="shared" si="73"/>
        <v>23.28</v>
      </c>
      <c r="K1216" s="7">
        <f t="shared" si="74"/>
        <v>46023</v>
      </c>
      <c r="L1216" t="str">
        <f t="shared" si="75"/>
        <v>Q1-2026</v>
      </c>
    </row>
    <row r="1217" spans="1:12">
      <c r="A1217" s="6">
        <v>46034</v>
      </c>
      <c r="B1217" t="s">
        <v>8</v>
      </c>
      <c r="C1217" t="s">
        <v>9</v>
      </c>
      <c r="D1217" s="2">
        <v>1468.5102348906721</v>
      </c>
      <c r="E1217" s="2">
        <v>1478.4642116159971</v>
      </c>
      <c r="F1217" s="2">
        <v>1444.322022844729</v>
      </c>
      <c r="G1217" s="2">
        <v>1476.373779296875</v>
      </c>
      <c r="H1217" s="3">
        <v>8883745</v>
      </c>
      <c r="I1217" s="4">
        <f t="shared" si="72"/>
        <v>-1.65</v>
      </c>
      <c r="J1217" s="2">
        <f t="shared" si="73"/>
        <v>2.09</v>
      </c>
      <c r="K1217" s="7">
        <f t="shared" si="74"/>
        <v>46023</v>
      </c>
      <c r="L1217" t="str">
        <f t="shared" si="75"/>
        <v>Q1-2026</v>
      </c>
    </row>
    <row r="1218" spans="1:12">
      <c r="A1218" s="6">
        <v>46034</v>
      </c>
      <c r="B1218" t="s">
        <v>10</v>
      </c>
      <c r="C1218" t="s">
        <v>11</v>
      </c>
      <c r="D1218" s="2">
        <v>3086.8040681109819</v>
      </c>
      <c r="E1218" s="2">
        <v>3134.0264843886712</v>
      </c>
      <c r="F1218" s="2">
        <v>3059.1452713479689</v>
      </c>
      <c r="G1218" s="2">
        <v>3122.076416015625</v>
      </c>
      <c r="H1218" s="3">
        <v>2228342</v>
      </c>
      <c r="I1218" s="4">
        <f t="shared" ref="I1218:I1281" si="76">ROUND(((F1218-D1218)/D1218)*100, 2)</f>
        <v>-0.9</v>
      </c>
      <c r="J1218" s="2">
        <f t="shared" ref="J1218:J1281" si="77">ROUND(E1218-G1218, 2)</f>
        <v>11.95</v>
      </c>
      <c r="K1218" s="7">
        <f t="shared" ref="K1218:K1281" si="78">DATE(YEAR(A1218),MONTH(A1218),1)</f>
        <v>46023</v>
      </c>
      <c r="L1218" t="str">
        <f t="shared" ref="L1218:L1281" si="79">"Q"&amp;INT((MONTH(A1218)-1)/3)+1&amp;"-"&amp;YEAR(A1218)</f>
        <v>Q1-2026</v>
      </c>
    </row>
    <row r="1219" spans="1:12">
      <c r="A1219" s="6">
        <v>46034</v>
      </c>
      <c r="B1219" t="s">
        <v>12</v>
      </c>
      <c r="C1219" t="s">
        <v>13</v>
      </c>
      <c r="D1219" s="2">
        <v>1575.996349102621</v>
      </c>
      <c r="E1219" s="2">
        <v>1579.128641396901</v>
      </c>
      <c r="F1219" s="2">
        <v>1558.867017677559</v>
      </c>
      <c r="G1219" s="2">
        <v>1562.09716796875</v>
      </c>
      <c r="H1219" s="3">
        <v>6985362</v>
      </c>
      <c r="I1219" s="4">
        <f t="shared" si="76"/>
        <v>-1.0900000000000001</v>
      </c>
      <c r="J1219" s="2">
        <f t="shared" si="77"/>
        <v>17.03</v>
      </c>
      <c r="K1219" s="7">
        <f t="shared" si="78"/>
        <v>46023</v>
      </c>
      <c r="L1219" t="str">
        <f t="shared" si="79"/>
        <v>Q1-2026</v>
      </c>
    </row>
    <row r="1220" spans="1:12">
      <c r="A1220" s="6">
        <v>46034</v>
      </c>
      <c r="B1220" t="s">
        <v>14</v>
      </c>
      <c r="C1220" t="s">
        <v>15</v>
      </c>
      <c r="D1220" s="2">
        <v>922.24654466888103</v>
      </c>
      <c r="E1220" s="2">
        <v>926.67332808329161</v>
      </c>
      <c r="F1220" s="2">
        <v>914.47505643563409</v>
      </c>
      <c r="G1220" s="2">
        <v>921.70550537109375</v>
      </c>
      <c r="H1220" s="3">
        <v>21071666</v>
      </c>
      <c r="I1220" s="4">
        <f t="shared" si="76"/>
        <v>-0.84</v>
      </c>
      <c r="J1220" s="2">
        <f t="shared" si="77"/>
        <v>4.97</v>
      </c>
      <c r="K1220" s="7">
        <f t="shared" si="78"/>
        <v>46023</v>
      </c>
      <c r="L1220" t="str">
        <f t="shared" si="79"/>
        <v>Q1-2026</v>
      </c>
    </row>
    <row r="1221" spans="1:12">
      <c r="A1221" s="6">
        <v>46034</v>
      </c>
      <c r="B1221" t="s">
        <v>16</v>
      </c>
      <c r="C1221" t="s">
        <v>17</v>
      </c>
      <c r="D1221" s="2">
        <v>1388.196778146837</v>
      </c>
      <c r="E1221" s="2">
        <v>1412.392816926452</v>
      </c>
      <c r="F1221" s="2">
        <v>1380.065257997649</v>
      </c>
      <c r="G1221" s="2">
        <v>1401.286376953125</v>
      </c>
      <c r="H1221" s="3">
        <v>10923811</v>
      </c>
      <c r="I1221" s="4">
        <f t="shared" si="76"/>
        <v>-0.59</v>
      </c>
      <c r="J1221" s="2">
        <f t="shared" si="77"/>
        <v>11.11</v>
      </c>
      <c r="K1221" s="7">
        <f t="shared" si="78"/>
        <v>46023</v>
      </c>
      <c r="L1221" t="str">
        <f t="shared" si="79"/>
        <v>Q1-2026</v>
      </c>
    </row>
    <row r="1222" spans="1:12">
      <c r="A1222" s="6">
        <v>46034</v>
      </c>
      <c r="B1222" t="s">
        <v>18</v>
      </c>
      <c r="C1222" t="s">
        <v>19</v>
      </c>
      <c r="D1222" s="2">
        <v>251.26908695640981</v>
      </c>
      <c r="E1222" s="2">
        <v>254.9316086997018</v>
      </c>
      <c r="F1222" s="2">
        <v>249.67875282306099</v>
      </c>
      <c r="G1222" s="2">
        <v>253.58226013183591</v>
      </c>
      <c r="H1222" s="3">
        <v>3802164</v>
      </c>
      <c r="I1222" s="4">
        <f t="shared" si="76"/>
        <v>-0.63</v>
      </c>
      <c r="J1222" s="2">
        <f t="shared" si="77"/>
        <v>1.35</v>
      </c>
      <c r="K1222" s="7">
        <f t="shared" si="78"/>
        <v>46023</v>
      </c>
      <c r="L1222" t="str">
        <f t="shared" si="79"/>
        <v>Q1-2026</v>
      </c>
    </row>
    <row r="1223" spans="1:12">
      <c r="A1223" s="6">
        <v>46034</v>
      </c>
      <c r="B1223" t="s">
        <v>20</v>
      </c>
      <c r="C1223" t="s">
        <v>21</v>
      </c>
      <c r="D1223" s="2">
        <v>1599.987883032742</v>
      </c>
      <c r="E1223" s="2">
        <v>1617.3455148686451</v>
      </c>
      <c r="F1223" s="2">
        <v>1582.9195921463611</v>
      </c>
      <c r="G1223" s="2">
        <v>1608.088134765625</v>
      </c>
      <c r="H1223" s="3">
        <v>4175707</v>
      </c>
      <c r="I1223" s="4">
        <f t="shared" si="76"/>
        <v>-1.07</v>
      </c>
      <c r="J1223" s="2">
        <f t="shared" si="77"/>
        <v>9.26</v>
      </c>
      <c r="K1223" s="7">
        <f t="shared" si="78"/>
        <v>46023</v>
      </c>
      <c r="L1223" t="str">
        <f t="shared" si="79"/>
        <v>Q1-2026</v>
      </c>
    </row>
    <row r="1224" spans="1:12">
      <c r="A1224" s="6">
        <v>46034</v>
      </c>
      <c r="B1224" t="s">
        <v>22</v>
      </c>
      <c r="C1224" t="s">
        <v>23</v>
      </c>
      <c r="D1224" s="2">
        <v>952.94203538892225</v>
      </c>
      <c r="E1224" s="2">
        <v>955.5261866418798</v>
      </c>
      <c r="F1224" s="2">
        <v>934.1078015204165</v>
      </c>
      <c r="G1224" s="2">
        <v>946.084228515625</v>
      </c>
      <c r="H1224" s="3">
        <v>5640136</v>
      </c>
      <c r="I1224" s="4">
        <f t="shared" si="76"/>
        <v>-1.98</v>
      </c>
      <c r="J1224" s="2">
        <f t="shared" si="77"/>
        <v>9.44</v>
      </c>
      <c r="K1224" s="7">
        <f t="shared" si="78"/>
        <v>46023</v>
      </c>
      <c r="L1224" t="str">
        <f t="shared" si="79"/>
        <v>Q1-2026</v>
      </c>
    </row>
    <row r="1225" spans="1:12">
      <c r="A1225" s="6">
        <v>46034</v>
      </c>
      <c r="B1225" t="s">
        <v>24</v>
      </c>
      <c r="C1225" t="s">
        <v>25</v>
      </c>
      <c r="D1225" s="2">
        <v>16292.37394275419</v>
      </c>
      <c r="E1225" s="2">
        <v>16449.792966629859</v>
      </c>
      <c r="F1225" s="2">
        <v>16109.21344327622</v>
      </c>
      <c r="G1225" s="2">
        <v>16417.12109375</v>
      </c>
      <c r="H1225" s="3">
        <v>288686</v>
      </c>
      <c r="I1225" s="4">
        <f t="shared" si="76"/>
        <v>-1.1200000000000001</v>
      </c>
      <c r="J1225" s="2">
        <f t="shared" si="77"/>
        <v>32.67</v>
      </c>
      <c r="K1225" s="7">
        <f t="shared" si="78"/>
        <v>46023</v>
      </c>
      <c r="L1225" t="str">
        <f t="shared" si="79"/>
        <v>Q1-2026</v>
      </c>
    </row>
    <row r="1226" spans="1:12">
      <c r="A1226" s="6">
        <v>46034</v>
      </c>
      <c r="B1226" t="s">
        <v>26</v>
      </c>
      <c r="C1226" t="s">
        <v>27</v>
      </c>
      <c r="D1226" s="2">
        <v>350.04626432936749</v>
      </c>
      <c r="E1226" s="2">
        <v>351.23637367383282</v>
      </c>
      <c r="F1226" s="2">
        <v>344.78984969182972</v>
      </c>
      <c r="G1226" s="2">
        <v>347.66598510742188</v>
      </c>
      <c r="H1226" s="3">
        <v>9771562</v>
      </c>
      <c r="I1226" s="4">
        <f t="shared" si="76"/>
        <v>-1.5</v>
      </c>
      <c r="J1226" s="2">
        <f t="shared" si="77"/>
        <v>3.57</v>
      </c>
      <c r="K1226" s="7">
        <f t="shared" si="78"/>
        <v>46023</v>
      </c>
      <c r="L1226" t="str">
        <f t="shared" si="79"/>
        <v>Q1-2026</v>
      </c>
    </row>
    <row r="1227" spans="1:12">
      <c r="A1227" s="6">
        <v>46034</v>
      </c>
      <c r="B1227" t="s">
        <v>28</v>
      </c>
      <c r="C1227" t="s">
        <v>29</v>
      </c>
      <c r="D1227" s="2">
        <v>1716.422750266818</v>
      </c>
      <c r="E1227" s="2">
        <v>1728.5124007275131</v>
      </c>
      <c r="F1227" s="2">
        <v>1698.585668146688</v>
      </c>
      <c r="G1227" s="2">
        <v>1720.287475585938</v>
      </c>
      <c r="H1227" s="3">
        <v>2327272</v>
      </c>
      <c r="I1227" s="4">
        <f t="shared" si="76"/>
        <v>-1.04</v>
      </c>
      <c r="J1227" s="2">
        <f t="shared" si="77"/>
        <v>8.2200000000000006</v>
      </c>
      <c r="K1227" s="7">
        <f t="shared" si="78"/>
        <v>46023</v>
      </c>
      <c r="L1227" t="str">
        <f t="shared" si="79"/>
        <v>Q1-2026</v>
      </c>
    </row>
    <row r="1228" spans="1:12">
      <c r="A1228" s="6">
        <v>46034</v>
      </c>
      <c r="B1228" t="s">
        <v>30</v>
      </c>
      <c r="C1228" t="s">
        <v>31</v>
      </c>
      <c r="D1228" s="2">
        <v>2801.6924515836349</v>
      </c>
      <c r="E1228" s="2">
        <v>2875.0559481926898</v>
      </c>
      <c r="F1228" s="2">
        <v>2783.8472767327839</v>
      </c>
      <c r="G1228" s="2">
        <v>2871.48681640625</v>
      </c>
      <c r="H1228" s="3">
        <v>1743901</v>
      </c>
      <c r="I1228" s="4">
        <f t="shared" si="76"/>
        <v>-0.64</v>
      </c>
      <c r="J1228" s="2">
        <f t="shared" si="77"/>
        <v>3.57</v>
      </c>
      <c r="K1228" s="7">
        <f t="shared" si="78"/>
        <v>46023</v>
      </c>
      <c r="L1228" t="str">
        <f t="shared" si="79"/>
        <v>Q1-2026</v>
      </c>
    </row>
    <row r="1229" spans="1:12">
      <c r="A1229" s="6">
        <v>46034</v>
      </c>
      <c r="B1229" t="s">
        <v>32</v>
      </c>
      <c r="C1229" t="s">
        <v>33</v>
      </c>
      <c r="D1229" s="2">
        <v>2338.2167823092909</v>
      </c>
      <c r="E1229" s="2">
        <v>2389.594099269651</v>
      </c>
      <c r="F1229" s="2">
        <v>2337.2268514107691</v>
      </c>
      <c r="G1229" s="2">
        <v>2381.9716796875</v>
      </c>
      <c r="H1229" s="3">
        <v>1057665</v>
      </c>
      <c r="I1229" s="4">
        <f t="shared" si="76"/>
        <v>-0.04</v>
      </c>
      <c r="J1229" s="2">
        <f t="shared" si="77"/>
        <v>7.62</v>
      </c>
      <c r="K1229" s="7">
        <f t="shared" si="78"/>
        <v>46023</v>
      </c>
      <c r="L1229" t="str">
        <f t="shared" si="79"/>
        <v>Q1-2026</v>
      </c>
    </row>
    <row r="1230" spans="1:12">
      <c r="A1230" s="6">
        <v>46034</v>
      </c>
      <c r="B1230" t="s">
        <v>34</v>
      </c>
      <c r="C1230" t="s">
        <v>35</v>
      </c>
      <c r="D1230" s="2">
        <v>3987.0570458048878</v>
      </c>
      <c r="E1230" s="2">
        <v>3987.9482435148202</v>
      </c>
      <c r="F1230" s="2">
        <v>3906.1473672252209</v>
      </c>
      <c r="G1230" s="2">
        <v>3980.124755859375</v>
      </c>
      <c r="H1230" s="3">
        <v>1386513</v>
      </c>
      <c r="I1230" s="4">
        <f t="shared" si="76"/>
        <v>-2.0299999999999998</v>
      </c>
      <c r="J1230" s="2">
        <f t="shared" si="77"/>
        <v>7.82</v>
      </c>
      <c r="K1230" s="7">
        <f t="shared" si="78"/>
        <v>46023</v>
      </c>
      <c r="L1230" t="str">
        <f t="shared" si="79"/>
        <v>Q1-2026</v>
      </c>
    </row>
    <row r="1231" spans="1:12">
      <c r="A1231" s="6">
        <v>46034</v>
      </c>
      <c r="B1231" t="s">
        <v>36</v>
      </c>
      <c r="C1231" t="s">
        <v>37</v>
      </c>
      <c r="D1231" s="2">
        <v>1273.717632264347</v>
      </c>
      <c r="E1231" s="2">
        <v>1278.6138805845731</v>
      </c>
      <c r="F1231" s="2">
        <v>1265.5240002007999</v>
      </c>
      <c r="G1231" s="2">
        <v>1273.218017578125</v>
      </c>
      <c r="H1231" s="3">
        <v>6489750</v>
      </c>
      <c r="I1231" s="4">
        <f t="shared" si="76"/>
        <v>-0.64</v>
      </c>
      <c r="J1231" s="2">
        <f t="shared" si="77"/>
        <v>5.4</v>
      </c>
      <c r="K1231" s="7">
        <f t="shared" si="78"/>
        <v>46023</v>
      </c>
      <c r="L1231" t="str">
        <f t="shared" si="79"/>
        <v>Q1-2026</v>
      </c>
    </row>
    <row r="1232" spans="1:12">
      <c r="A1232" s="6">
        <v>46035</v>
      </c>
      <c r="B1232" t="s">
        <v>8</v>
      </c>
      <c r="C1232" t="s">
        <v>9</v>
      </c>
      <c r="D1232" s="2">
        <v>1478.1655255904841</v>
      </c>
      <c r="E1232" s="2">
        <v>1478.9618923221501</v>
      </c>
      <c r="F1232" s="2">
        <v>1438.0509512757719</v>
      </c>
      <c r="G1232" s="2">
        <v>1446.11376953125</v>
      </c>
      <c r="H1232" s="3">
        <v>13499760</v>
      </c>
      <c r="I1232" s="4">
        <f t="shared" si="76"/>
        <v>-2.71</v>
      </c>
      <c r="J1232" s="2">
        <f t="shared" si="77"/>
        <v>32.85</v>
      </c>
      <c r="K1232" s="7">
        <f t="shared" si="78"/>
        <v>46023</v>
      </c>
      <c r="L1232" t="str">
        <f t="shared" si="79"/>
        <v>Q1-2026</v>
      </c>
    </row>
    <row r="1233" spans="1:12">
      <c r="A1233" s="6">
        <v>46035</v>
      </c>
      <c r="B1233" t="s">
        <v>10</v>
      </c>
      <c r="C1233" t="s">
        <v>11</v>
      </c>
      <c r="D1233" s="2">
        <v>3127.2804209827059</v>
      </c>
      <c r="E1233" s="2">
        <v>3161.0107182814409</v>
      </c>
      <c r="F1233" s="2">
        <v>3094.0319850739529</v>
      </c>
      <c r="G1233" s="2">
        <v>3149.446044921875</v>
      </c>
      <c r="H1233" s="3">
        <v>5645341</v>
      </c>
      <c r="I1233" s="4">
        <f t="shared" si="76"/>
        <v>-1.06</v>
      </c>
      <c r="J1233" s="2">
        <f t="shared" si="77"/>
        <v>11.56</v>
      </c>
      <c r="K1233" s="7">
        <f t="shared" si="78"/>
        <v>46023</v>
      </c>
      <c r="L1233" t="str">
        <f t="shared" si="79"/>
        <v>Q1-2026</v>
      </c>
    </row>
    <row r="1234" spans="1:12">
      <c r="A1234" s="6">
        <v>46035</v>
      </c>
      <c r="B1234" t="s">
        <v>12</v>
      </c>
      <c r="C1234" t="s">
        <v>13</v>
      </c>
      <c r="D1234" s="2">
        <v>1583.7290294043639</v>
      </c>
      <c r="E1234" s="2">
        <v>1583.7290294043639</v>
      </c>
      <c r="F1234" s="2">
        <v>1552.7983751003351</v>
      </c>
      <c r="G1234" s="2">
        <v>1565.131469726562</v>
      </c>
      <c r="H1234" s="3">
        <v>8080618</v>
      </c>
      <c r="I1234" s="4">
        <f t="shared" si="76"/>
        <v>-1.95</v>
      </c>
      <c r="J1234" s="2">
        <f t="shared" si="77"/>
        <v>18.600000000000001</v>
      </c>
      <c r="K1234" s="7">
        <f t="shared" si="78"/>
        <v>46023</v>
      </c>
      <c r="L1234" t="str">
        <f t="shared" si="79"/>
        <v>Q1-2026</v>
      </c>
    </row>
    <row r="1235" spans="1:12">
      <c r="A1235" s="6">
        <v>46035</v>
      </c>
      <c r="B1235" t="s">
        <v>14</v>
      </c>
      <c r="C1235" t="s">
        <v>15</v>
      </c>
      <c r="D1235" s="2">
        <v>932.28063731942257</v>
      </c>
      <c r="E1235" s="2">
        <v>932.28063731942257</v>
      </c>
      <c r="F1235" s="2">
        <v>917.42628300547051</v>
      </c>
      <c r="G1235" s="2">
        <v>922.0989990234375</v>
      </c>
      <c r="H1235" s="3">
        <v>32042827</v>
      </c>
      <c r="I1235" s="4">
        <f t="shared" si="76"/>
        <v>-1.59</v>
      </c>
      <c r="J1235" s="2">
        <f t="shared" si="77"/>
        <v>10.18</v>
      </c>
      <c r="K1235" s="7">
        <f t="shared" si="78"/>
        <v>46023</v>
      </c>
      <c r="L1235" t="str">
        <f t="shared" si="79"/>
        <v>Q1-2026</v>
      </c>
    </row>
    <row r="1236" spans="1:12">
      <c r="A1236" s="6">
        <v>46035</v>
      </c>
      <c r="B1236" t="s">
        <v>16</v>
      </c>
      <c r="C1236" t="s">
        <v>17</v>
      </c>
      <c r="D1236" s="2">
        <v>1408.1288141663399</v>
      </c>
      <c r="E1236" s="2">
        <v>1429.7466148037461</v>
      </c>
      <c r="F1236" s="2">
        <v>1399.3031938675899</v>
      </c>
      <c r="G1236" s="2">
        <v>1424.986694335938</v>
      </c>
      <c r="H1236" s="3">
        <v>14295581</v>
      </c>
      <c r="I1236" s="4">
        <f t="shared" si="76"/>
        <v>-0.63</v>
      </c>
      <c r="J1236" s="2">
        <f t="shared" si="77"/>
        <v>4.76</v>
      </c>
      <c r="K1236" s="7">
        <f t="shared" si="78"/>
        <v>46023</v>
      </c>
      <c r="L1236" t="str">
        <f t="shared" si="79"/>
        <v>Q1-2026</v>
      </c>
    </row>
    <row r="1237" spans="1:12">
      <c r="A1237" s="6">
        <v>46035</v>
      </c>
      <c r="B1237" t="s">
        <v>18</v>
      </c>
      <c r="C1237" t="s">
        <v>19</v>
      </c>
      <c r="D1237" s="2">
        <v>253.91960286282921</v>
      </c>
      <c r="E1237" s="2">
        <v>255.26895142131909</v>
      </c>
      <c r="F1237" s="2">
        <v>251.84735644009939</v>
      </c>
      <c r="G1237" s="2">
        <v>254.64247131347659</v>
      </c>
      <c r="H1237" s="3">
        <v>6931244</v>
      </c>
      <c r="I1237" s="4">
        <f t="shared" si="76"/>
        <v>-0.82</v>
      </c>
      <c r="J1237" s="2">
        <f t="shared" si="77"/>
        <v>0.63</v>
      </c>
      <c r="K1237" s="7">
        <f t="shared" si="78"/>
        <v>46023</v>
      </c>
      <c r="L1237" t="str">
        <f t="shared" si="79"/>
        <v>Q1-2026</v>
      </c>
    </row>
    <row r="1238" spans="1:12">
      <c r="A1238" s="6">
        <v>46035</v>
      </c>
      <c r="B1238" t="s">
        <v>20</v>
      </c>
      <c r="C1238" t="s">
        <v>21</v>
      </c>
      <c r="D1238" s="2">
        <v>1624.8670665294201</v>
      </c>
      <c r="E1238" s="2">
        <v>1637.0173842556301</v>
      </c>
      <c r="F1238" s="2">
        <v>1567.972611380912</v>
      </c>
      <c r="G1238" s="2">
        <v>1605.580810546875</v>
      </c>
      <c r="H1238" s="3">
        <v>7149266</v>
      </c>
      <c r="I1238" s="4">
        <f t="shared" si="76"/>
        <v>-3.5</v>
      </c>
      <c r="J1238" s="2">
        <f t="shared" si="77"/>
        <v>31.44</v>
      </c>
      <c r="K1238" s="7">
        <f t="shared" si="78"/>
        <v>46023</v>
      </c>
      <c r="L1238" t="str">
        <f t="shared" si="79"/>
        <v>Q1-2026</v>
      </c>
    </row>
    <row r="1239" spans="1:12">
      <c r="A1239" s="6">
        <v>46035</v>
      </c>
      <c r="B1239" t="s">
        <v>22</v>
      </c>
      <c r="C1239" t="s">
        <v>23</v>
      </c>
      <c r="D1239" s="2">
        <v>944.19585570645904</v>
      </c>
      <c r="E1239" s="2">
        <v>950.01009013196028</v>
      </c>
      <c r="F1239" s="2">
        <v>933.26306158775276</v>
      </c>
      <c r="G1239" s="2">
        <v>943.20196533203125</v>
      </c>
      <c r="H1239" s="3">
        <v>6765116</v>
      </c>
      <c r="I1239" s="4">
        <f t="shared" si="76"/>
        <v>-1.1599999999999999</v>
      </c>
      <c r="J1239" s="2">
        <f t="shared" si="77"/>
        <v>6.81</v>
      </c>
      <c r="K1239" s="7">
        <f t="shared" si="78"/>
        <v>46023</v>
      </c>
      <c r="L1239" t="str">
        <f t="shared" si="79"/>
        <v>Q1-2026</v>
      </c>
    </row>
    <row r="1240" spans="1:12">
      <c r="A1240" s="6">
        <v>46035</v>
      </c>
      <c r="B1240" t="s">
        <v>24</v>
      </c>
      <c r="C1240" t="s">
        <v>25</v>
      </c>
      <c r="D1240" s="2">
        <v>16496.326254275809</v>
      </c>
      <c r="E1240" s="2">
        <v>16559.689888909921</v>
      </c>
      <c r="F1240" s="2">
        <v>16130.995298338479</v>
      </c>
      <c r="G1240" s="2">
        <v>16262.6728515625</v>
      </c>
      <c r="H1240" s="3">
        <v>312205</v>
      </c>
      <c r="I1240" s="4">
        <f t="shared" si="76"/>
        <v>-2.21</v>
      </c>
      <c r="J1240" s="2">
        <f t="shared" si="77"/>
        <v>297.02</v>
      </c>
      <c r="K1240" s="7">
        <f t="shared" si="78"/>
        <v>46023</v>
      </c>
      <c r="L1240" t="str">
        <f t="shared" si="79"/>
        <v>Q1-2026</v>
      </c>
    </row>
    <row r="1241" spans="1:12">
      <c r="A1241" s="6">
        <v>46035</v>
      </c>
      <c r="B1241" t="s">
        <v>26</v>
      </c>
      <c r="C1241" t="s">
        <v>27</v>
      </c>
      <c r="D1241" s="2">
        <v>347.76517871263741</v>
      </c>
      <c r="E1241" s="2">
        <v>349.00489489959722</v>
      </c>
      <c r="F1241" s="2">
        <v>342.75673742392348</v>
      </c>
      <c r="G1241" s="2">
        <v>346.87258911132813</v>
      </c>
      <c r="H1241" s="3">
        <v>7527115</v>
      </c>
      <c r="I1241" s="4">
        <f t="shared" si="76"/>
        <v>-1.44</v>
      </c>
      <c r="J1241" s="2">
        <f t="shared" si="77"/>
        <v>2.13</v>
      </c>
      <c r="K1241" s="7">
        <f t="shared" si="78"/>
        <v>46023</v>
      </c>
      <c r="L1241" t="str">
        <f t="shared" si="79"/>
        <v>Q1-2026</v>
      </c>
    </row>
    <row r="1242" spans="1:12">
      <c r="A1242" s="6">
        <v>46035</v>
      </c>
      <c r="B1242" t="s">
        <v>28</v>
      </c>
      <c r="C1242" t="s">
        <v>29</v>
      </c>
      <c r="D1242" s="2">
        <v>1727.2240857083741</v>
      </c>
      <c r="E1242" s="2">
        <v>1728.016893284783</v>
      </c>
      <c r="F1242" s="2">
        <v>1696.603737792743</v>
      </c>
      <c r="G1242" s="2">
        <v>1713.053466796875</v>
      </c>
      <c r="H1242" s="3">
        <v>1770082</v>
      </c>
      <c r="I1242" s="4">
        <f t="shared" si="76"/>
        <v>-1.77</v>
      </c>
      <c r="J1242" s="2">
        <f t="shared" si="77"/>
        <v>14.96</v>
      </c>
      <c r="K1242" s="7">
        <f t="shared" si="78"/>
        <v>46023</v>
      </c>
      <c r="L1242" t="str">
        <f t="shared" si="79"/>
        <v>Q1-2026</v>
      </c>
    </row>
    <row r="1243" spans="1:12">
      <c r="A1243" s="6">
        <v>46035</v>
      </c>
      <c r="B1243" t="s">
        <v>30</v>
      </c>
      <c r="C1243" t="s">
        <v>31</v>
      </c>
      <c r="D1243" s="2">
        <v>2875.0559895993028</v>
      </c>
      <c r="E1243" s="2">
        <v>2889.4312695473</v>
      </c>
      <c r="F1243" s="2">
        <v>2846.1071983880261</v>
      </c>
      <c r="G1243" s="2">
        <v>2861.473876953125</v>
      </c>
      <c r="H1243" s="3">
        <v>1051986</v>
      </c>
      <c r="I1243" s="4">
        <f t="shared" si="76"/>
        <v>-1.01</v>
      </c>
      <c r="J1243" s="2">
        <f t="shared" si="77"/>
        <v>27.96</v>
      </c>
      <c r="K1243" s="7">
        <f t="shared" si="78"/>
        <v>46023</v>
      </c>
      <c r="L1243" t="str">
        <f t="shared" si="79"/>
        <v>Q1-2026</v>
      </c>
    </row>
    <row r="1244" spans="1:12">
      <c r="A1244" s="6">
        <v>46035</v>
      </c>
      <c r="B1244" t="s">
        <v>32</v>
      </c>
      <c r="C1244" t="s">
        <v>33</v>
      </c>
      <c r="D1244" s="2">
        <v>2390.7820229613649</v>
      </c>
      <c r="E1244" s="2">
        <v>2397.8103867825121</v>
      </c>
      <c r="F1244" s="2">
        <v>2341.18639214614</v>
      </c>
      <c r="G1244" s="2">
        <v>2365.439697265625</v>
      </c>
      <c r="H1244" s="3">
        <v>1519683</v>
      </c>
      <c r="I1244" s="4">
        <f t="shared" si="76"/>
        <v>-2.0699999999999998</v>
      </c>
      <c r="J1244" s="2">
        <f t="shared" si="77"/>
        <v>32.369999999999997</v>
      </c>
      <c r="K1244" s="7">
        <f t="shared" si="78"/>
        <v>46023</v>
      </c>
      <c r="L1244" t="str">
        <f t="shared" si="79"/>
        <v>Q1-2026</v>
      </c>
    </row>
    <row r="1245" spans="1:12">
      <c r="A1245" s="6">
        <v>46035</v>
      </c>
      <c r="B1245" t="s">
        <v>34</v>
      </c>
      <c r="C1245" t="s">
        <v>35</v>
      </c>
      <c r="D1245" s="2">
        <v>3989.037699297673</v>
      </c>
      <c r="E1245" s="2">
        <v>3989.037699297673</v>
      </c>
      <c r="F1245" s="2">
        <v>3799.8852165355452</v>
      </c>
      <c r="G1245" s="2">
        <v>3849.797607421875</v>
      </c>
      <c r="H1245" s="3">
        <v>4978634</v>
      </c>
      <c r="I1245" s="4">
        <f t="shared" si="76"/>
        <v>-4.74</v>
      </c>
      <c r="J1245" s="2">
        <f t="shared" si="77"/>
        <v>139.24</v>
      </c>
      <c r="K1245" s="7">
        <f t="shared" si="78"/>
        <v>46023</v>
      </c>
      <c r="L1245" t="str">
        <f t="shared" si="79"/>
        <v>Q1-2026</v>
      </c>
    </row>
    <row r="1246" spans="1:12">
      <c r="A1246" s="6">
        <v>46035</v>
      </c>
      <c r="B1246" t="s">
        <v>36</v>
      </c>
      <c r="C1246" t="s">
        <v>37</v>
      </c>
      <c r="D1246" s="2">
        <v>1273.0182182686831</v>
      </c>
      <c r="E1246" s="2">
        <v>1283.010511975659</v>
      </c>
      <c r="F1246" s="2">
        <v>1257.729960106514</v>
      </c>
      <c r="G1246" s="2">
        <v>1261.027465820312</v>
      </c>
      <c r="H1246" s="3">
        <v>5163166</v>
      </c>
      <c r="I1246" s="4">
        <f t="shared" si="76"/>
        <v>-1.2</v>
      </c>
      <c r="J1246" s="2">
        <f t="shared" si="77"/>
        <v>21.98</v>
      </c>
      <c r="K1246" s="7">
        <f t="shared" si="78"/>
        <v>46023</v>
      </c>
      <c r="L1246" t="str">
        <f t="shared" si="79"/>
        <v>Q1-2026</v>
      </c>
    </row>
    <row r="1247" spans="1:12">
      <c r="A1247" s="6">
        <v>46036</v>
      </c>
      <c r="B1247" t="s">
        <v>8</v>
      </c>
      <c r="C1247" t="s">
        <v>9</v>
      </c>
      <c r="D1247" s="2">
        <v>1437.354247399061</v>
      </c>
      <c r="E1247" s="2">
        <v>1460.248393998907</v>
      </c>
      <c r="F1247" s="2">
        <v>1433.5716876182919</v>
      </c>
      <c r="G1247" s="2">
        <v>1452.086181640625</v>
      </c>
      <c r="H1247" s="3">
        <v>8321764</v>
      </c>
      <c r="I1247" s="4">
        <f t="shared" si="76"/>
        <v>-0.26</v>
      </c>
      <c r="J1247" s="2">
        <f t="shared" si="77"/>
        <v>8.16</v>
      </c>
      <c r="K1247" s="7">
        <f t="shared" si="78"/>
        <v>46023</v>
      </c>
      <c r="L1247" t="str">
        <f t="shared" si="79"/>
        <v>Q1-2026</v>
      </c>
    </row>
    <row r="1248" spans="1:12">
      <c r="A1248" s="6">
        <v>46036</v>
      </c>
      <c r="B1248" t="s">
        <v>10</v>
      </c>
      <c r="C1248" t="s">
        <v>11</v>
      </c>
      <c r="D1248" s="2">
        <v>3141.7360987054622</v>
      </c>
      <c r="E1248" s="2">
        <v>3141.7360987054622</v>
      </c>
      <c r="F1248" s="2">
        <v>3067.5294485213149</v>
      </c>
      <c r="G1248" s="2">
        <v>3076.684814453125</v>
      </c>
      <c r="H1248" s="3">
        <v>3539511</v>
      </c>
      <c r="I1248" s="4">
        <f t="shared" si="76"/>
        <v>-2.36</v>
      </c>
      <c r="J1248" s="2">
        <f t="shared" si="77"/>
        <v>65.05</v>
      </c>
      <c r="K1248" s="7">
        <f t="shared" si="78"/>
        <v>46023</v>
      </c>
      <c r="L1248" t="str">
        <f t="shared" si="79"/>
        <v>Q1-2026</v>
      </c>
    </row>
    <row r="1249" spans="1:12">
      <c r="A1249" s="6">
        <v>46036</v>
      </c>
      <c r="B1249" t="s">
        <v>12</v>
      </c>
      <c r="C1249" t="s">
        <v>13</v>
      </c>
      <c r="D1249" s="2">
        <v>1554.364439769924</v>
      </c>
      <c r="E1249" s="2">
        <v>1582.7501883551431</v>
      </c>
      <c r="F1249" s="2">
        <v>1549.568203180992</v>
      </c>
      <c r="G1249" s="2">
        <v>1565.91455078125</v>
      </c>
      <c r="H1249" s="3">
        <v>7557157</v>
      </c>
      <c r="I1249" s="4">
        <f t="shared" si="76"/>
        <v>-0.31</v>
      </c>
      <c r="J1249" s="2">
        <f t="shared" si="77"/>
        <v>16.84</v>
      </c>
      <c r="K1249" s="7">
        <f t="shared" si="78"/>
        <v>46023</v>
      </c>
      <c r="L1249" t="str">
        <f t="shared" si="79"/>
        <v>Q1-2026</v>
      </c>
    </row>
    <row r="1250" spans="1:12">
      <c r="A1250" s="6">
        <v>46036</v>
      </c>
      <c r="B1250" t="s">
        <v>14</v>
      </c>
      <c r="C1250" t="s">
        <v>15</v>
      </c>
      <c r="D1250" s="2">
        <v>914.86859717015057</v>
      </c>
      <c r="E1250" s="2">
        <v>924.75506838921558</v>
      </c>
      <c r="F1250" s="2">
        <v>905.22805836967962</v>
      </c>
      <c r="G1250" s="2">
        <v>910.39263916015625</v>
      </c>
      <c r="H1250" s="3">
        <v>36688248</v>
      </c>
      <c r="I1250" s="4">
        <f t="shared" si="76"/>
        <v>-1.05</v>
      </c>
      <c r="J1250" s="2">
        <f t="shared" si="77"/>
        <v>14.36</v>
      </c>
      <c r="K1250" s="7">
        <f t="shared" si="78"/>
        <v>46023</v>
      </c>
      <c r="L1250" t="str">
        <f t="shared" si="79"/>
        <v>Q1-2026</v>
      </c>
    </row>
    <row r="1251" spans="1:12">
      <c r="A1251" s="6">
        <v>46036</v>
      </c>
      <c r="B1251" t="s">
        <v>16</v>
      </c>
      <c r="C1251" t="s">
        <v>17</v>
      </c>
      <c r="D1251" s="2">
        <v>1413.6818734015881</v>
      </c>
      <c r="E1251" s="2">
        <v>1431.828932712564</v>
      </c>
      <c r="F1251" s="2">
        <v>1403.0713744699051</v>
      </c>
      <c r="G1251" s="2">
        <v>1406.542114257812</v>
      </c>
      <c r="H1251" s="3">
        <v>13832255</v>
      </c>
      <c r="I1251" s="4">
        <f t="shared" si="76"/>
        <v>-0.75</v>
      </c>
      <c r="J1251" s="2">
        <f t="shared" si="77"/>
        <v>25.29</v>
      </c>
      <c r="K1251" s="7">
        <f t="shared" si="78"/>
        <v>46023</v>
      </c>
      <c r="L1251" t="str">
        <f t="shared" si="79"/>
        <v>Q1-2026</v>
      </c>
    </row>
    <row r="1252" spans="1:12">
      <c r="A1252" s="6">
        <v>46036</v>
      </c>
      <c r="B1252" t="s">
        <v>18</v>
      </c>
      <c r="C1252" t="s">
        <v>19</v>
      </c>
      <c r="D1252" s="2">
        <v>254.4497075731208</v>
      </c>
      <c r="E1252" s="2">
        <v>254.4497075731208</v>
      </c>
      <c r="F1252" s="2">
        <v>250.20888499628759</v>
      </c>
      <c r="G1252" s="2">
        <v>250.78718566894531</v>
      </c>
      <c r="H1252" s="3">
        <v>5625861</v>
      </c>
      <c r="I1252" s="4">
        <f t="shared" si="76"/>
        <v>-1.67</v>
      </c>
      <c r="J1252" s="2">
        <f t="shared" si="77"/>
        <v>3.66</v>
      </c>
      <c r="K1252" s="7">
        <f t="shared" si="78"/>
        <v>46023</v>
      </c>
      <c r="L1252" t="str">
        <f t="shared" si="79"/>
        <v>Q1-2026</v>
      </c>
    </row>
    <row r="1253" spans="1:12">
      <c r="A1253" s="6">
        <v>46036</v>
      </c>
      <c r="B1253" t="s">
        <v>20</v>
      </c>
      <c r="C1253" t="s">
        <v>21</v>
      </c>
      <c r="D1253" s="2">
        <v>1605.580837763031</v>
      </c>
      <c r="E1253" s="2">
        <v>1618.02049662543</v>
      </c>
      <c r="F1253" s="2">
        <v>1590.3446481929659</v>
      </c>
      <c r="G1253" s="2">
        <v>1608.955932617188</v>
      </c>
      <c r="H1253" s="3">
        <v>2470615</v>
      </c>
      <c r="I1253" s="4">
        <f t="shared" si="76"/>
        <v>-0.95</v>
      </c>
      <c r="J1253" s="2">
        <f t="shared" si="77"/>
        <v>9.06</v>
      </c>
      <c r="K1253" s="7">
        <f t="shared" si="78"/>
        <v>46023</v>
      </c>
      <c r="L1253" t="str">
        <f t="shared" si="79"/>
        <v>Q1-2026</v>
      </c>
    </row>
    <row r="1254" spans="1:12">
      <c r="A1254" s="6">
        <v>46036</v>
      </c>
      <c r="B1254" t="s">
        <v>22</v>
      </c>
      <c r="C1254" t="s">
        <v>23</v>
      </c>
      <c r="D1254" s="2">
        <v>941.21416600181499</v>
      </c>
      <c r="E1254" s="2">
        <v>948.07203371488151</v>
      </c>
      <c r="F1254" s="2">
        <v>937.38771240071094</v>
      </c>
      <c r="G1254" s="2">
        <v>940.17059326171875</v>
      </c>
      <c r="H1254" s="3">
        <v>4452202</v>
      </c>
      <c r="I1254" s="4">
        <f t="shared" si="76"/>
        <v>-0.41</v>
      </c>
      <c r="J1254" s="2">
        <f t="shared" si="77"/>
        <v>7.9</v>
      </c>
      <c r="K1254" s="7">
        <f t="shared" si="78"/>
        <v>46023</v>
      </c>
      <c r="L1254" t="str">
        <f t="shared" si="79"/>
        <v>Q1-2026</v>
      </c>
    </row>
    <row r="1255" spans="1:12">
      <c r="A1255" s="6">
        <v>46036</v>
      </c>
      <c r="B1255" t="s">
        <v>24</v>
      </c>
      <c r="C1255" t="s">
        <v>25</v>
      </c>
      <c r="D1255" s="2">
        <v>16227.030979740321</v>
      </c>
      <c r="E1255" s="2">
        <v>16248.81222937755</v>
      </c>
      <c r="F1255" s="2">
        <v>15930.01393923256</v>
      </c>
      <c r="G1255" s="2">
        <v>15991.3974609375</v>
      </c>
      <c r="H1255" s="3">
        <v>240043</v>
      </c>
      <c r="I1255" s="4">
        <f t="shared" si="76"/>
        <v>-1.83</v>
      </c>
      <c r="J1255" s="2">
        <f t="shared" si="77"/>
        <v>257.41000000000003</v>
      </c>
      <c r="K1255" s="7">
        <f t="shared" si="78"/>
        <v>46023</v>
      </c>
      <c r="L1255" t="str">
        <f t="shared" si="79"/>
        <v>Q1-2026</v>
      </c>
    </row>
    <row r="1256" spans="1:12">
      <c r="A1256" s="6">
        <v>46036</v>
      </c>
      <c r="B1256" t="s">
        <v>26</v>
      </c>
      <c r="C1256" t="s">
        <v>27</v>
      </c>
      <c r="D1256" s="2">
        <v>346.12877388951517</v>
      </c>
      <c r="E1256" s="2">
        <v>351.08763884495238</v>
      </c>
      <c r="F1256" s="2">
        <v>344.24441125975102</v>
      </c>
      <c r="G1256" s="2">
        <v>346.92218017578119</v>
      </c>
      <c r="H1256" s="3">
        <v>6249594</v>
      </c>
      <c r="I1256" s="4">
        <f t="shared" si="76"/>
        <v>-0.54</v>
      </c>
      <c r="J1256" s="2">
        <f t="shared" si="77"/>
        <v>4.17</v>
      </c>
      <c r="K1256" s="7">
        <f t="shared" si="78"/>
        <v>46023</v>
      </c>
      <c r="L1256" t="str">
        <f t="shared" si="79"/>
        <v>Q1-2026</v>
      </c>
    </row>
    <row r="1257" spans="1:12">
      <c r="A1257" s="6">
        <v>46036</v>
      </c>
      <c r="B1257" t="s">
        <v>28</v>
      </c>
      <c r="C1257" t="s">
        <v>29</v>
      </c>
      <c r="D1257" s="2">
        <v>1721.377576575032</v>
      </c>
      <c r="E1257" s="2">
        <v>1721.377576575032</v>
      </c>
      <c r="F1257" s="2">
        <v>1673.9110927211291</v>
      </c>
      <c r="G1257" s="2">
        <v>1685.307006835938</v>
      </c>
      <c r="H1257" s="3">
        <v>2479677</v>
      </c>
      <c r="I1257" s="4">
        <f t="shared" si="76"/>
        <v>-2.76</v>
      </c>
      <c r="J1257" s="2">
        <f t="shared" si="77"/>
        <v>36.07</v>
      </c>
      <c r="K1257" s="7">
        <f t="shared" si="78"/>
        <v>46023</v>
      </c>
      <c r="L1257" t="str">
        <f t="shared" si="79"/>
        <v>Q1-2026</v>
      </c>
    </row>
    <row r="1258" spans="1:12">
      <c r="A1258" s="6">
        <v>46036</v>
      </c>
      <c r="B1258" t="s">
        <v>30</v>
      </c>
      <c r="C1258" t="s">
        <v>31</v>
      </c>
      <c r="D1258" s="2">
        <v>2859.193674606754</v>
      </c>
      <c r="E1258" s="2">
        <v>2859.193674606754</v>
      </c>
      <c r="F1258" s="2">
        <v>2783.1534474107511</v>
      </c>
      <c r="G1258" s="2">
        <v>2789.696533203125</v>
      </c>
      <c r="H1258" s="3">
        <v>958254</v>
      </c>
      <c r="I1258" s="4">
        <f t="shared" si="76"/>
        <v>-2.66</v>
      </c>
      <c r="J1258" s="2">
        <f t="shared" si="77"/>
        <v>69.5</v>
      </c>
      <c r="K1258" s="7">
        <f t="shared" si="78"/>
        <v>46023</v>
      </c>
      <c r="L1258" t="str">
        <f t="shared" si="79"/>
        <v>Q1-2026</v>
      </c>
    </row>
    <row r="1259" spans="1:12">
      <c r="A1259" s="6">
        <v>46036</v>
      </c>
      <c r="B1259" t="s">
        <v>32</v>
      </c>
      <c r="C1259" t="s">
        <v>33</v>
      </c>
      <c r="D1259" s="2">
        <v>2374.7450098298482</v>
      </c>
      <c r="E1259" s="2">
        <v>2374.7450098298482</v>
      </c>
      <c r="F1259" s="2">
        <v>2317.428110518576</v>
      </c>
      <c r="G1259" s="2">
        <v>2329.80224609375</v>
      </c>
      <c r="H1259" s="3">
        <v>1027639</v>
      </c>
      <c r="I1259" s="4">
        <f t="shared" si="76"/>
        <v>-2.41</v>
      </c>
      <c r="J1259" s="2">
        <f t="shared" si="77"/>
        <v>44.94</v>
      </c>
      <c r="K1259" s="7">
        <f t="shared" si="78"/>
        <v>46023</v>
      </c>
      <c r="L1259" t="str">
        <f t="shared" si="79"/>
        <v>Q1-2026</v>
      </c>
    </row>
    <row r="1260" spans="1:12">
      <c r="A1260" s="6">
        <v>46036</v>
      </c>
      <c r="B1260" t="s">
        <v>34</v>
      </c>
      <c r="C1260" t="s">
        <v>35</v>
      </c>
      <c r="D1260" s="2">
        <v>3862.2758783975341</v>
      </c>
      <c r="E1260" s="2">
        <v>3867.1283847126028</v>
      </c>
      <c r="F1260" s="2">
        <v>3819.2957768726428</v>
      </c>
      <c r="G1260" s="2">
        <v>3828.40673828125</v>
      </c>
      <c r="H1260" s="3">
        <v>1914244</v>
      </c>
      <c r="I1260" s="4">
        <f t="shared" si="76"/>
        <v>-1.1100000000000001</v>
      </c>
      <c r="J1260" s="2">
        <f t="shared" si="77"/>
        <v>38.72</v>
      </c>
      <c r="K1260" s="7">
        <f t="shared" si="78"/>
        <v>46023</v>
      </c>
      <c r="L1260" t="str">
        <f t="shared" si="79"/>
        <v>Q1-2026</v>
      </c>
    </row>
    <row r="1261" spans="1:12">
      <c r="A1261" s="6">
        <v>46036</v>
      </c>
      <c r="B1261" t="s">
        <v>36</v>
      </c>
      <c r="C1261" t="s">
        <v>37</v>
      </c>
      <c r="D1261" s="2">
        <v>1254.032897797603</v>
      </c>
      <c r="E1261" s="2">
        <v>1306.992056031286</v>
      </c>
      <c r="F1261" s="2">
        <v>1252.5340536966489</v>
      </c>
      <c r="G1261" s="2">
        <v>1297.799194335938</v>
      </c>
      <c r="H1261" s="3">
        <v>7776704</v>
      </c>
      <c r="I1261" s="4">
        <f t="shared" si="76"/>
        <v>-0.12</v>
      </c>
      <c r="J1261" s="2">
        <f t="shared" si="77"/>
        <v>9.19</v>
      </c>
      <c r="K1261" s="7">
        <f t="shared" si="78"/>
        <v>46023</v>
      </c>
      <c r="L1261" t="str">
        <f t="shared" si="79"/>
        <v>Q1-2026</v>
      </c>
    </row>
    <row r="1262" spans="1:12">
      <c r="A1262" s="6">
        <v>46038</v>
      </c>
      <c r="B1262" t="s">
        <v>8</v>
      </c>
      <c r="C1262" t="s">
        <v>9</v>
      </c>
      <c r="D1262" s="2">
        <v>1452.086189834373</v>
      </c>
      <c r="E1262" s="2">
        <v>1473.188572129035</v>
      </c>
      <c r="F1262" s="2">
        <v>1448.4031454989461</v>
      </c>
      <c r="G1262" s="2">
        <v>1451.190307617188</v>
      </c>
      <c r="H1262" s="3">
        <v>17167161</v>
      </c>
      <c r="I1262" s="4">
        <f t="shared" si="76"/>
        <v>-0.25</v>
      </c>
      <c r="J1262" s="2">
        <f t="shared" si="77"/>
        <v>22</v>
      </c>
      <c r="K1262" s="7">
        <f t="shared" si="78"/>
        <v>46023</v>
      </c>
      <c r="L1262" t="str">
        <f t="shared" si="79"/>
        <v>Q1-2026</v>
      </c>
    </row>
    <row r="1263" spans="1:12">
      <c r="A1263" s="6">
        <v>46038</v>
      </c>
      <c r="B1263" t="s">
        <v>10</v>
      </c>
      <c r="C1263" t="s">
        <v>11</v>
      </c>
      <c r="D1263" s="2">
        <v>3159.011044440284</v>
      </c>
      <c r="E1263" s="2">
        <v>3161.4641499415152</v>
      </c>
      <c r="F1263" s="2">
        <v>3111.5190177608938</v>
      </c>
      <c r="G1263" s="2">
        <v>3146.54931640625</v>
      </c>
      <c r="H1263" s="3">
        <v>4293470</v>
      </c>
      <c r="I1263" s="4">
        <f t="shared" si="76"/>
        <v>-1.5</v>
      </c>
      <c r="J1263" s="2">
        <f t="shared" si="77"/>
        <v>14.91</v>
      </c>
      <c r="K1263" s="7">
        <f t="shared" si="78"/>
        <v>46023</v>
      </c>
      <c r="L1263" t="str">
        <f t="shared" si="79"/>
        <v>Q1-2026</v>
      </c>
    </row>
    <row r="1264" spans="1:12">
      <c r="A1264" s="6">
        <v>46038</v>
      </c>
      <c r="B1264" t="s">
        <v>12</v>
      </c>
      <c r="C1264" t="s">
        <v>13</v>
      </c>
      <c r="D1264" s="2">
        <v>1628.4610307331891</v>
      </c>
      <c r="E1264" s="2">
        <v>1658.1192925556761</v>
      </c>
      <c r="F1264" s="2">
        <v>1618.3792672921979</v>
      </c>
      <c r="G1264" s="2">
        <v>1654.00830078125</v>
      </c>
      <c r="H1264" s="3">
        <v>19335957</v>
      </c>
      <c r="I1264" s="4">
        <f t="shared" si="76"/>
        <v>-0.62</v>
      </c>
      <c r="J1264" s="2">
        <f t="shared" si="77"/>
        <v>4.1100000000000003</v>
      </c>
      <c r="K1264" s="7">
        <f t="shared" si="78"/>
        <v>46023</v>
      </c>
      <c r="L1264" t="str">
        <f t="shared" si="79"/>
        <v>Q1-2026</v>
      </c>
    </row>
    <row r="1265" spans="1:12">
      <c r="A1265" s="6">
        <v>46038</v>
      </c>
      <c r="B1265" t="s">
        <v>14</v>
      </c>
      <c r="C1265" t="s">
        <v>15</v>
      </c>
      <c r="D1265" s="2">
        <v>906.99876749754276</v>
      </c>
      <c r="E1265" s="2">
        <v>920.72180858035517</v>
      </c>
      <c r="F1265" s="2">
        <v>904.24433639425558</v>
      </c>
      <c r="G1265" s="2">
        <v>915.95068359375</v>
      </c>
      <c r="H1265" s="3">
        <v>37780235</v>
      </c>
      <c r="I1265" s="4">
        <f t="shared" si="76"/>
        <v>-0.3</v>
      </c>
      <c r="J1265" s="2">
        <f t="shared" si="77"/>
        <v>4.7699999999999996</v>
      </c>
      <c r="K1265" s="7">
        <f t="shared" si="78"/>
        <v>46023</v>
      </c>
      <c r="L1265" t="str">
        <f t="shared" si="79"/>
        <v>Q1-2026</v>
      </c>
    </row>
    <row r="1266" spans="1:12">
      <c r="A1266" s="6">
        <v>46038</v>
      </c>
      <c r="B1266" t="s">
        <v>16</v>
      </c>
      <c r="C1266" t="s">
        <v>17</v>
      </c>
      <c r="D1266" s="2">
        <v>1406.0463569783969</v>
      </c>
      <c r="E1266" s="2">
        <v>1417.053536586569</v>
      </c>
      <c r="F1266" s="2">
        <v>1388.4942566385209</v>
      </c>
      <c r="G1266" s="2">
        <v>1399.005737304688</v>
      </c>
      <c r="H1266" s="3">
        <v>12530886</v>
      </c>
      <c r="I1266" s="4">
        <f t="shared" si="76"/>
        <v>-1.25</v>
      </c>
      <c r="J1266" s="2">
        <f t="shared" si="77"/>
        <v>18.05</v>
      </c>
      <c r="K1266" s="7">
        <f t="shared" si="78"/>
        <v>46023</v>
      </c>
      <c r="L1266" t="str">
        <f t="shared" si="79"/>
        <v>Q1-2026</v>
      </c>
    </row>
    <row r="1267" spans="1:12">
      <c r="A1267" s="6">
        <v>46038</v>
      </c>
      <c r="B1267" t="s">
        <v>18</v>
      </c>
      <c r="C1267" t="s">
        <v>19</v>
      </c>
      <c r="D1267" s="2">
        <v>253.72682723776731</v>
      </c>
      <c r="E1267" s="2">
        <v>260.03986663437161</v>
      </c>
      <c r="F1267" s="2">
        <v>253.48587108654439</v>
      </c>
      <c r="G1267" s="2">
        <v>257.77490234375</v>
      </c>
      <c r="H1267" s="3">
        <v>12028289</v>
      </c>
      <c r="I1267" s="4">
        <f t="shared" si="76"/>
        <v>-0.09</v>
      </c>
      <c r="J1267" s="2">
        <f t="shared" si="77"/>
        <v>2.2599999999999998</v>
      </c>
      <c r="K1267" s="7">
        <f t="shared" si="78"/>
        <v>46023</v>
      </c>
      <c r="L1267" t="str">
        <f t="shared" si="79"/>
        <v>Q1-2026</v>
      </c>
    </row>
    <row r="1268" spans="1:12">
      <c r="A1268" s="6">
        <v>46038</v>
      </c>
      <c r="B1268" t="s">
        <v>20</v>
      </c>
      <c r="C1268" t="s">
        <v>21</v>
      </c>
      <c r="D1268" s="2">
        <v>1622.0685339254819</v>
      </c>
      <c r="E1268" s="2">
        <v>1652.0816820090629</v>
      </c>
      <c r="F1268" s="2">
        <v>1617.017829030963</v>
      </c>
      <c r="G1268" s="2">
        <v>1649.264892578125</v>
      </c>
      <c r="H1268" s="3">
        <v>3098089</v>
      </c>
      <c r="I1268" s="4">
        <f t="shared" si="76"/>
        <v>-0.31</v>
      </c>
      <c r="J1268" s="2">
        <f t="shared" si="77"/>
        <v>2.82</v>
      </c>
      <c r="K1268" s="7">
        <f t="shared" si="78"/>
        <v>46023</v>
      </c>
      <c r="L1268" t="str">
        <f t="shared" si="79"/>
        <v>Q1-2026</v>
      </c>
    </row>
    <row r="1269" spans="1:12">
      <c r="A1269" s="6">
        <v>46038</v>
      </c>
      <c r="B1269" t="s">
        <v>22</v>
      </c>
      <c r="C1269" t="s">
        <v>23</v>
      </c>
      <c r="D1269" s="2">
        <v>934.45568933653715</v>
      </c>
      <c r="E1269" s="2">
        <v>957.11637645983376</v>
      </c>
      <c r="F1269" s="2">
        <v>931.07643798963943</v>
      </c>
      <c r="G1269" s="2">
        <v>944.44427490234375</v>
      </c>
      <c r="H1269" s="3">
        <v>10710080</v>
      </c>
      <c r="I1269" s="4">
        <f t="shared" si="76"/>
        <v>-0.36</v>
      </c>
      <c r="J1269" s="2">
        <f t="shared" si="77"/>
        <v>12.67</v>
      </c>
      <c r="K1269" s="7">
        <f t="shared" si="78"/>
        <v>46023</v>
      </c>
      <c r="L1269" t="str">
        <f t="shared" si="79"/>
        <v>Q1-2026</v>
      </c>
    </row>
    <row r="1270" spans="1:12">
      <c r="A1270" s="6">
        <v>46038</v>
      </c>
      <c r="B1270" t="s">
        <v>24</v>
      </c>
      <c r="C1270" t="s">
        <v>25</v>
      </c>
      <c r="D1270" s="2">
        <v>15840.908553502741</v>
      </c>
      <c r="E1270" s="2">
        <v>16035.949740067739</v>
      </c>
      <c r="F1270" s="2">
        <v>15613.19549304614</v>
      </c>
      <c r="G1270" s="2">
        <v>15701.310546875</v>
      </c>
      <c r="H1270" s="3">
        <v>703056</v>
      </c>
      <c r="I1270" s="4">
        <f t="shared" si="76"/>
        <v>-1.44</v>
      </c>
      <c r="J1270" s="2">
        <f t="shared" si="77"/>
        <v>334.64</v>
      </c>
      <c r="K1270" s="7">
        <f t="shared" si="78"/>
        <v>46023</v>
      </c>
      <c r="L1270" t="str">
        <f t="shared" si="79"/>
        <v>Q1-2026</v>
      </c>
    </row>
    <row r="1271" spans="1:12">
      <c r="A1271" s="6">
        <v>46038</v>
      </c>
      <c r="B1271" t="s">
        <v>26</v>
      </c>
      <c r="C1271" t="s">
        <v>27</v>
      </c>
      <c r="D1271" s="2">
        <v>346.82300955239589</v>
      </c>
      <c r="E1271" s="2">
        <v>356.74073896176952</v>
      </c>
      <c r="F1271" s="2">
        <v>346.77340274544417</v>
      </c>
      <c r="G1271" s="2">
        <v>350.69091796875</v>
      </c>
      <c r="H1271" s="3">
        <v>10735620</v>
      </c>
      <c r="I1271" s="4">
        <f t="shared" si="76"/>
        <v>-0.01</v>
      </c>
      <c r="J1271" s="2">
        <f t="shared" si="77"/>
        <v>6.05</v>
      </c>
      <c r="K1271" s="7">
        <f t="shared" si="78"/>
        <v>46023</v>
      </c>
      <c r="L1271" t="str">
        <f t="shared" si="79"/>
        <v>Q1-2026</v>
      </c>
    </row>
    <row r="1272" spans="1:12">
      <c r="A1272" s="6">
        <v>46038</v>
      </c>
      <c r="B1272" t="s">
        <v>28</v>
      </c>
      <c r="C1272" t="s">
        <v>29</v>
      </c>
      <c r="D1272" s="2">
        <v>1692.5410061961161</v>
      </c>
      <c r="E1272" s="2">
        <v>1692.5410061961161</v>
      </c>
      <c r="F1272" s="2">
        <v>1644.281835026241</v>
      </c>
      <c r="G1272" s="2">
        <v>1653.794921875</v>
      </c>
      <c r="H1272" s="3">
        <v>3697596</v>
      </c>
      <c r="I1272" s="4">
        <f t="shared" si="76"/>
        <v>-2.85</v>
      </c>
      <c r="J1272" s="2">
        <f t="shared" si="77"/>
        <v>38.75</v>
      </c>
      <c r="K1272" s="7">
        <f t="shared" si="78"/>
        <v>46023</v>
      </c>
      <c r="L1272" t="str">
        <f t="shared" si="79"/>
        <v>Q1-2026</v>
      </c>
    </row>
    <row r="1273" spans="1:12">
      <c r="A1273" s="6">
        <v>46038</v>
      </c>
      <c r="B1273" t="s">
        <v>30</v>
      </c>
      <c r="C1273" t="s">
        <v>31</v>
      </c>
      <c r="D1273" s="2">
        <v>2763.920124898385</v>
      </c>
      <c r="E1273" s="2">
        <v>2802.1882085714979</v>
      </c>
      <c r="F1273" s="2">
        <v>2726.8419132056979</v>
      </c>
      <c r="G1273" s="2">
        <v>2733.186767578125</v>
      </c>
      <c r="H1273" s="3">
        <v>1143463</v>
      </c>
      <c r="I1273" s="4">
        <f t="shared" si="76"/>
        <v>-1.34</v>
      </c>
      <c r="J1273" s="2">
        <f t="shared" si="77"/>
        <v>69</v>
      </c>
      <c r="K1273" s="7">
        <f t="shared" si="78"/>
        <v>46023</v>
      </c>
      <c r="L1273" t="str">
        <f t="shared" si="79"/>
        <v>Q1-2026</v>
      </c>
    </row>
    <row r="1274" spans="1:12">
      <c r="A1274" s="6">
        <v>46038</v>
      </c>
      <c r="B1274" t="s">
        <v>32</v>
      </c>
      <c r="C1274" t="s">
        <v>33</v>
      </c>
      <c r="D1274" s="2">
        <v>2346.136245865051</v>
      </c>
      <c r="E1274" s="2">
        <v>2349.0069488178542</v>
      </c>
      <c r="F1274" s="2">
        <v>2325.2486070875739</v>
      </c>
      <c r="G1274" s="2">
        <v>2336.6328125</v>
      </c>
      <c r="H1274" s="3">
        <v>1367606</v>
      </c>
      <c r="I1274" s="4">
        <f t="shared" si="76"/>
        <v>-0.89</v>
      </c>
      <c r="J1274" s="2">
        <f t="shared" si="77"/>
        <v>12.37</v>
      </c>
      <c r="K1274" s="7">
        <f t="shared" si="78"/>
        <v>46023</v>
      </c>
      <c r="L1274" t="str">
        <f t="shared" si="79"/>
        <v>Q1-2026</v>
      </c>
    </row>
    <row r="1275" spans="1:12">
      <c r="A1275" s="6">
        <v>46038</v>
      </c>
      <c r="B1275" t="s">
        <v>34</v>
      </c>
      <c r="C1275" t="s">
        <v>35</v>
      </c>
      <c r="D1275" s="2">
        <v>3852.3725000813511</v>
      </c>
      <c r="E1275" s="2">
        <v>3876.140350981595</v>
      </c>
      <c r="F1275" s="2">
        <v>3811.471941634697</v>
      </c>
      <c r="G1275" s="2">
        <v>3819.097412109375</v>
      </c>
      <c r="H1275" s="3">
        <v>1807300</v>
      </c>
      <c r="I1275" s="4">
        <f t="shared" si="76"/>
        <v>-1.06</v>
      </c>
      <c r="J1275" s="2">
        <f t="shared" si="77"/>
        <v>57.04</v>
      </c>
      <c r="K1275" s="7">
        <f t="shared" si="78"/>
        <v>46023</v>
      </c>
      <c r="L1275" t="str">
        <f t="shared" si="79"/>
        <v>Q1-2026</v>
      </c>
    </row>
    <row r="1276" spans="1:12">
      <c r="A1276" s="6">
        <v>46038</v>
      </c>
      <c r="B1276" t="s">
        <v>36</v>
      </c>
      <c r="C1276" t="s">
        <v>37</v>
      </c>
      <c r="D1276" s="2">
        <v>1297.799189525633</v>
      </c>
      <c r="E1276" s="2">
        <v>1307.9912805838401</v>
      </c>
      <c r="F1276" s="2">
        <v>1285.5086191528719</v>
      </c>
      <c r="G1276" s="2">
        <v>1293.20263671875</v>
      </c>
      <c r="H1276" s="3">
        <v>5175495</v>
      </c>
      <c r="I1276" s="4">
        <f t="shared" si="76"/>
        <v>-0.95</v>
      </c>
      <c r="J1276" s="2">
        <f t="shared" si="77"/>
        <v>14.79</v>
      </c>
      <c r="K1276" s="7">
        <f t="shared" si="78"/>
        <v>46023</v>
      </c>
      <c r="L1276" t="str">
        <f t="shared" si="79"/>
        <v>Q1-2026</v>
      </c>
    </row>
    <row r="1277" spans="1:12">
      <c r="A1277" s="6">
        <v>46041</v>
      </c>
      <c r="B1277" t="s">
        <v>8</v>
      </c>
      <c r="C1277" t="s">
        <v>9</v>
      </c>
      <c r="D1277" s="2">
        <v>1443.923829849143</v>
      </c>
      <c r="E1277" s="2">
        <v>1443.923829849143</v>
      </c>
      <c r="F1277" s="2">
        <v>1396.8415931572961</v>
      </c>
      <c r="G1277" s="2">
        <v>1407.094116210938</v>
      </c>
      <c r="H1277" s="3">
        <v>20392765</v>
      </c>
      <c r="I1277" s="4">
        <f t="shared" si="76"/>
        <v>-3.26</v>
      </c>
      <c r="J1277" s="2">
        <f t="shared" si="77"/>
        <v>36.83</v>
      </c>
      <c r="K1277" s="7">
        <f t="shared" si="78"/>
        <v>46023</v>
      </c>
      <c r="L1277" t="str">
        <f t="shared" si="79"/>
        <v>Q1-2026</v>
      </c>
    </row>
    <row r="1278" spans="1:12">
      <c r="A1278" s="6">
        <v>46041</v>
      </c>
      <c r="B1278" t="s">
        <v>10</v>
      </c>
      <c r="C1278" t="s">
        <v>11</v>
      </c>
      <c r="D1278" s="2">
        <v>3128.2002715520312</v>
      </c>
      <c r="E1278" s="2">
        <v>3159.600023336744</v>
      </c>
      <c r="F1278" s="2">
        <v>3092.9737708429939</v>
      </c>
      <c r="G1278" s="2">
        <v>3104.258056640625</v>
      </c>
      <c r="H1278" s="3">
        <v>3387562</v>
      </c>
      <c r="I1278" s="4">
        <f t="shared" si="76"/>
        <v>-1.1299999999999999</v>
      </c>
      <c r="J1278" s="2">
        <f t="shared" si="77"/>
        <v>55.34</v>
      </c>
      <c r="K1278" s="7">
        <f t="shared" si="78"/>
        <v>46023</v>
      </c>
      <c r="L1278" t="str">
        <f t="shared" si="79"/>
        <v>Q1-2026</v>
      </c>
    </row>
    <row r="1279" spans="1:12">
      <c r="A1279" s="6">
        <v>46041</v>
      </c>
      <c r="B1279" t="s">
        <v>12</v>
      </c>
      <c r="C1279" t="s">
        <v>13</v>
      </c>
      <c r="D1279" s="2">
        <v>1649.3098917471841</v>
      </c>
      <c r="E1279" s="2">
        <v>1649.3098917471841</v>
      </c>
      <c r="F1279" s="2">
        <v>1631.2017416004051</v>
      </c>
      <c r="G1279" s="2">
        <v>1645.59033203125</v>
      </c>
      <c r="H1279" s="3">
        <v>5104958</v>
      </c>
      <c r="I1279" s="4">
        <f t="shared" si="76"/>
        <v>-1.1000000000000001</v>
      </c>
      <c r="J1279" s="2">
        <f t="shared" si="77"/>
        <v>3.72</v>
      </c>
      <c r="K1279" s="7">
        <f t="shared" si="78"/>
        <v>46023</v>
      </c>
      <c r="L1279" t="str">
        <f t="shared" si="79"/>
        <v>Q1-2026</v>
      </c>
    </row>
    <row r="1280" spans="1:12">
      <c r="A1280" s="6">
        <v>46041</v>
      </c>
      <c r="B1280" t="s">
        <v>14</v>
      </c>
      <c r="C1280" t="s">
        <v>15</v>
      </c>
      <c r="D1280" s="2">
        <v>920.67263286154821</v>
      </c>
      <c r="E1280" s="2">
        <v>920.91856528190419</v>
      </c>
      <c r="F1280" s="2">
        <v>904.53944206935682</v>
      </c>
      <c r="G1280" s="2">
        <v>912.80279541015625</v>
      </c>
      <c r="H1280" s="3">
        <v>38191942</v>
      </c>
      <c r="I1280" s="4">
        <f t="shared" si="76"/>
        <v>-1.75</v>
      </c>
      <c r="J1280" s="2">
        <f t="shared" si="77"/>
        <v>8.1199999999999992</v>
      </c>
      <c r="K1280" s="7">
        <f t="shared" si="78"/>
        <v>46023</v>
      </c>
      <c r="L1280" t="str">
        <f t="shared" si="79"/>
        <v>Q1-2026</v>
      </c>
    </row>
    <row r="1281" spans="1:12">
      <c r="A1281" s="6">
        <v>46041</v>
      </c>
      <c r="B1281" t="s">
        <v>16</v>
      </c>
      <c r="C1281" t="s">
        <v>17</v>
      </c>
      <c r="D1281" s="2">
        <v>1388.196805129289</v>
      </c>
      <c r="E1281" s="2">
        <v>1388.295944915395</v>
      </c>
      <c r="F1281" s="2">
        <v>1348.630346489241</v>
      </c>
      <c r="G1281" s="2">
        <v>1369.05810546875</v>
      </c>
      <c r="H1281" s="3">
        <v>23302883</v>
      </c>
      <c r="I1281" s="4">
        <f t="shared" si="76"/>
        <v>-2.85</v>
      </c>
      <c r="J1281" s="2">
        <f t="shared" si="77"/>
        <v>19.239999999999998</v>
      </c>
      <c r="K1281" s="7">
        <f t="shared" si="78"/>
        <v>46023</v>
      </c>
      <c r="L1281" t="str">
        <f t="shared" si="79"/>
        <v>Q1-2026</v>
      </c>
    </row>
    <row r="1282" spans="1:12">
      <c r="A1282" s="6">
        <v>46041</v>
      </c>
      <c r="B1282" t="s">
        <v>18</v>
      </c>
      <c r="C1282" t="s">
        <v>19</v>
      </c>
      <c r="D1282" s="2">
        <v>242.88379986846229</v>
      </c>
      <c r="E1282" s="2">
        <v>242.88379986846229</v>
      </c>
      <c r="F1282" s="2">
        <v>232.81183571210161</v>
      </c>
      <c r="G1282" s="2">
        <v>237.05265808105469</v>
      </c>
      <c r="H1282" s="3">
        <v>65833247</v>
      </c>
      <c r="I1282" s="4">
        <f t="shared" ref="I1282:I1345" si="80">ROUND(((F1282-D1282)/D1282)*100, 2)</f>
        <v>-4.1500000000000004</v>
      </c>
      <c r="J1282" s="2">
        <f t="shared" ref="J1282:J1345" si="81">ROUND(E1282-G1282, 2)</f>
        <v>5.83</v>
      </c>
      <c r="K1282" s="7">
        <f t="shared" ref="K1282:K1345" si="82">DATE(YEAR(A1282),MONTH(A1282),1)</f>
        <v>46023</v>
      </c>
      <c r="L1282" t="str">
        <f t="shared" ref="L1282:L1345" si="83">"Q"&amp;INT((MONTH(A1282)-1)/3)+1&amp;"-"&amp;YEAR(A1282)</f>
        <v>Q1-2026</v>
      </c>
    </row>
    <row r="1283" spans="1:12">
      <c r="A1283" s="6">
        <v>46041</v>
      </c>
      <c r="B1283" t="s">
        <v>20</v>
      </c>
      <c r="C1283" t="s">
        <v>21</v>
      </c>
      <c r="D1283" s="2">
        <v>1649.264930539804</v>
      </c>
      <c r="E1283" s="2">
        <v>1669.6621999987769</v>
      </c>
      <c r="F1283" s="2">
        <v>1636.735155587377</v>
      </c>
      <c r="G1283" s="2">
        <v>1667.525390625</v>
      </c>
      <c r="H1283" s="3">
        <v>2087629</v>
      </c>
      <c r="I1283" s="4">
        <f t="shared" si="80"/>
        <v>-0.76</v>
      </c>
      <c r="J1283" s="2">
        <f t="shared" si="81"/>
        <v>2.14</v>
      </c>
      <c r="K1283" s="7">
        <f t="shared" si="82"/>
        <v>46023</v>
      </c>
      <c r="L1283" t="str">
        <f t="shared" si="83"/>
        <v>Q1-2026</v>
      </c>
    </row>
    <row r="1284" spans="1:12">
      <c r="A1284" s="6">
        <v>46041</v>
      </c>
      <c r="B1284" t="s">
        <v>22</v>
      </c>
      <c r="C1284" t="s">
        <v>23</v>
      </c>
      <c r="D1284" s="2">
        <v>944.69274394655224</v>
      </c>
      <c r="E1284" s="2">
        <v>966.9559112565895</v>
      </c>
      <c r="F1284" s="2">
        <v>943.05280066270211</v>
      </c>
      <c r="G1284" s="2">
        <v>963.5269775390625</v>
      </c>
      <c r="H1284" s="3">
        <v>7000442</v>
      </c>
      <c r="I1284" s="4">
        <f t="shared" si="80"/>
        <v>-0.17</v>
      </c>
      <c r="J1284" s="2">
        <f t="shared" si="81"/>
        <v>3.43</v>
      </c>
      <c r="K1284" s="7">
        <f t="shared" si="82"/>
        <v>46023</v>
      </c>
      <c r="L1284" t="str">
        <f t="shared" si="83"/>
        <v>Q1-2026</v>
      </c>
    </row>
    <row r="1285" spans="1:12">
      <c r="A1285" s="6">
        <v>46041</v>
      </c>
      <c r="B1285" t="s">
        <v>24</v>
      </c>
      <c r="C1285" t="s">
        <v>25</v>
      </c>
      <c r="D1285" s="2">
        <v>15701.311166584081</v>
      </c>
      <c r="E1285" s="2">
        <v>16080.50293004973</v>
      </c>
      <c r="F1285" s="2">
        <v>15655.768552695259</v>
      </c>
      <c r="G1285" s="2">
        <v>16015.1591796875</v>
      </c>
      <c r="H1285" s="3">
        <v>385141</v>
      </c>
      <c r="I1285" s="4">
        <f t="shared" si="80"/>
        <v>-0.28999999999999998</v>
      </c>
      <c r="J1285" s="2">
        <f t="shared" si="81"/>
        <v>65.34</v>
      </c>
      <c r="K1285" s="7">
        <f t="shared" si="82"/>
        <v>46023</v>
      </c>
      <c r="L1285" t="str">
        <f t="shared" si="83"/>
        <v>Q1-2026</v>
      </c>
    </row>
    <row r="1286" spans="1:12">
      <c r="A1286" s="6">
        <v>46041</v>
      </c>
      <c r="B1286" t="s">
        <v>26</v>
      </c>
      <c r="C1286" t="s">
        <v>27</v>
      </c>
      <c r="D1286" s="2">
        <v>350.69091763465161</v>
      </c>
      <c r="E1286" s="2">
        <v>350.69091763465161</v>
      </c>
      <c r="F1286" s="2">
        <v>335.56638029976591</v>
      </c>
      <c r="G1286" s="2">
        <v>341.16989135742188</v>
      </c>
      <c r="H1286" s="3">
        <v>14364958</v>
      </c>
      <c r="I1286" s="4">
        <f t="shared" si="80"/>
        <v>-4.3099999999999996</v>
      </c>
      <c r="J1286" s="2">
        <f t="shared" si="81"/>
        <v>9.52</v>
      </c>
      <c r="K1286" s="7">
        <f t="shared" si="82"/>
        <v>46023</v>
      </c>
      <c r="L1286" t="str">
        <f t="shared" si="83"/>
        <v>Q1-2026</v>
      </c>
    </row>
    <row r="1287" spans="1:12">
      <c r="A1287" s="6">
        <v>46041</v>
      </c>
      <c r="B1287" t="s">
        <v>28</v>
      </c>
      <c r="C1287" t="s">
        <v>29</v>
      </c>
      <c r="D1287" s="2">
        <v>1635.065953596524</v>
      </c>
      <c r="E1287" s="2">
        <v>1672.0284020246179</v>
      </c>
      <c r="F1287" s="2">
        <v>1585.5185004572349</v>
      </c>
      <c r="G1287" s="2">
        <v>1660.236083984375</v>
      </c>
      <c r="H1287" s="3">
        <v>2975272</v>
      </c>
      <c r="I1287" s="4">
        <f t="shared" si="80"/>
        <v>-3.03</v>
      </c>
      <c r="J1287" s="2">
        <f t="shared" si="81"/>
        <v>11.79</v>
      </c>
      <c r="K1287" s="7">
        <f t="shared" si="82"/>
        <v>46023</v>
      </c>
      <c r="L1287" t="str">
        <f t="shared" si="83"/>
        <v>Q1-2026</v>
      </c>
    </row>
    <row r="1288" spans="1:12">
      <c r="A1288" s="6">
        <v>46041</v>
      </c>
      <c r="B1288" t="s">
        <v>30</v>
      </c>
      <c r="C1288" t="s">
        <v>31</v>
      </c>
      <c r="D1288" s="2">
        <v>2733.1867267262619</v>
      </c>
      <c r="E1288" s="2">
        <v>2762.3339910381019</v>
      </c>
      <c r="F1288" s="2">
        <v>2701.2637399433961</v>
      </c>
      <c r="G1288" s="2">
        <v>2730.311767578125</v>
      </c>
      <c r="H1288" s="3">
        <v>1342048</v>
      </c>
      <c r="I1288" s="4">
        <f t="shared" si="80"/>
        <v>-1.17</v>
      </c>
      <c r="J1288" s="2">
        <f t="shared" si="81"/>
        <v>32.020000000000003</v>
      </c>
      <c r="K1288" s="7">
        <f t="shared" si="82"/>
        <v>46023</v>
      </c>
      <c r="L1288" t="str">
        <f t="shared" si="83"/>
        <v>Q1-2026</v>
      </c>
    </row>
    <row r="1289" spans="1:12">
      <c r="A1289" s="6">
        <v>46041</v>
      </c>
      <c r="B1289" t="s">
        <v>32</v>
      </c>
      <c r="C1289" t="s">
        <v>33</v>
      </c>
      <c r="D1289" s="2">
        <v>2329.3073017458501</v>
      </c>
      <c r="E1289" s="2">
        <v>2400.9781989727871</v>
      </c>
      <c r="F1289" s="2">
        <v>2329.3073017458501</v>
      </c>
      <c r="G1289" s="2">
        <v>2389.593994140625</v>
      </c>
      <c r="H1289" s="3">
        <v>1505238</v>
      </c>
      <c r="I1289" s="4">
        <f t="shared" si="80"/>
        <v>0</v>
      </c>
      <c r="J1289" s="2">
        <f t="shared" si="81"/>
        <v>11.38</v>
      </c>
      <c r="K1289" s="7">
        <f t="shared" si="82"/>
        <v>46023</v>
      </c>
      <c r="L1289" t="str">
        <f t="shared" si="83"/>
        <v>Q1-2026</v>
      </c>
    </row>
    <row r="1290" spans="1:12">
      <c r="A1290" s="6">
        <v>46041</v>
      </c>
      <c r="B1290" t="s">
        <v>34</v>
      </c>
      <c r="C1290" t="s">
        <v>35</v>
      </c>
      <c r="D1290" s="2">
        <v>3783.0495812141048</v>
      </c>
      <c r="E1290" s="2">
        <v>3840.8845880477361</v>
      </c>
      <c r="F1290" s="2">
        <v>3771.6608193858428</v>
      </c>
      <c r="G1290" s="2">
        <v>3832.367919921875</v>
      </c>
      <c r="H1290" s="3">
        <v>1709380</v>
      </c>
      <c r="I1290" s="4">
        <f t="shared" si="80"/>
        <v>-0.3</v>
      </c>
      <c r="J1290" s="2">
        <f t="shared" si="81"/>
        <v>8.52</v>
      </c>
      <c r="K1290" s="7">
        <f t="shared" si="82"/>
        <v>46023</v>
      </c>
      <c r="L1290" t="str">
        <f t="shared" si="83"/>
        <v>Q1-2026</v>
      </c>
    </row>
    <row r="1291" spans="1:12">
      <c r="A1291" s="6">
        <v>46041</v>
      </c>
      <c r="B1291" t="s">
        <v>36</v>
      </c>
      <c r="C1291" t="s">
        <v>37</v>
      </c>
      <c r="D1291" s="2">
        <v>1305.9928169440129</v>
      </c>
      <c r="E1291" s="2">
        <v>1325.9774048084971</v>
      </c>
      <c r="F1291" s="2">
        <v>1296.1004215558451</v>
      </c>
      <c r="G1291" s="2">
        <v>1306.492431640625</v>
      </c>
      <c r="H1291" s="3">
        <v>8833223</v>
      </c>
      <c r="I1291" s="4">
        <f t="shared" si="80"/>
        <v>-0.76</v>
      </c>
      <c r="J1291" s="2">
        <f t="shared" si="81"/>
        <v>19.48</v>
      </c>
      <c r="K1291" s="7">
        <f t="shared" si="82"/>
        <v>46023</v>
      </c>
      <c r="L1291" t="str">
        <f t="shared" si="83"/>
        <v>Q1-2026</v>
      </c>
    </row>
    <row r="1292" spans="1:12">
      <c r="A1292" s="6">
        <v>46042</v>
      </c>
      <c r="B1292" t="s">
        <v>8</v>
      </c>
      <c r="C1292" t="s">
        <v>9</v>
      </c>
      <c r="D1292" s="2">
        <v>1404.207443054835</v>
      </c>
      <c r="E1292" s="2">
        <v>1409.483099303937</v>
      </c>
      <c r="F1292" s="2">
        <v>1383.602759909938</v>
      </c>
      <c r="G1292" s="2">
        <v>1387.584350585938</v>
      </c>
      <c r="H1292" s="3">
        <v>13189498</v>
      </c>
      <c r="I1292" s="4">
        <f t="shared" si="80"/>
        <v>-1.47</v>
      </c>
      <c r="J1292" s="2">
        <f t="shared" si="81"/>
        <v>21.9</v>
      </c>
      <c r="K1292" s="7">
        <f t="shared" si="82"/>
        <v>46023</v>
      </c>
      <c r="L1292" t="str">
        <f t="shared" si="83"/>
        <v>Q1-2026</v>
      </c>
    </row>
    <row r="1293" spans="1:12">
      <c r="A1293" s="6">
        <v>46042</v>
      </c>
      <c r="B1293" t="s">
        <v>10</v>
      </c>
      <c r="C1293" t="s">
        <v>11</v>
      </c>
      <c r="D1293" s="2">
        <v>3092.4832014713102</v>
      </c>
      <c r="E1293" s="2">
        <v>3100.725540628287</v>
      </c>
      <c r="F1293" s="2">
        <v>3033.118044759914</v>
      </c>
      <c r="G1293" s="2">
        <v>3044.10791015625</v>
      </c>
      <c r="H1293" s="3">
        <v>4499273</v>
      </c>
      <c r="I1293" s="4">
        <f t="shared" si="80"/>
        <v>-1.92</v>
      </c>
      <c r="J1293" s="2">
        <f t="shared" si="81"/>
        <v>56.62</v>
      </c>
      <c r="K1293" s="7">
        <f t="shared" si="82"/>
        <v>46023</v>
      </c>
      <c r="L1293" t="str">
        <f t="shared" si="83"/>
        <v>Q1-2026</v>
      </c>
    </row>
    <row r="1294" spans="1:12">
      <c r="A1294" s="6">
        <v>46042</v>
      </c>
      <c r="B1294" t="s">
        <v>12</v>
      </c>
      <c r="C1294" t="s">
        <v>13</v>
      </c>
      <c r="D1294" s="2">
        <v>1637.5641409981631</v>
      </c>
      <c r="E1294" s="2">
        <v>1644.6115898062919</v>
      </c>
      <c r="F1294" s="2">
        <v>1617.8899035477921</v>
      </c>
      <c r="G1294" s="2">
        <v>1623.762817382812</v>
      </c>
      <c r="H1294" s="3">
        <v>6406503</v>
      </c>
      <c r="I1294" s="4">
        <f t="shared" si="80"/>
        <v>-1.2</v>
      </c>
      <c r="J1294" s="2">
        <f t="shared" si="81"/>
        <v>20.85</v>
      </c>
      <c r="K1294" s="7">
        <f t="shared" si="82"/>
        <v>46023</v>
      </c>
      <c r="L1294" t="str">
        <f t="shared" si="83"/>
        <v>Q1-2026</v>
      </c>
    </row>
    <row r="1295" spans="1:12">
      <c r="A1295" s="6">
        <v>46042</v>
      </c>
      <c r="B1295" t="s">
        <v>14</v>
      </c>
      <c r="C1295" t="s">
        <v>15</v>
      </c>
      <c r="D1295" s="2">
        <v>914.17996189302221</v>
      </c>
      <c r="E1295" s="2">
        <v>919.29536813827247</v>
      </c>
      <c r="F1295" s="2">
        <v>904.63777217359097</v>
      </c>
      <c r="G1295" s="2">
        <v>916.049072265625</v>
      </c>
      <c r="H1295" s="3">
        <v>36022727</v>
      </c>
      <c r="I1295" s="4">
        <f t="shared" si="80"/>
        <v>-1.04</v>
      </c>
      <c r="J1295" s="2">
        <f t="shared" si="81"/>
        <v>3.25</v>
      </c>
      <c r="K1295" s="7">
        <f t="shared" si="82"/>
        <v>46023</v>
      </c>
      <c r="L1295" t="str">
        <f t="shared" si="83"/>
        <v>Q1-2026</v>
      </c>
    </row>
    <row r="1296" spans="1:12">
      <c r="A1296" s="6">
        <v>46042</v>
      </c>
      <c r="B1296" t="s">
        <v>16</v>
      </c>
      <c r="C1296" t="s">
        <v>17</v>
      </c>
      <c r="D1296" s="2">
        <v>1363.2074390203591</v>
      </c>
      <c r="E1296" s="2">
        <v>1376.198019664281</v>
      </c>
      <c r="F1296" s="2">
        <v>1360.0342394881391</v>
      </c>
      <c r="G1296" s="2">
        <v>1364.29833984375</v>
      </c>
      <c r="H1296" s="3">
        <v>15012785</v>
      </c>
      <c r="I1296" s="4">
        <f t="shared" si="80"/>
        <v>-0.23</v>
      </c>
      <c r="J1296" s="2">
        <f t="shared" si="81"/>
        <v>11.9</v>
      </c>
      <c r="K1296" s="7">
        <f t="shared" si="82"/>
        <v>46023</v>
      </c>
      <c r="L1296" t="str">
        <f t="shared" si="83"/>
        <v>Q1-2026</v>
      </c>
    </row>
    <row r="1297" spans="1:12">
      <c r="A1297" s="6">
        <v>46042</v>
      </c>
      <c r="B1297" t="s">
        <v>18</v>
      </c>
      <c r="C1297" t="s">
        <v>19</v>
      </c>
      <c r="D1297" s="2">
        <v>237.0526535159328</v>
      </c>
      <c r="E1297" s="2">
        <v>237.10084768649659</v>
      </c>
      <c r="F1297" s="2">
        <v>230.73959954877461</v>
      </c>
      <c r="G1297" s="2">
        <v>231.22151184082031</v>
      </c>
      <c r="H1297" s="3">
        <v>16796201</v>
      </c>
      <c r="I1297" s="4">
        <f t="shared" si="80"/>
        <v>-2.66</v>
      </c>
      <c r="J1297" s="2">
        <f t="shared" si="81"/>
        <v>5.88</v>
      </c>
      <c r="K1297" s="7">
        <f t="shared" si="82"/>
        <v>46023</v>
      </c>
      <c r="L1297" t="str">
        <f t="shared" si="83"/>
        <v>Q1-2026</v>
      </c>
    </row>
    <row r="1298" spans="1:12">
      <c r="A1298" s="6">
        <v>46042</v>
      </c>
      <c r="B1298" t="s">
        <v>20</v>
      </c>
      <c r="C1298" t="s">
        <v>21</v>
      </c>
      <c r="D1298" s="2">
        <v>1670.6334850729561</v>
      </c>
      <c r="E1298" s="2">
        <v>1670.6334850729561</v>
      </c>
      <c r="F1298" s="2">
        <v>1633.529928354418</v>
      </c>
      <c r="G1298" s="2">
        <v>1638.8720703125</v>
      </c>
      <c r="H1298" s="3">
        <v>1739341</v>
      </c>
      <c r="I1298" s="4">
        <f t="shared" si="80"/>
        <v>-2.2200000000000002</v>
      </c>
      <c r="J1298" s="2">
        <f t="shared" si="81"/>
        <v>31.76</v>
      </c>
      <c r="K1298" s="7">
        <f t="shared" si="82"/>
        <v>46023</v>
      </c>
      <c r="L1298" t="str">
        <f t="shared" si="83"/>
        <v>Q1-2026</v>
      </c>
    </row>
    <row r="1299" spans="1:12">
      <c r="A1299" s="6">
        <v>46042</v>
      </c>
      <c r="B1299" t="s">
        <v>22</v>
      </c>
      <c r="C1299" t="s">
        <v>23</v>
      </c>
      <c r="D1299" s="2">
        <v>969.73881342083371</v>
      </c>
      <c r="E1299" s="2">
        <v>969.73881342083371</v>
      </c>
      <c r="F1299" s="2">
        <v>922.23086747028242</v>
      </c>
      <c r="G1299" s="2">
        <v>927.49847412109375</v>
      </c>
      <c r="H1299" s="3">
        <v>9001207</v>
      </c>
      <c r="I1299" s="4">
        <f t="shared" si="80"/>
        <v>-4.9000000000000004</v>
      </c>
      <c r="J1299" s="2">
        <f t="shared" si="81"/>
        <v>42.24</v>
      </c>
      <c r="K1299" s="7">
        <f t="shared" si="82"/>
        <v>46023</v>
      </c>
      <c r="L1299" t="str">
        <f t="shared" si="83"/>
        <v>Q1-2026</v>
      </c>
    </row>
    <row r="1300" spans="1:12">
      <c r="A1300" s="6">
        <v>46042</v>
      </c>
      <c r="B1300" t="s">
        <v>24</v>
      </c>
      <c r="C1300" t="s">
        <v>25</v>
      </c>
      <c r="D1300" s="2">
        <v>16038.92054511855</v>
      </c>
      <c r="E1300" s="2">
        <v>16071.59242030305</v>
      </c>
      <c r="F1300" s="2">
        <v>15692.40065679809</v>
      </c>
      <c r="G1300" s="2">
        <v>15721.1123046875</v>
      </c>
      <c r="H1300" s="3">
        <v>289609</v>
      </c>
      <c r="I1300" s="4">
        <f t="shared" si="80"/>
        <v>-2.16</v>
      </c>
      <c r="J1300" s="2">
        <f t="shared" si="81"/>
        <v>350.48</v>
      </c>
      <c r="K1300" s="7">
        <f t="shared" si="82"/>
        <v>46023</v>
      </c>
      <c r="L1300" t="str">
        <f t="shared" si="83"/>
        <v>Q1-2026</v>
      </c>
    </row>
    <row r="1301" spans="1:12">
      <c r="A1301" s="6">
        <v>46042</v>
      </c>
      <c r="B1301" t="s">
        <v>26</v>
      </c>
      <c r="C1301" t="s">
        <v>27</v>
      </c>
      <c r="D1301" s="2">
        <v>342.01290622220739</v>
      </c>
      <c r="E1301" s="2">
        <v>343.74850887639212</v>
      </c>
      <c r="F1301" s="2">
        <v>333.97953931239391</v>
      </c>
      <c r="G1301" s="2">
        <v>335.07049560546881</v>
      </c>
      <c r="H1301" s="3">
        <v>11541904</v>
      </c>
      <c r="I1301" s="4">
        <f t="shared" si="80"/>
        <v>-2.35</v>
      </c>
      <c r="J1301" s="2">
        <f t="shared" si="81"/>
        <v>8.68</v>
      </c>
      <c r="K1301" s="7">
        <f t="shared" si="82"/>
        <v>46023</v>
      </c>
      <c r="L1301" t="str">
        <f t="shared" si="83"/>
        <v>Q1-2026</v>
      </c>
    </row>
    <row r="1302" spans="1:12">
      <c r="A1302" s="6">
        <v>46042</v>
      </c>
      <c r="B1302" t="s">
        <v>28</v>
      </c>
      <c r="C1302" t="s">
        <v>29</v>
      </c>
      <c r="D1302" s="2">
        <v>1658.9477578382621</v>
      </c>
      <c r="E1302" s="2">
        <v>1658.9477578382621</v>
      </c>
      <c r="F1302" s="2">
        <v>1588.2931641139501</v>
      </c>
      <c r="G1302" s="2">
        <v>1599.193603515625</v>
      </c>
      <c r="H1302" s="3">
        <v>5019166</v>
      </c>
      <c r="I1302" s="4">
        <f t="shared" si="80"/>
        <v>-4.26</v>
      </c>
      <c r="J1302" s="2">
        <f t="shared" si="81"/>
        <v>59.75</v>
      </c>
      <c r="K1302" s="7">
        <f t="shared" si="82"/>
        <v>46023</v>
      </c>
      <c r="L1302" t="str">
        <f t="shared" si="83"/>
        <v>Q1-2026</v>
      </c>
    </row>
    <row r="1303" spans="1:12">
      <c r="A1303" s="6">
        <v>46042</v>
      </c>
      <c r="B1303" t="s">
        <v>30</v>
      </c>
      <c r="C1303" t="s">
        <v>31</v>
      </c>
      <c r="D1303" s="2">
        <v>2716.432154439653</v>
      </c>
      <c r="E1303" s="2">
        <v>2716.5313911155731</v>
      </c>
      <c r="F1303" s="2">
        <v>2646.3403220744722</v>
      </c>
      <c r="G1303" s="2">
        <v>2652.586181640625</v>
      </c>
      <c r="H1303" s="3">
        <v>911151</v>
      </c>
      <c r="I1303" s="4">
        <f t="shared" si="80"/>
        <v>-2.58</v>
      </c>
      <c r="J1303" s="2">
        <f t="shared" si="81"/>
        <v>63.95</v>
      </c>
      <c r="K1303" s="7">
        <f t="shared" si="82"/>
        <v>46023</v>
      </c>
      <c r="L1303" t="str">
        <f t="shared" si="83"/>
        <v>Q1-2026</v>
      </c>
    </row>
    <row r="1304" spans="1:12">
      <c r="A1304" s="6">
        <v>46042</v>
      </c>
      <c r="B1304" t="s">
        <v>32</v>
      </c>
      <c r="C1304" t="s">
        <v>33</v>
      </c>
      <c r="D1304" s="2">
        <v>2398.6023979573092</v>
      </c>
      <c r="E1304" s="2">
        <v>2414.4412912166231</v>
      </c>
      <c r="F1304" s="2">
        <v>2344.651167792772</v>
      </c>
      <c r="G1304" s="2">
        <v>2355.14453125</v>
      </c>
      <c r="H1304" s="3">
        <v>1460806</v>
      </c>
      <c r="I1304" s="4">
        <f t="shared" si="80"/>
        <v>-2.25</v>
      </c>
      <c r="J1304" s="2">
        <f t="shared" si="81"/>
        <v>59.3</v>
      </c>
      <c r="K1304" s="7">
        <f t="shared" si="82"/>
        <v>46023</v>
      </c>
      <c r="L1304" t="str">
        <f t="shared" si="83"/>
        <v>Q1-2026</v>
      </c>
    </row>
    <row r="1305" spans="1:12">
      <c r="A1305" s="6">
        <v>46042</v>
      </c>
      <c r="B1305" t="s">
        <v>34</v>
      </c>
      <c r="C1305" t="s">
        <v>35</v>
      </c>
      <c r="D1305" s="2">
        <v>3820.6821411437149</v>
      </c>
      <c r="E1305" s="2">
        <v>3836.8245220295071</v>
      </c>
      <c r="F1305" s="2">
        <v>3763.2431664971791</v>
      </c>
      <c r="G1305" s="2">
        <v>3773.6416015625</v>
      </c>
      <c r="H1305" s="3">
        <v>1658119</v>
      </c>
      <c r="I1305" s="4">
        <f t="shared" si="80"/>
        <v>-1.5</v>
      </c>
      <c r="J1305" s="2">
        <f t="shared" si="81"/>
        <v>63.18</v>
      </c>
      <c r="K1305" s="7">
        <f t="shared" si="82"/>
        <v>46023</v>
      </c>
      <c r="L1305" t="str">
        <f t="shared" si="83"/>
        <v>Q1-2026</v>
      </c>
    </row>
    <row r="1306" spans="1:12">
      <c r="A1306" s="6">
        <v>46042</v>
      </c>
      <c r="B1306" t="s">
        <v>36</v>
      </c>
      <c r="C1306" t="s">
        <v>37</v>
      </c>
      <c r="D1306" s="2">
        <v>1305.0934393364209</v>
      </c>
      <c r="E1306" s="2">
        <v>1309.889789042553</v>
      </c>
      <c r="F1306" s="2">
        <v>1289.0058710771409</v>
      </c>
      <c r="G1306" s="2">
        <v>1292.503173828125</v>
      </c>
      <c r="H1306" s="3">
        <v>6268527</v>
      </c>
      <c r="I1306" s="4">
        <f t="shared" si="80"/>
        <v>-1.23</v>
      </c>
      <c r="J1306" s="2">
        <f t="shared" si="81"/>
        <v>17.39</v>
      </c>
      <c r="K1306" s="7">
        <f t="shared" si="82"/>
        <v>46023</v>
      </c>
      <c r="L1306" t="str">
        <f t="shared" si="83"/>
        <v>Q1-2026</v>
      </c>
    </row>
    <row r="1307" spans="1:12">
      <c r="A1307" s="6">
        <v>46043</v>
      </c>
      <c r="B1307" t="s">
        <v>8</v>
      </c>
      <c r="C1307" t="s">
        <v>9</v>
      </c>
      <c r="D1307" s="2">
        <v>1383.1051387726379</v>
      </c>
      <c r="E1307" s="2">
        <v>1406.3974698374061</v>
      </c>
      <c r="F1307" s="2">
        <v>1366.681076311502</v>
      </c>
      <c r="G1307" s="2">
        <v>1398.135620117188</v>
      </c>
      <c r="H1307" s="3">
        <v>17352720</v>
      </c>
      <c r="I1307" s="4">
        <f t="shared" si="80"/>
        <v>-1.19</v>
      </c>
      <c r="J1307" s="2">
        <f t="shared" si="81"/>
        <v>8.26</v>
      </c>
      <c r="K1307" s="7">
        <f t="shared" si="82"/>
        <v>46023</v>
      </c>
      <c r="L1307" t="str">
        <f t="shared" si="83"/>
        <v>Q1-2026</v>
      </c>
    </row>
    <row r="1308" spans="1:12">
      <c r="A1308" s="6">
        <v>46043</v>
      </c>
      <c r="B1308" t="s">
        <v>10</v>
      </c>
      <c r="C1308" t="s">
        <v>11</v>
      </c>
      <c r="D1308" s="2">
        <v>3041.850929268337</v>
      </c>
      <c r="E1308" s="2">
        <v>3079.6287553253792</v>
      </c>
      <c r="F1308" s="2">
        <v>3024.188569033875</v>
      </c>
      <c r="G1308" s="2">
        <v>3064.027099609375</v>
      </c>
      <c r="H1308" s="3">
        <v>2015150</v>
      </c>
      <c r="I1308" s="4">
        <f t="shared" si="80"/>
        <v>-0.57999999999999996</v>
      </c>
      <c r="J1308" s="2">
        <f t="shared" si="81"/>
        <v>15.6</v>
      </c>
      <c r="K1308" s="7">
        <f t="shared" si="82"/>
        <v>46023</v>
      </c>
      <c r="L1308" t="str">
        <f t="shared" si="83"/>
        <v>Q1-2026</v>
      </c>
    </row>
    <row r="1309" spans="1:12">
      <c r="A1309" s="6">
        <v>46043</v>
      </c>
      <c r="B1309" t="s">
        <v>12</v>
      </c>
      <c r="C1309" t="s">
        <v>13</v>
      </c>
      <c r="D1309" s="2">
        <v>1616.030145847606</v>
      </c>
      <c r="E1309" s="2">
        <v>1621.9030597634669</v>
      </c>
      <c r="F1309" s="2">
        <v>1596.6494821313711</v>
      </c>
      <c r="G1309" s="2">
        <v>1619.358154296875</v>
      </c>
      <c r="H1309" s="3">
        <v>6224582</v>
      </c>
      <c r="I1309" s="4">
        <f t="shared" si="80"/>
        <v>-1.2</v>
      </c>
      <c r="J1309" s="2">
        <f t="shared" si="81"/>
        <v>2.54</v>
      </c>
      <c r="K1309" s="7">
        <f t="shared" si="82"/>
        <v>46023</v>
      </c>
      <c r="L1309" t="str">
        <f t="shared" si="83"/>
        <v>Q1-2026</v>
      </c>
    </row>
    <row r="1310" spans="1:12">
      <c r="A1310" s="6">
        <v>46043</v>
      </c>
      <c r="B1310" t="s">
        <v>14</v>
      </c>
      <c r="C1310" t="s">
        <v>15</v>
      </c>
      <c r="D1310" s="2">
        <v>909.94991615499521</v>
      </c>
      <c r="E1310" s="2">
        <v>916.98360709130054</v>
      </c>
      <c r="F1310" s="2">
        <v>900.60448458367364</v>
      </c>
      <c r="G1310" s="2">
        <v>905.37554931640625</v>
      </c>
      <c r="H1310" s="3">
        <v>32766854</v>
      </c>
      <c r="I1310" s="4">
        <f t="shared" si="80"/>
        <v>-1.03</v>
      </c>
      <c r="J1310" s="2">
        <f t="shared" si="81"/>
        <v>11.61</v>
      </c>
      <c r="K1310" s="7">
        <f t="shared" si="82"/>
        <v>46023</v>
      </c>
      <c r="L1310" t="str">
        <f t="shared" si="83"/>
        <v>Q1-2026</v>
      </c>
    </row>
    <row r="1311" spans="1:12">
      <c r="A1311" s="6">
        <v>46043</v>
      </c>
      <c r="B1311" t="s">
        <v>16</v>
      </c>
      <c r="C1311" t="s">
        <v>17</v>
      </c>
      <c r="D1311" s="2">
        <v>1356.067629079628</v>
      </c>
      <c r="E1311" s="2">
        <v>1360.034188872183</v>
      </c>
      <c r="F1311" s="2">
        <v>1328.3017105317449</v>
      </c>
      <c r="G1311" s="2">
        <v>1337.722290039062</v>
      </c>
      <c r="H1311" s="3">
        <v>21766068</v>
      </c>
      <c r="I1311" s="4">
        <f t="shared" si="80"/>
        <v>-2.0499999999999998</v>
      </c>
      <c r="J1311" s="2">
        <f t="shared" si="81"/>
        <v>22.31</v>
      </c>
      <c r="K1311" s="7">
        <f t="shared" si="82"/>
        <v>46023</v>
      </c>
      <c r="L1311" t="str">
        <f t="shared" si="83"/>
        <v>Q1-2026</v>
      </c>
    </row>
    <row r="1312" spans="1:12">
      <c r="A1312" s="6">
        <v>46043</v>
      </c>
      <c r="B1312" t="s">
        <v>18</v>
      </c>
      <c r="C1312" t="s">
        <v>19</v>
      </c>
      <c r="D1312" s="2">
        <v>231.22153085790319</v>
      </c>
      <c r="E1312" s="2">
        <v>233.8238692144192</v>
      </c>
      <c r="F1312" s="2">
        <v>229.00474589760759</v>
      </c>
      <c r="G1312" s="2">
        <v>230.88420104980469</v>
      </c>
      <c r="H1312" s="3">
        <v>14397792</v>
      </c>
      <c r="I1312" s="4">
        <f t="shared" si="80"/>
        <v>-0.96</v>
      </c>
      <c r="J1312" s="2">
        <f t="shared" si="81"/>
        <v>2.94</v>
      </c>
      <c r="K1312" s="7">
        <f t="shared" si="82"/>
        <v>46023</v>
      </c>
      <c r="L1312" t="str">
        <f t="shared" si="83"/>
        <v>Q1-2026</v>
      </c>
    </row>
    <row r="1313" spans="1:12">
      <c r="A1313" s="6">
        <v>46043</v>
      </c>
      <c r="B1313" t="s">
        <v>20</v>
      </c>
      <c r="C1313" t="s">
        <v>21</v>
      </c>
      <c r="D1313" s="2">
        <v>1639.1633154048779</v>
      </c>
      <c r="E1313" s="2">
        <v>1646.2538418405479</v>
      </c>
      <c r="F1313" s="2">
        <v>1621.000080986629</v>
      </c>
      <c r="G1313" s="2">
        <v>1634.209716796875</v>
      </c>
      <c r="H1313" s="3">
        <v>1728435</v>
      </c>
      <c r="I1313" s="4">
        <f t="shared" si="80"/>
        <v>-1.1100000000000001</v>
      </c>
      <c r="J1313" s="2">
        <f t="shared" si="81"/>
        <v>12.04</v>
      </c>
      <c r="K1313" s="7">
        <f t="shared" si="82"/>
        <v>46023</v>
      </c>
      <c r="L1313" t="str">
        <f t="shared" si="83"/>
        <v>Q1-2026</v>
      </c>
    </row>
    <row r="1314" spans="1:12">
      <c r="A1314" s="6">
        <v>46043</v>
      </c>
      <c r="B1314" t="s">
        <v>22</v>
      </c>
      <c r="C1314" t="s">
        <v>23</v>
      </c>
      <c r="D1314" s="2">
        <v>919.34857968176323</v>
      </c>
      <c r="E1314" s="2">
        <v>941.51232249731618</v>
      </c>
      <c r="F1314" s="2">
        <v>915.37301825611235</v>
      </c>
      <c r="G1314" s="2">
        <v>930.52984619140625</v>
      </c>
      <c r="H1314" s="3">
        <v>5375254</v>
      </c>
      <c r="I1314" s="4">
        <f t="shared" si="80"/>
        <v>-0.43</v>
      </c>
      <c r="J1314" s="2">
        <f t="shared" si="81"/>
        <v>10.98</v>
      </c>
      <c r="K1314" s="7">
        <f t="shared" si="82"/>
        <v>46023</v>
      </c>
      <c r="L1314" t="str">
        <f t="shared" si="83"/>
        <v>Q1-2026</v>
      </c>
    </row>
    <row r="1315" spans="1:12">
      <c r="A1315" s="6">
        <v>46043</v>
      </c>
      <c r="B1315" t="s">
        <v>24</v>
      </c>
      <c r="C1315" t="s">
        <v>25</v>
      </c>
      <c r="D1315" s="2">
        <v>15519.140889730799</v>
      </c>
      <c r="E1315" s="2">
        <v>15814.177826581819</v>
      </c>
      <c r="F1315" s="2">
        <v>15519.140889730799</v>
      </c>
      <c r="G1315" s="2">
        <v>15613.1962890625</v>
      </c>
      <c r="H1315" s="3">
        <v>345738</v>
      </c>
      <c r="I1315" s="4">
        <f t="shared" si="80"/>
        <v>0</v>
      </c>
      <c r="J1315" s="2">
        <f t="shared" si="81"/>
        <v>200.98</v>
      </c>
      <c r="K1315" s="7">
        <f t="shared" si="82"/>
        <v>46023</v>
      </c>
      <c r="L1315" t="str">
        <f t="shared" si="83"/>
        <v>Q1-2026</v>
      </c>
    </row>
    <row r="1316" spans="1:12">
      <c r="A1316" s="6">
        <v>46043</v>
      </c>
      <c r="B1316" t="s">
        <v>26</v>
      </c>
      <c r="C1316" t="s">
        <v>27</v>
      </c>
      <c r="D1316" s="2">
        <v>333.23572218128231</v>
      </c>
      <c r="E1316" s="2">
        <v>340.87238625454052</v>
      </c>
      <c r="F1316" s="2">
        <v>333.18614563875201</v>
      </c>
      <c r="G1316" s="2">
        <v>336.458984375</v>
      </c>
      <c r="H1316" s="3">
        <v>9873473</v>
      </c>
      <c r="I1316" s="4">
        <f t="shared" si="80"/>
        <v>-0.01</v>
      </c>
      <c r="J1316" s="2">
        <f t="shared" si="81"/>
        <v>4.41</v>
      </c>
      <c r="K1316" s="7">
        <f t="shared" si="82"/>
        <v>46023</v>
      </c>
      <c r="L1316" t="str">
        <f t="shared" si="83"/>
        <v>Q1-2026</v>
      </c>
    </row>
    <row r="1317" spans="1:12">
      <c r="A1317" s="6">
        <v>46043</v>
      </c>
      <c r="B1317" t="s">
        <v>28</v>
      </c>
      <c r="C1317" t="s">
        <v>29</v>
      </c>
      <c r="D1317" s="2">
        <v>1622.183605886893</v>
      </c>
      <c r="E1317" s="2">
        <v>1630.1111983408309</v>
      </c>
      <c r="F1317" s="2">
        <v>1593.1487501381639</v>
      </c>
      <c r="G1317" s="2">
        <v>1598.3017578125</v>
      </c>
      <c r="H1317" s="3">
        <v>3947877</v>
      </c>
      <c r="I1317" s="4">
        <f t="shared" si="80"/>
        <v>-1.79</v>
      </c>
      <c r="J1317" s="2">
        <f t="shared" si="81"/>
        <v>31.81</v>
      </c>
      <c r="K1317" s="7">
        <f t="shared" si="82"/>
        <v>46023</v>
      </c>
      <c r="L1317" t="str">
        <f t="shared" si="83"/>
        <v>Q1-2026</v>
      </c>
    </row>
    <row r="1318" spans="1:12">
      <c r="A1318" s="6">
        <v>46043</v>
      </c>
      <c r="B1318" t="s">
        <v>30</v>
      </c>
      <c r="C1318" t="s">
        <v>31</v>
      </c>
      <c r="D1318" s="2">
        <v>2647.034288311434</v>
      </c>
      <c r="E1318" s="2">
        <v>2664.8794632888148</v>
      </c>
      <c r="F1318" s="2">
        <v>2625.2235188946361</v>
      </c>
      <c r="G1318" s="2">
        <v>2638.2109375</v>
      </c>
      <c r="H1318" s="3">
        <v>914318</v>
      </c>
      <c r="I1318" s="4">
        <f t="shared" si="80"/>
        <v>-0.82</v>
      </c>
      <c r="J1318" s="2">
        <f t="shared" si="81"/>
        <v>26.67</v>
      </c>
      <c r="K1318" s="7">
        <f t="shared" si="82"/>
        <v>46023</v>
      </c>
      <c r="L1318" t="str">
        <f t="shared" si="83"/>
        <v>Q1-2026</v>
      </c>
    </row>
    <row r="1319" spans="1:12">
      <c r="A1319" s="6">
        <v>46043</v>
      </c>
      <c r="B1319" t="s">
        <v>32</v>
      </c>
      <c r="C1319" t="s">
        <v>33</v>
      </c>
      <c r="D1319" s="2">
        <v>2355.1445790948101</v>
      </c>
      <c r="E1319" s="2">
        <v>2376.3290025865708</v>
      </c>
      <c r="F1319" s="2">
        <v>2336.23680320946</v>
      </c>
      <c r="G1319" s="2">
        <v>2344.15625</v>
      </c>
      <c r="H1319" s="3">
        <v>1020245</v>
      </c>
      <c r="I1319" s="4">
        <f t="shared" si="80"/>
        <v>-0.8</v>
      </c>
      <c r="J1319" s="2">
        <f t="shared" si="81"/>
        <v>32.17</v>
      </c>
      <c r="K1319" s="7">
        <f t="shared" si="82"/>
        <v>46023</v>
      </c>
      <c r="L1319" t="str">
        <f t="shared" si="83"/>
        <v>Q1-2026</v>
      </c>
    </row>
    <row r="1320" spans="1:12">
      <c r="A1320" s="6">
        <v>46043</v>
      </c>
      <c r="B1320" t="s">
        <v>34</v>
      </c>
      <c r="C1320" t="s">
        <v>35</v>
      </c>
      <c r="D1320" s="2">
        <v>3763.2430975582438</v>
      </c>
      <c r="E1320" s="2">
        <v>3792.9529114863349</v>
      </c>
      <c r="F1320" s="2">
        <v>3685.9975813452061</v>
      </c>
      <c r="G1320" s="2">
        <v>3730.067138671875</v>
      </c>
      <c r="H1320" s="3">
        <v>2537185</v>
      </c>
      <c r="I1320" s="4">
        <f t="shared" si="80"/>
        <v>-2.0499999999999998</v>
      </c>
      <c r="J1320" s="2">
        <f t="shared" si="81"/>
        <v>62.89</v>
      </c>
      <c r="K1320" s="7">
        <f t="shared" si="82"/>
        <v>46023</v>
      </c>
      <c r="L1320" t="str">
        <f t="shared" si="83"/>
        <v>Q1-2026</v>
      </c>
    </row>
    <row r="1321" spans="1:12">
      <c r="A1321" s="6">
        <v>46043</v>
      </c>
      <c r="B1321" t="s">
        <v>36</v>
      </c>
      <c r="C1321" t="s">
        <v>37</v>
      </c>
      <c r="D1321" s="2">
        <v>1289.0058352249371</v>
      </c>
      <c r="E1321" s="2">
        <v>1296.6998522726069</v>
      </c>
      <c r="F1321" s="2">
        <v>1266.4232767705071</v>
      </c>
      <c r="G1321" s="2">
        <v>1283.909790039062</v>
      </c>
      <c r="H1321" s="3">
        <v>3854702</v>
      </c>
      <c r="I1321" s="4">
        <f t="shared" si="80"/>
        <v>-1.75</v>
      </c>
      <c r="J1321" s="2">
        <f t="shared" si="81"/>
        <v>12.79</v>
      </c>
      <c r="K1321" s="7">
        <f t="shared" si="82"/>
        <v>46023</v>
      </c>
      <c r="L1321" t="str">
        <f t="shared" si="83"/>
        <v>Q1-2026</v>
      </c>
    </row>
    <row r="1322" spans="1:12">
      <c r="A1322" s="6">
        <v>46044</v>
      </c>
      <c r="B1322" t="s">
        <v>8</v>
      </c>
      <c r="C1322" t="s">
        <v>9</v>
      </c>
      <c r="D1322" s="2">
        <v>1403.6102863792109</v>
      </c>
      <c r="E1322" s="2">
        <v>1412.967049153646</v>
      </c>
      <c r="F1322" s="2">
        <v>1388.579805261948</v>
      </c>
      <c r="G1322" s="2">
        <v>1396.045288085938</v>
      </c>
      <c r="H1322" s="3">
        <v>15721693</v>
      </c>
      <c r="I1322" s="4">
        <f t="shared" si="80"/>
        <v>-1.07</v>
      </c>
      <c r="J1322" s="2">
        <f t="shared" si="81"/>
        <v>16.920000000000002</v>
      </c>
      <c r="K1322" s="7">
        <f t="shared" si="82"/>
        <v>46023</v>
      </c>
      <c r="L1322" t="str">
        <f t="shared" si="83"/>
        <v>Q1-2026</v>
      </c>
    </row>
    <row r="1323" spans="1:12">
      <c r="A1323" s="6">
        <v>46044</v>
      </c>
      <c r="B1323" t="s">
        <v>10</v>
      </c>
      <c r="C1323" t="s">
        <v>11</v>
      </c>
      <c r="D1323" s="2">
        <v>3090.913018855028</v>
      </c>
      <c r="E1323" s="2">
        <v>3100.7254411371082</v>
      </c>
      <c r="F1323" s="2">
        <v>3063.7326570458858</v>
      </c>
      <c r="G1323" s="2">
        <v>3091.305419921875</v>
      </c>
      <c r="H1323" s="3">
        <v>2269827</v>
      </c>
      <c r="I1323" s="4">
        <f t="shared" si="80"/>
        <v>-0.88</v>
      </c>
      <c r="J1323" s="2">
        <f t="shared" si="81"/>
        <v>9.42</v>
      </c>
      <c r="K1323" s="7">
        <f t="shared" si="82"/>
        <v>46023</v>
      </c>
      <c r="L1323" t="str">
        <f t="shared" si="83"/>
        <v>Q1-2026</v>
      </c>
    </row>
    <row r="1324" spans="1:12">
      <c r="A1324" s="6">
        <v>46044</v>
      </c>
      <c r="B1324" t="s">
        <v>12</v>
      </c>
      <c r="C1324" t="s">
        <v>13</v>
      </c>
      <c r="D1324" s="2">
        <v>1630.7124283208409</v>
      </c>
      <c r="E1324" s="2">
        <v>1635.802239246794</v>
      </c>
      <c r="F1324" s="2">
        <v>1618.770884502783</v>
      </c>
      <c r="G1324" s="2">
        <v>1628.265380859375</v>
      </c>
      <c r="H1324" s="3">
        <v>6228892</v>
      </c>
      <c r="I1324" s="4">
        <f t="shared" si="80"/>
        <v>-0.73</v>
      </c>
      <c r="J1324" s="2">
        <f t="shared" si="81"/>
        <v>7.54</v>
      </c>
      <c r="K1324" s="7">
        <f t="shared" si="82"/>
        <v>46023</v>
      </c>
      <c r="L1324" t="str">
        <f t="shared" si="83"/>
        <v>Q1-2026</v>
      </c>
    </row>
    <row r="1325" spans="1:12">
      <c r="A1325" s="6">
        <v>46044</v>
      </c>
      <c r="B1325" t="s">
        <v>14</v>
      </c>
      <c r="C1325" t="s">
        <v>15</v>
      </c>
      <c r="D1325" s="2">
        <v>912.90111514225271</v>
      </c>
      <c r="E1325" s="2">
        <v>913.19622202881544</v>
      </c>
      <c r="F1325" s="2">
        <v>898.34192833159227</v>
      </c>
      <c r="G1325" s="2">
        <v>903.75244140625</v>
      </c>
      <c r="H1325" s="3">
        <v>44444755</v>
      </c>
      <c r="I1325" s="4">
        <f t="shared" si="80"/>
        <v>-1.59</v>
      </c>
      <c r="J1325" s="2">
        <f t="shared" si="81"/>
        <v>9.44</v>
      </c>
      <c r="K1325" s="7">
        <f t="shared" si="82"/>
        <v>46023</v>
      </c>
      <c r="L1325" t="str">
        <f t="shared" si="83"/>
        <v>Q1-2026</v>
      </c>
    </row>
    <row r="1326" spans="1:12">
      <c r="A1326" s="6">
        <v>46044</v>
      </c>
      <c r="B1326" t="s">
        <v>16</v>
      </c>
      <c r="C1326" t="s">
        <v>17</v>
      </c>
      <c r="D1326" s="2">
        <v>1343.771306468037</v>
      </c>
      <c r="E1326" s="2">
        <v>1346.647086606687</v>
      </c>
      <c r="F1326" s="2">
        <v>1326.814287098488</v>
      </c>
      <c r="G1326" s="2">
        <v>1334.251586914062</v>
      </c>
      <c r="H1326" s="3">
        <v>17179765</v>
      </c>
      <c r="I1326" s="4">
        <f t="shared" si="80"/>
        <v>-1.26</v>
      </c>
      <c r="J1326" s="2">
        <f t="shared" si="81"/>
        <v>12.4</v>
      </c>
      <c r="K1326" s="7">
        <f t="shared" si="82"/>
        <v>46023</v>
      </c>
      <c r="L1326" t="str">
        <f t="shared" si="83"/>
        <v>Q1-2026</v>
      </c>
    </row>
    <row r="1327" spans="1:12">
      <c r="A1327" s="6">
        <v>46044</v>
      </c>
      <c r="B1327" t="s">
        <v>18</v>
      </c>
      <c r="C1327" t="s">
        <v>19</v>
      </c>
      <c r="D1327" s="2">
        <v>233.245550793159</v>
      </c>
      <c r="E1327" s="2">
        <v>234.1129870414895</v>
      </c>
      <c r="F1327" s="2">
        <v>230.54683899964749</v>
      </c>
      <c r="G1327" s="2">
        <v>231.94438171386719</v>
      </c>
      <c r="H1327" s="3">
        <v>8537915</v>
      </c>
      <c r="I1327" s="4">
        <f t="shared" si="80"/>
        <v>-1.1599999999999999</v>
      </c>
      <c r="J1327" s="2">
        <f t="shared" si="81"/>
        <v>2.17</v>
      </c>
      <c r="K1327" s="7">
        <f t="shared" si="82"/>
        <v>46023</v>
      </c>
      <c r="L1327" t="str">
        <f t="shared" si="83"/>
        <v>Q1-2026</v>
      </c>
    </row>
    <row r="1328" spans="1:12">
      <c r="A1328" s="6">
        <v>46044</v>
      </c>
      <c r="B1328" t="s">
        <v>20</v>
      </c>
      <c r="C1328" t="s">
        <v>21</v>
      </c>
      <c r="D1328" s="2">
        <v>1642.0772742114041</v>
      </c>
      <c r="E1328" s="2">
        <v>1659.94919091056</v>
      </c>
      <c r="F1328" s="2">
        <v>1633.238481285025</v>
      </c>
      <c r="G1328" s="2">
        <v>1654.218505859375</v>
      </c>
      <c r="H1328" s="3">
        <v>1853439</v>
      </c>
      <c r="I1328" s="4">
        <f t="shared" si="80"/>
        <v>-0.54</v>
      </c>
      <c r="J1328" s="2">
        <f t="shared" si="81"/>
        <v>5.73</v>
      </c>
      <c r="K1328" s="7">
        <f t="shared" si="82"/>
        <v>46023</v>
      </c>
      <c r="L1328" t="str">
        <f t="shared" si="83"/>
        <v>Q1-2026</v>
      </c>
    </row>
    <row r="1329" spans="1:12">
      <c r="A1329" s="6">
        <v>46044</v>
      </c>
      <c r="B1329" t="s">
        <v>22</v>
      </c>
      <c r="C1329" t="s">
        <v>23</v>
      </c>
      <c r="D1329" s="2">
        <v>941.21414669178887</v>
      </c>
      <c r="E1329" s="2">
        <v>941.21414669178887</v>
      </c>
      <c r="F1329" s="2">
        <v>928.54204492798704</v>
      </c>
      <c r="G1329" s="2">
        <v>937.0894775390625</v>
      </c>
      <c r="H1329" s="3">
        <v>5518756</v>
      </c>
      <c r="I1329" s="4">
        <f t="shared" si="80"/>
        <v>-1.35</v>
      </c>
      <c r="J1329" s="2">
        <f t="shared" si="81"/>
        <v>4.12</v>
      </c>
      <c r="K1329" s="7">
        <f t="shared" si="82"/>
        <v>46023</v>
      </c>
      <c r="L1329" t="str">
        <f t="shared" si="83"/>
        <v>Q1-2026</v>
      </c>
    </row>
    <row r="1330" spans="1:12">
      <c r="A1330" s="6">
        <v>46044</v>
      </c>
      <c r="B1330" t="s">
        <v>24</v>
      </c>
      <c r="C1330" t="s">
        <v>25</v>
      </c>
      <c r="D1330" s="2">
        <v>15791.406609280841</v>
      </c>
      <c r="E1330" s="2">
        <v>15812.1978029357</v>
      </c>
      <c r="F1330" s="2">
        <v>15557.753194873931</v>
      </c>
      <c r="G1330" s="2">
        <v>15608.24609375</v>
      </c>
      <c r="H1330" s="3">
        <v>352320</v>
      </c>
      <c r="I1330" s="4">
        <f t="shared" si="80"/>
        <v>-1.48</v>
      </c>
      <c r="J1330" s="2">
        <f t="shared" si="81"/>
        <v>203.95</v>
      </c>
      <c r="K1330" s="7">
        <f t="shared" si="82"/>
        <v>46023</v>
      </c>
      <c r="L1330" t="str">
        <f t="shared" si="83"/>
        <v>Q1-2026</v>
      </c>
    </row>
    <row r="1331" spans="1:12">
      <c r="A1331" s="6">
        <v>46044</v>
      </c>
      <c r="B1331" t="s">
        <v>26</v>
      </c>
      <c r="C1331" t="s">
        <v>27</v>
      </c>
      <c r="D1331" s="2">
        <v>341.61618993402192</v>
      </c>
      <c r="E1331" s="2">
        <v>348.85612004875782</v>
      </c>
      <c r="F1331" s="2">
        <v>340.27729045622618</v>
      </c>
      <c r="G1331" s="2">
        <v>344.44271850585938</v>
      </c>
      <c r="H1331" s="3">
        <v>10714263</v>
      </c>
      <c r="I1331" s="4">
        <f t="shared" si="80"/>
        <v>-0.39</v>
      </c>
      <c r="J1331" s="2">
        <f t="shared" si="81"/>
        <v>4.41</v>
      </c>
      <c r="K1331" s="7">
        <f t="shared" si="82"/>
        <v>46023</v>
      </c>
      <c r="L1331" t="str">
        <f t="shared" si="83"/>
        <v>Q1-2026</v>
      </c>
    </row>
    <row r="1332" spans="1:12">
      <c r="A1332" s="6">
        <v>46044</v>
      </c>
      <c r="B1332" t="s">
        <v>28</v>
      </c>
      <c r="C1332" t="s">
        <v>29</v>
      </c>
      <c r="D1332" s="2">
        <v>1599.4908832639831</v>
      </c>
      <c r="E1332" s="2">
        <v>1631.5976575974689</v>
      </c>
      <c r="F1332" s="2">
        <v>1598.599004900324</v>
      </c>
      <c r="G1332" s="2">
        <v>1619.408935546875</v>
      </c>
      <c r="H1332" s="3">
        <v>2279862</v>
      </c>
      <c r="I1332" s="4">
        <f t="shared" si="80"/>
        <v>-0.06</v>
      </c>
      <c r="J1332" s="2">
        <f t="shared" si="81"/>
        <v>12.19</v>
      </c>
      <c r="K1332" s="7">
        <f t="shared" si="82"/>
        <v>46023</v>
      </c>
      <c r="L1332" t="str">
        <f t="shared" si="83"/>
        <v>Q1-2026</v>
      </c>
    </row>
    <row r="1333" spans="1:12">
      <c r="A1333" s="6">
        <v>46044</v>
      </c>
      <c r="B1333" t="s">
        <v>30</v>
      </c>
      <c r="C1333" t="s">
        <v>31</v>
      </c>
      <c r="D1333" s="2">
        <v>2642.374853390455</v>
      </c>
      <c r="E1333" s="2">
        <v>2706.4190605473359</v>
      </c>
      <c r="F1333" s="2">
        <v>2642.374853390455</v>
      </c>
      <c r="G1333" s="2">
        <v>2680.543701171875</v>
      </c>
      <c r="H1333" s="3">
        <v>1290346</v>
      </c>
      <c r="I1333" s="4">
        <f t="shared" si="80"/>
        <v>0</v>
      </c>
      <c r="J1333" s="2">
        <f t="shared" si="81"/>
        <v>25.88</v>
      </c>
      <c r="K1333" s="7">
        <f t="shared" si="82"/>
        <v>46023</v>
      </c>
      <c r="L1333" t="str">
        <f t="shared" si="83"/>
        <v>Q1-2026</v>
      </c>
    </row>
    <row r="1334" spans="1:12">
      <c r="A1334" s="6">
        <v>46044</v>
      </c>
      <c r="B1334" t="s">
        <v>32</v>
      </c>
      <c r="C1334" t="s">
        <v>33</v>
      </c>
      <c r="D1334" s="2">
        <v>2345.0471156039898</v>
      </c>
      <c r="E1334" s="2">
        <v>2377.8139237153</v>
      </c>
      <c r="F1334" s="2">
        <v>2341.8793851911282</v>
      </c>
      <c r="G1334" s="2">
        <v>2366.52880859375</v>
      </c>
      <c r="H1334" s="3">
        <v>1745964</v>
      </c>
      <c r="I1334" s="4">
        <f t="shared" si="80"/>
        <v>-0.14000000000000001</v>
      </c>
      <c r="J1334" s="2">
        <f t="shared" si="81"/>
        <v>11.29</v>
      </c>
      <c r="K1334" s="7">
        <f t="shared" si="82"/>
        <v>46023</v>
      </c>
      <c r="L1334" t="str">
        <f t="shared" si="83"/>
        <v>Q1-2026</v>
      </c>
    </row>
    <row r="1335" spans="1:12">
      <c r="A1335" s="6">
        <v>46044</v>
      </c>
      <c r="B1335" t="s">
        <v>34</v>
      </c>
      <c r="C1335" t="s">
        <v>35</v>
      </c>
      <c r="D1335" s="2">
        <v>3762.1535505226102</v>
      </c>
      <c r="E1335" s="2">
        <v>3764.5304806471431</v>
      </c>
      <c r="F1335" s="2">
        <v>3718.7774166540621</v>
      </c>
      <c r="G1335" s="2">
        <v>3757.10302734375</v>
      </c>
      <c r="H1335" s="3">
        <v>1856812</v>
      </c>
      <c r="I1335" s="4">
        <f t="shared" si="80"/>
        <v>-1.1499999999999999</v>
      </c>
      <c r="J1335" s="2">
        <f t="shared" si="81"/>
        <v>7.43</v>
      </c>
      <c r="K1335" s="7">
        <f t="shared" si="82"/>
        <v>46023</v>
      </c>
      <c r="L1335" t="str">
        <f t="shared" si="83"/>
        <v>Q1-2026</v>
      </c>
    </row>
    <row r="1336" spans="1:12">
      <c r="A1336" s="6">
        <v>46044</v>
      </c>
      <c r="B1336" t="s">
        <v>36</v>
      </c>
      <c r="C1336" t="s">
        <v>37</v>
      </c>
      <c r="D1336" s="2">
        <v>1289.0058962937881</v>
      </c>
      <c r="E1336" s="2">
        <v>1297.899062144086</v>
      </c>
      <c r="F1336" s="2">
        <v>1280.412548047078</v>
      </c>
      <c r="G1336" s="2">
        <v>1293.80224609375</v>
      </c>
      <c r="H1336" s="3">
        <v>5949677</v>
      </c>
      <c r="I1336" s="4">
        <f t="shared" si="80"/>
        <v>-0.67</v>
      </c>
      <c r="J1336" s="2">
        <f t="shared" si="81"/>
        <v>4.0999999999999996</v>
      </c>
      <c r="K1336" s="7">
        <f t="shared" si="82"/>
        <v>46023</v>
      </c>
      <c r="L1336" t="str">
        <f t="shared" si="83"/>
        <v>Q1-2026</v>
      </c>
    </row>
    <row r="1337" spans="1:12">
      <c r="A1337" s="6">
        <v>46045</v>
      </c>
      <c r="B1337" t="s">
        <v>8</v>
      </c>
      <c r="C1337" t="s">
        <v>9</v>
      </c>
      <c r="D1337" s="2">
        <v>1395.3485196421079</v>
      </c>
      <c r="E1337" s="2">
        <v>1400.52453898663</v>
      </c>
      <c r="F1337" s="2">
        <v>1374.644199247005</v>
      </c>
      <c r="G1337" s="2">
        <v>1379.720703125</v>
      </c>
      <c r="H1337" s="3">
        <v>9837802</v>
      </c>
      <c r="I1337" s="4">
        <f t="shared" si="80"/>
        <v>-1.48</v>
      </c>
      <c r="J1337" s="2">
        <f t="shared" si="81"/>
        <v>20.8</v>
      </c>
      <c r="K1337" s="7">
        <f t="shared" si="82"/>
        <v>46023</v>
      </c>
      <c r="L1337" t="str">
        <f t="shared" si="83"/>
        <v>Q1-2026</v>
      </c>
    </row>
    <row r="1338" spans="1:12">
      <c r="A1338" s="6">
        <v>46045</v>
      </c>
      <c r="B1338" t="s">
        <v>10</v>
      </c>
      <c r="C1338" t="s">
        <v>11</v>
      </c>
      <c r="D1338" s="2">
        <v>3130.4570479508161</v>
      </c>
      <c r="E1338" s="2">
        <v>3134.5782172909462</v>
      </c>
      <c r="F1338" s="2">
        <v>3092.8754236660079</v>
      </c>
      <c r="G1338" s="2">
        <v>3103.178466796875</v>
      </c>
      <c r="H1338" s="3">
        <v>2068857</v>
      </c>
      <c r="I1338" s="4">
        <f t="shared" si="80"/>
        <v>-1.2</v>
      </c>
      <c r="J1338" s="2">
        <f t="shared" si="81"/>
        <v>31.4</v>
      </c>
      <c r="K1338" s="7">
        <f t="shared" si="82"/>
        <v>46023</v>
      </c>
      <c r="L1338" t="str">
        <f t="shared" si="83"/>
        <v>Q1-2026</v>
      </c>
    </row>
    <row r="1339" spans="1:12">
      <c r="A1339" s="6">
        <v>46045</v>
      </c>
      <c r="B1339" t="s">
        <v>12</v>
      </c>
      <c r="C1339" t="s">
        <v>13</v>
      </c>
      <c r="D1339" s="2">
        <v>1631.8869227568259</v>
      </c>
      <c r="E1339" s="2">
        <v>1640.2068839190631</v>
      </c>
      <c r="F1339" s="2">
        <v>1626.9928279555099</v>
      </c>
      <c r="G1339" s="2">
        <v>1635.410766601562</v>
      </c>
      <c r="H1339" s="3">
        <v>5869137</v>
      </c>
      <c r="I1339" s="4">
        <f t="shared" si="80"/>
        <v>-0.3</v>
      </c>
      <c r="J1339" s="2">
        <f t="shared" si="81"/>
        <v>4.8</v>
      </c>
      <c r="K1339" s="7">
        <f t="shared" si="82"/>
        <v>46023</v>
      </c>
      <c r="L1339" t="str">
        <f t="shared" si="83"/>
        <v>Q1-2026</v>
      </c>
    </row>
    <row r="1340" spans="1:12">
      <c r="A1340" s="6">
        <v>46045</v>
      </c>
      <c r="B1340" t="s">
        <v>14</v>
      </c>
      <c r="C1340" t="s">
        <v>15</v>
      </c>
      <c r="D1340" s="2">
        <v>905.03127177388126</v>
      </c>
      <c r="E1340" s="2">
        <v>911.03199858076232</v>
      </c>
      <c r="F1340" s="2">
        <v>894.45617810913211</v>
      </c>
      <c r="G1340" s="2">
        <v>901.1947021484375</v>
      </c>
      <c r="H1340" s="3">
        <v>30985247</v>
      </c>
      <c r="I1340" s="4">
        <f t="shared" si="80"/>
        <v>-1.17</v>
      </c>
      <c r="J1340" s="2">
        <f t="shared" si="81"/>
        <v>9.84</v>
      </c>
      <c r="K1340" s="7">
        <f t="shared" si="82"/>
        <v>46023</v>
      </c>
      <c r="L1340" t="str">
        <f t="shared" si="83"/>
        <v>Q1-2026</v>
      </c>
    </row>
    <row r="1341" spans="1:12">
      <c r="A1341" s="6">
        <v>46045</v>
      </c>
      <c r="B1341" t="s">
        <v>16</v>
      </c>
      <c r="C1341" t="s">
        <v>17</v>
      </c>
      <c r="D1341" s="2">
        <v>1329.293409266385</v>
      </c>
      <c r="E1341" s="2">
        <v>1343.8704687287579</v>
      </c>
      <c r="F1341" s="2">
        <v>1324.5334888848979</v>
      </c>
      <c r="G1341" s="2">
        <v>1332.169189453125</v>
      </c>
      <c r="H1341" s="3">
        <v>14056524</v>
      </c>
      <c r="I1341" s="4">
        <f t="shared" si="80"/>
        <v>-0.36</v>
      </c>
      <c r="J1341" s="2">
        <f t="shared" si="81"/>
        <v>11.7</v>
      </c>
      <c r="K1341" s="7">
        <f t="shared" si="82"/>
        <v>46023</v>
      </c>
      <c r="L1341" t="str">
        <f t="shared" si="83"/>
        <v>Q1-2026</v>
      </c>
    </row>
    <row r="1342" spans="1:12">
      <c r="A1342" s="6">
        <v>46045</v>
      </c>
      <c r="B1342" t="s">
        <v>18</v>
      </c>
      <c r="C1342" t="s">
        <v>19</v>
      </c>
      <c r="D1342" s="2">
        <v>233.53469674981091</v>
      </c>
      <c r="E1342" s="2">
        <v>234.73947746487721</v>
      </c>
      <c r="F1342" s="2">
        <v>229.24568034553411</v>
      </c>
      <c r="G1342" s="2">
        <v>229.77577209472659</v>
      </c>
      <c r="H1342" s="3">
        <v>13546802</v>
      </c>
      <c r="I1342" s="4">
        <f t="shared" si="80"/>
        <v>-1.84</v>
      </c>
      <c r="J1342" s="2">
        <f t="shared" si="81"/>
        <v>4.96</v>
      </c>
      <c r="K1342" s="7">
        <f t="shared" si="82"/>
        <v>46023</v>
      </c>
      <c r="L1342" t="str">
        <f t="shared" si="83"/>
        <v>Q1-2026</v>
      </c>
    </row>
    <row r="1343" spans="1:12">
      <c r="A1343" s="6">
        <v>46045</v>
      </c>
      <c r="B1343" t="s">
        <v>20</v>
      </c>
      <c r="C1343" t="s">
        <v>21</v>
      </c>
      <c r="D1343" s="2">
        <v>1663.542945994818</v>
      </c>
      <c r="E1343" s="2">
        <v>1671.6047712257889</v>
      </c>
      <c r="F1343" s="2">
        <v>1650.0419912723401</v>
      </c>
      <c r="G1343" s="2">
        <v>1658.006591796875</v>
      </c>
      <c r="H1343" s="3">
        <v>1874357</v>
      </c>
      <c r="I1343" s="4">
        <f t="shared" si="80"/>
        <v>-0.81</v>
      </c>
      <c r="J1343" s="2">
        <f t="shared" si="81"/>
        <v>13.6</v>
      </c>
      <c r="K1343" s="7">
        <f t="shared" si="82"/>
        <v>46023</v>
      </c>
      <c r="L1343" t="str">
        <f t="shared" si="83"/>
        <v>Q1-2026</v>
      </c>
    </row>
    <row r="1344" spans="1:12">
      <c r="A1344" s="6">
        <v>46045</v>
      </c>
      <c r="B1344" t="s">
        <v>22</v>
      </c>
      <c r="C1344" t="s">
        <v>23</v>
      </c>
      <c r="D1344" s="2">
        <v>937.08950784208457</v>
      </c>
      <c r="E1344" s="2">
        <v>945.58731900593841</v>
      </c>
      <c r="F1344" s="2">
        <v>920.64063440803955</v>
      </c>
      <c r="G1344" s="2">
        <v>922.18115234375</v>
      </c>
      <c r="H1344" s="3">
        <v>6535035</v>
      </c>
      <c r="I1344" s="4">
        <f t="shared" si="80"/>
        <v>-1.76</v>
      </c>
      <c r="J1344" s="2">
        <f t="shared" si="81"/>
        <v>23.41</v>
      </c>
      <c r="K1344" s="7">
        <f t="shared" si="82"/>
        <v>46023</v>
      </c>
      <c r="L1344" t="str">
        <f t="shared" si="83"/>
        <v>Q1-2026</v>
      </c>
    </row>
    <row r="1345" spans="1:12">
      <c r="A1345" s="6">
        <v>46045</v>
      </c>
      <c r="B1345" t="s">
        <v>24</v>
      </c>
      <c r="C1345" t="s">
        <v>25</v>
      </c>
      <c r="D1345" s="2">
        <v>15661.708352882681</v>
      </c>
      <c r="E1345" s="2">
        <v>15688.43988619881</v>
      </c>
      <c r="F1345" s="2">
        <v>15285.48677287791</v>
      </c>
      <c r="G1345" s="2">
        <v>15315.1884765625</v>
      </c>
      <c r="H1345" s="3">
        <v>338669</v>
      </c>
      <c r="I1345" s="4">
        <f t="shared" si="80"/>
        <v>-2.4</v>
      </c>
      <c r="J1345" s="2">
        <f t="shared" si="81"/>
        <v>373.25</v>
      </c>
      <c r="K1345" s="7">
        <f t="shared" si="82"/>
        <v>46023</v>
      </c>
      <c r="L1345" t="str">
        <f t="shared" si="83"/>
        <v>Q1-2026</v>
      </c>
    </row>
    <row r="1346" spans="1:12">
      <c r="A1346" s="6">
        <v>46045</v>
      </c>
      <c r="B1346" t="s">
        <v>26</v>
      </c>
      <c r="C1346" t="s">
        <v>27</v>
      </c>
      <c r="D1346" s="2">
        <v>344.24440324942361</v>
      </c>
      <c r="E1346" s="2">
        <v>348.11231177135909</v>
      </c>
      <c r="F1346" s="2">
        <v>339.33511495117261</v>
      </c>
      <c r="G1346" s="2">
        <v>341.6162109375</v>
      </c>
      <c r="H1346" s="3">
        <v>8354700</v>
      </c>
      <c r="I1346" s="4">
        <f t="shared" ref="I1346:I1409" si="84">ROUND(((F1346-D1346)/D1346)*100, 2)</f>
        <v>-1.43</v>
      </c>
      <c r="J1346" s="2">
        <f t="shared" ref="J1346:J1409" si="85">ROUND(E1346-G1346, 2)</f>
        <v>6.5</v>
      </c>
      <c r="K1346" s="7">
        <f t="shared" ref="K1346:K1409" si="86">DATE(YEAR(A1346),MONTH(A1346),1)</f>
        <v>46023</v>
      </c>
      <c r="L1346" t="str">
        <f t="shared" ref="L1346:L1409" si="87">"Q"&amp;INT((MONTH(A1346)-1)/3)+1&amp;"-"&amp;YEAR(A1346)</f>
        <v>Q1-2026</v>
      </c>
    </row>
    <row r="1347" spans="1:12">
      <c r="A1347" s="6">
        <v>46045</v>
      </c>
      <c r="B1347" t="s">
        <v>28</v>
      </c>
      <c r="C1347" t="s">
        <v>29</v>
      </c>
      <c r="D1347" s="2">
        <v>1625.156423764028</v>
      </c>
      <c r="E1347" s="2">
        <v>1633.975894403156</v>
      </c>
      <c r="F1347" s="2">
        <v>1610.6885919894639</v>
      </c>
      <c r="G1347" s="2">
        <v>1617.129760742188</v>
      </c>
      <c r="H1347" s="3">
        <v>1678658</v>
      </c>
      <c r="I1347" s="4">
        <f t="shared" si="84"/>
        <v>-0.89</v>
      </c>
      <c r="J1347" s="2">
        <f t="shared" si="85"/>
        <v>16.850000000000001</v>
      </c>
      <c r="K1347" s="7">
        <f t="shared" si="86"/>
        <v>46023</v>
      </c>
      <c r="L1347" t="str">
        <f t="shared" si="87"/>
        <v>Q1-2026</v>
      </c>
    </row>
    <row r="1348" spans="1:12">
      <c r="A1348" s="6">
        <v>46045</v>
      </c>
      <c r="B1348" t="s">
        <v>30</v>
      </c>
      <c r="C1348" t="s">
        <v>31</v>
      </c>
      <c r="D1348" s="2">
        <v>2680.543572613381</v>
      </c>
      <c r="E1348" s="2">
        <v>2758.963056342538</v>
      </c>
      <c r="F1348" s="2">
        <v>2667.6553908637452</v>
      </c>
      <c r="G1348" s="2">
        <v>2680.4443359375</v>
      </c>
      <c r="H1348" s="3">
        <v>1786635</v>
      </c>
      <c r="I1348" s="4">
        <f t="shared" si="84"/>
        <v>-0.48</v>
      </c>
      <c r="J1348" s="2">
        <f t="shared" si="85"/>
        <v>78.52</v>
      </c>
      <c r="K1348" s="7">
        <f t="shared" si="86"/>
        <v>46023</v>
      </c>
      <c r="L1348" t="str">
        <f t="shared" si="87"/>
        <v>Q1-2026</v>
      </c>
    </row>
    <row r="1349" spans="1:12">
      <c r="A1349" s="6">
        <v>46045</v>
      </c>
      <c r="B1349" t="s">
        <v>32</v>
      </c>
      <c r="C1349" t="s">
        <v>33</v>
      </c>
      <c r="D1349" s="2">
        <v>2375.8341817545129</v>
      </c>
      <c r="E1349" s="2">
        <v>2409.7888602718922</v>
      </c>
      <c r="F1349" s="2">
        <v>2352.8678330006901</v>
      </c>
      <c r="G1349" s="2">
        <v>2385.238525390625</v>
      </c>
      <c r="H1349" s="3">
        <v>1378097</v>
      </c>
      <c r="I1349" s="4">
        <f t="shared" si="84"/>
        <v>-0.97</v>
      </c>
      <c r="J1349" s="2">
        <f t="shared" si="85"/>
        <v>24.55</v>
      </c>
      <c r="K1349" s="7">
        <f t="shared" si="86"/>
        <v>46023</v>
      </c>
      <c r="L1349" t="str">
        <f t="shared" si="87"/>
        <v>Q1-2026</v>
      </c>
    </row>
    <row r="1350" spans="1:12">
      <c r="A1350" s="6">
        <v>46045</v>
      </c>
      <c r="B1350" t="s">
        <v>34</v>
      </c>
      <c r="C1350" t="s">
        <v>35</v>
      </c>
      <c r="D1350" s="2">
        <v>3761.262350741998</v>
      </c>
      <c r="E1350" s="2">
        <v>3762.6487119795611</v>
      </c>
      <c r="F1350" s="2">
        <v>3684.1159658520501</v>
      </c>
      <c r="G1350" s="2">
        <v>3707.586669921875</v>
      </c>
      <c r="H1350" s="3">
        <v>1898703</v>
      </c>
      <c r="I1350" s="4">
        <f t="shared" si="84"/>
        <v>-2.0499999999999998</v>
      </c>
      <c r="J1350" s="2">
        <f t="shared" si="85"/>
        <v>55.06</v>
      </c>
      <c r="K1350" s="7">
        <f t="shared" si="86"/>
        <v>46023</v>
      </c>
      <c r="L1350" t="str">
        <f t="shared" si="87"/>
        <v>Q1-2026</v>
      </c>
    </row>
    <row r="1351" spans="1:12">
      <c r="A1351" s="6">
        <v>46045</v>
      </c>
      <c r="B1351" t="s">
        <v>36</v>
      </c>
      <c r="C1351" t="s">
        <v>37</v>
      </c>
      <c r="D1351" s="2">
        <v>1296.000462081739</v>
      </c>
      <c r="E1351" s="2">
        <v>1297.9989207742319</v>
      </c>
      <c r="F1351" s="2">
        <v>1247.0382241156599</v>
      </c>
      <c r="G1351" s="2">
        <v>1257.030517578125</v>
      </c>
      <c r="H1351" s="3">
        <v>8885549</v>
      </c>
      <c r="I1351" s="4">
        <f t="shared" si="84"/>
        <v>-3.78</v>
      </c>
      <c r="J1351" s="2">
        <f t="shared" si="85"/>
        <v>40.97</v>
      </c>
      <c r="K1351" s="7">
        <f t="shared" si="86"/>
        <v>46023</v>
      </c>
      <c r="L1351" t="str">
        <f t="shared" si="87"/>
        <v>Q1-2026</v>
      </c>
    </row>
    <row r="1352" spans="1:12">
      <c r="A1352" s="6">
        <v>46049</v>
      </c>
      <c r="B1352" t="s">
        <v>8</v>
      </c>
      <c r="C1352" t="s">
        <v>9</v>
      </c>
      <c r="D1352" s="2">
        <v>1373.648785539659</v>
      </c>
      <c r="E1352" s="2">
        <v>1385.1953742178571</v>
      </c>
      <c r="F1352" s="2">
        <v>1361.704013491488</v>
      </c>
      <c r="G1352" s="2">
        <v>1374.146484375</v>
      </c>
      <c r="H1352" s="3">
        <v>26302396</v>
      </c>
      <c r="I1352" s="4">
        <f t="shared" si="84"/>
        <v>-0.87</v>
      </c>
      <c r="J1352" s="2">
        <f t="shared" si="85"/>
        <v>11.05</v>
      </c>
      <c r="K1352" s="7">
        <f t="shared" si="86"/>
        <v>46023</v>
      </c>
      <c r="L1352" t="str">
        <f t="shared" si="87"/>
        <v>Q1-2026</v>
      </c>
    </row>
    <row r="1353" spans="1:12">
      <c r="A1353" s="6">
        <v>46049</v>
      </c>
      <c r="B1353" t="s">
        <v>10</v>
      </c>
      <c r="C1353" t="s">
        <v>11</v>
      </c>
      <c r="D1353" s="2">
        <v>3115.4440572399221</v>
      </c>
      <c r="E1353" s="2">
        <v>3115.4440572399221</v>
      </c>
      <c r="F1353" s="2">
        <v>3071.2881572160491</v>
      </c>
      <c r="G1353" s="2">
        <v>3098.762939453125</v>
      </c>
      <c r="H1353" s="3">
        <v>4279874</v>
      </c>
      <c r="I1353" s="4">
        <f t="shared" si="84"/>
        <v>-1.42</v>
      </c>
      <c r="J1353" s="2">
        <f t="shared" si="85"/>
        <v>16.68</v>
      </c>
      <c r="K1353" s="7">
        <f t="shared" si="86"/>
        <v>46023</v>
      </c>
      <c r="L1353" t="str">
        <f t="shared" si="87"/>
        <v>Q1-2026</v>
      </c>
    </row>
    <row r="1354" spans="1:12">
      <c r="A1354" s="6">
        <v>46049</v>
      </c>
      <c r="B1354" t="s">
        <v>12</v>
      </c>
      <c r="C1354" t="s">
        <v>13</v>
      </c>
      <c r="D1354" s="2">
        <v>1650.0930280724319</v>
      </c>
      <c r="E1354" s="2">
        <v>1653.616752383459</v>
      </c>
      <c r="F1354" s="2">
        <v>1625.916128399102</v>
      </c>
      <c r="G1354" s="2">
        <v>1647.05859375</v>
      </c>
      <c r="H1354" s="3">
        <v>10673087</v>
      </c>
      <c r="I1354" s="4">
        <f t="shared" si="84"/>
        <v>-1.47</v>
      </c>
      <c r="J1354" s="2">
        <f t="shared" si="85"/>
        <v>6.56</v>
      </c>
      <c r="K1354" s="7">
        <f t="shared" si="86"/>
        <v>46023</v>
      </c>
      <c r="L1354" t="str">
        <f t="shared" si="87"/>
        <v>Q1-2026</v>
      </c>
    </row>
    <row r="1355" spans="1:12">
      <c r="A1355" s="6">
        <v>46049</v>
      </c>
      <c r="B1355" t="s">
        <v>14</v>
      </c>
      <c r="C1355" t="s">
        <v>15</v>
      </c>
      <c r="D1355" s="2">
        <v>891.25909976572882</v>
      </c>
      <c r="E1355" s="2">
        <v>916.04909997955235</v>
      </c>
      <c r="F1355" s="2">
        <v>890.27537007503827</v>
      </c>
      <c r="G1355" s="2">
        <v>911.32720947265625</v>
      </c>
      <c r="H1355" s="3">
        <v>44753093</v>
      </c>
      <c r="I1355" s="4">
        <f t="shared" si="84"/>
        <v>-0.11</v>
      </c>
      <c r="J1355" s="2">
        <f t="shared" si="85"/>
        <v>4.72</v>
      </c>
      <c r="K1355" s="7">
        <f t="shared" si="86"/>
        <v>46023</v>
      </c>
      <c r="L1355" t="str">
        <f t="shared" si="87"/>
        <v>Q1-2026</v>
      </c>
    </row>
    <row r="1356" spans="1:12">
      <c r="A1356" s="6">
        <v>46049</v>
      </c>
      <c r="B1356" t="s">
        <v>16</v>
      </c>
      <c r="C1356" t="s">
        <v>17</v>
      </c>
      <c r="D1356" s="2">
        <v>1328.7975572308819</v>
      </c>
      <c r="E1356" s="2">
        <v>1357.6542560921289</v>
      </c>
      <c r="F1356" s="2">
        <v>1317.4928373847781</v>
      </c>
      <c r="G1356" s="2">
        <v>1350.018676757812</v>
      </c>
      <c r="H1356" s="3">
        <v>25263634</v>
      </c>
      <c r="I1356" s="4">
        <f t="shared" si="84"/>
        <v>-0.85</v>
      </c>
      <c r="J1356" s="2">
        <f t="shared" si="85"/>
        <v>7.64</v>
      </c>
      <c r="K1356" s="7">
        <f t="shared" si="86"/>
        <v>46023</v>
      </c>
      <c r="L1356" t="str">
        <f t="shared" si="87"/>
        <v>Q1-2026</v>
      </c>
    </row>
    <row r="1357" spans="1:12">
      <c r="A1357" s="6">
        <v>46049</v>
      </c>
      <c r="B1357" t="s">
        <v>18</v>
      </c>
      <c r="C1357" t="s">
        <v>19</v>
      </c>
      <c r="D1357" s="2">
        <v>232.54415887455281</v>
      </c>
      <c r="E1357" s="2">
        <v>233.73060566282561</v>
      </c>
      <c r="F1357" s="2">
        <v>229.13311870083501</v>
      </c>
      <c r="G1357" s="2">
        <v>232.148681640625</v>
      </c>
      <c r="H1357" s="3">
        <v>15677537</v>
      </c>
      <c r="I1357" s="4">
        <f t="shared" si="84"/>
        <v>-1.47</v>
      </c>
      <c r="J1357" s="2">
        <f t="shared" si="85"/>
        <v>1.58</v>
      </c>
      <c r="K1357" s="7">
        <f t="shared" si="86"/>
        <v>46023</v>
      </c>
      <c r="L1357" t="str">
        <f t="shared" si="87"/>
        <v>Q1-2026</v>
      </c>
    </row>
    <row r="1358" spans="1:12">
      <c r="A1358" s="6">
        <v>46049</v>
      </c>
      <c r="B1358" t="s">
        <v>20</v>
      </c>
      <c r="C1358" t="s">
        <v>21</v>
      </c>
      <c r="D1358" s="2">
        <v>1670.6335465010411</v>
      </c>
      <c r="E1358" s="2">
        <v>1675.9756886555499</v>
      </c>
      <c r="F1358" s="2">
        <v>1651.6932243168719</v>
      </c>
      <c r="G1358" s="2">
        <v>1670.827758789062</v>
      </c>
      <c r="H1358" s="3">
        <v>2671530</v>
      </c>
      <c r="I1358" s="4">
        <f t="shared" si="84"/>
        <v>-1.1299999999999999</v>
      </c>
      <c r="J1358" s="2">
        <f t="shared" si="85"/>
        <v>5.15</v>
      </c>
      <c r="K1358" s="7">
        <f t="shared" si="86"/>
        <v>46023</v>
      </c>
      <c r="L1358" t="str">
        <f t="shared" si="87"/>
        <v>Q1-2026</v>
      </c>
    </row>
    <row r="1359" spans="1:12">
      <c r="A1359" s="6">
        <v>46049</v>
      </c>
      <c r="B1359" t="s">
        <v>22</v>
      </c>
      <c r="C1359" t="s">
        <v>23</v>
      </c>
      <c r="D1359" s="2">
        <v>924.31802138532521</v>
      </c>
      <c r="E1359" s="2">
        <v>926.25611969164822</v>
      </c>
      <c r="F1359" s="2">
        <v>902.15427881143944</v>
      </c>
      <c r="G1359" s="2">
        <v>909.11151123046875</v>
      </c>
      <c r="H1359" s="3">
        <v>15312488</v>
      </c>
      <c r="I1359" s="4">
        <f t="shared" si="84"/>
        <v>-2.4</v>
      </c>
      <c r="J1359" s="2">
        <f t="shared" si="85"/>
        <v>17.14</v>
      </c>
      <c r="K1359" s="7">
        <f t="shared" si="86"/>
        <v>46023</v>
      </c>
      <c r="L1359" t="str">
        <f t="shared" si="87"/>
        <v>Q1-2026</v>
      </c>
    </row>
    <row r="1360" spans="1:12">
      <c r="A1360" s="6">
        <v>46049</v>
      </c>
      <c r="B1360" t="s">
        <v>24</v>
      </c>
      <c r="C1360" t="s">
        <v>25</v>
      </c>
      <c r="D1360" s="2">
        <v>15147.869139984419</v>
      </c>
      <c r="E1360" s="2">
        <v>15234.00408215296</v>
      </c>
      <c r="F1360" s="2">
        <v>14863.722836508899</v>
      </c>
      <c r="G1360" s="2">
        <v>15093.416015625</v>
      </c>
      <c r="H1360" s="3">
        <v>565768</v>
      </c>
      <c r="I1360" s="4">
        <f t="shared" si="84"/>
        <v>-1.88</v>
      </c>
      <c r="J1360" s="2">
        <f t="shared" si="85"/>
        <v>140.59</v>
      </c>
      <c r="K1360" s="7">
        <f t="shared" si="86"/>
        <v>46023</v>
      </c>
      <c r="L1360" t="str">
        <f t="shared" si="87"/>
        <v>Q1-2026</v>
      </c>
    </row>
    <row r="1361" spans="1:12">
      <c r="A1361" s="6">
        <v>46049</v>
      </c>
      <c r="B1361" t="s">
        <v>26</v>
      </c>
      <c r="C1361" t="s">
        <v>27</v>
      </c>
      <c r="D1361" s="2">
        <v>337.20279749106157</v>
      </c>
      <c r="E1361" s="2">
        <v>342.1616621600478</v>
      </c>
      <c r="F1361" s="2">
        <v>333.13652240919129</v>
      </c>
      <c r="G1361" s="2">
        <v>337.74826049804688</v>
      </c>
      <c r="H1361" s="3">
        <v>12510469</v>
      </c>
      <c r="I1361" s="4">
        <f t="shared" si="84"/>
        <v>-1.21</v>
      </c>
      <c r="J1361" s="2">
        <f t="shared" si="85"/>
        <v>4.41</v>
      </c>
      <c r="K1361" s="7">
        <f t="shared" si="86"/>
        <v>46023</v>
      </c>
      <c r="L1361" t="str">
        <f t="shared" si="87"/>
        <v>Q1-2026</v>
      </c>
    </row>
    <row r="1362" spans="1:12">
      <c r="A1362" s="6">
        <v>46049</v>
      </c>
      <c r="B1362" t="s">
        <v>28</v>
      </c>
      <c r="C1362" t="s">
        <v>29</v>
      </c>
      <c r="D1362" s="2">
        <v>1643.1916501474459</v>
      </c>
      <c r="E1362" s="2">
        <v>1643.1916501474459</v>
      </c>
      <c r="F1362" s="2">
        <v>1607.6166763750309</v>
      </c>
      <c r="G1362" s="2">
        <v>1624.06640625</v>
      </c>
      <c r="H1362" s="3">
        <v>2666522</v>
      </c>
      <c r="I1362" s="4">
        <f t="shared" si="84"/>
        <v>-2.16</v>
      </c>
      <c r="J1362" s="2">
        <f t="shared" si="85"/>
        <v>19.13</v>
      </c>
      <c r="K1362" s="7">
        <f t="shared" si="86"/>
        <v>46023</v>
      </c>
      <c r="L1362" t="str">
        <f t="shared" si="87"/>
        <v>Q1-2026</v>
      </c>
    </row>
    <row r="1363" spans="1:12">
      <c r="A1363" s="6">
        <v>46049</v>
      </c>
      <c r="B1363" t="s">
        <v>30</v>
      </c>
      <c r="C1363" t="s">
        <v>31</v>
      </c>
      <c r="D1363" s="2">
        <v>2696.505144090142</v>
      </c>
      <c r="E1363" s="2">
        <v>2711.1778928054291</v>
      </c>
      <c r="F1363" s="2">
        <v>2524.1010122974162</v>
      </c>
      <c r="G1363" s="2">
        <v>2600.240478515625</v>
      </c>
      <c r="H1363" s="3">
        <v>3818761</v>
      </c>
      <c r="I1363" s="4">
        <f t="shared" si="84"/>
        <v>-6.39</v>
      </c>
      <c r="J1363" s="2">
        <f t="shared" si="85"/>
        <v>110.94</v>
      </c>
      <c r="K1363" s="7">
        <f t="shared" si="86"/>
        <v>46023</v>
      </c>
      <c r="L1363" t="str">
        <f t="shared" si="87"/>
        <v>Q1-2026</v>
      </c>
    </row>
    <row r="1364" spans="1:12">
      <c r="A1364" s="6">
        <v>46049</v>
      </c>
      <c r="B1364" t="s">
        <v>32</v>
      </c>
      <c r="C1364" t="s">
        <v>33</v>
      </c>
      <c r="D1364" s="2">
        <v>2387.7131824960652</v>
      </c>
      <c r="E1364" s="2">
        <v>2397.2166152187342</v>
      </c>
      <c r="F1364" s="2">
        <v>2356.530361082871</v>
      </c>
      <c r="G1364" s="2">
        <v>2376.724853515625</v>
      </c>
      <c r="H1364" s="3">
        <v>2060117</v>
      </c>
      <c r="I1364" s="4">
        <f t="shared" si="84"/>
        <v>-1.31</v>
      </c>
      <c r="J1364" s="2">
        <f t="shared" si="85"/>
        <v>20.49</v>
      </c>
      <c r="K1364" s="7">
        <f t="shared" si="86"/>
        <v>46023</v>
      </c>
      <c r="L1364" t="str">
        <f t="shared" si="87"/>
        <v>Q1-2026</v>
      </c>
    </row>
    <row r="1365" spans="1:12">
      <c r="A1365" s="6">
        <v>46049</v>
      </c>
      <c r="B1365" t="s">
        <v>34</v>
      </c>
      <c r="C1365" t="s">
        <v>35</v>
      </c>
      <c r="D1365" s="2">
        <v>3707.5867393080662</v>
      </c>
      <c r="E1365" s="2">
        <v>3778.097982259424</v>
      </c>
      <c r="F1365" s="2">
        <v>3702.8331207517658</v>
      </c>
      <c r="G1365" s="2">
        <v>3751.1611328125</v>
      </c>
      <c r="H1365" s="3">
        <v>2162193</v>
      </c>
      <c r="I1365" s="4">
        <f t="shared" si="84"/>
        <v>-0.13</v>
      </c>
      <c r="J1365" s="2">
        <f t="shared" si="85"/>
        <v>26.94</v>
      </c>
      <c r="K1365" s="7">
        <f t="shared" si="86"/>
        <v>46023</v>
      </c>
      <c r="L1365" t="str">
        <f t="shared" si="87"/>
        <v>Q1-2026</v>
      </c>
    </row>
    <row r="1366" spans="1:12">
      <c r="A1366" s="6">
        <v>46049</v>
      </c>
      <c r="B1366" t="s">
        <v>36</v>
      </c>
      <c r="C1366" t="s">
        <v>37</v>
      </c>
      <c r="D1366" s="2">
        <v>1287.806818636476</v>
      </c>
      <c r="E1366" s="2">
        <v>1332.172503629323</v>
      </c>
      <c r="F1366" s="2">
        <v>1277.4148091338429</v>
      </c>
      <c r="G1366" s="2">
        <v>1314.786010742188</v>
      </c>
      <c r="H1366" s="3">
        <v>22715357</v>
      </c>
      <c r="I1366" s="4">
        <f t="shared" si="84"/>
        <v>-0.81</v>
      </c>
      <c r="J1366" s="2">
        <f t="shared" si="85"/>
        <v>17.39</v>
      </c>
      <c r="K1366" s="7">
        <f t="shared" si="86"/>
        <v>46023</v>
      </c>
      <c r="L1366" t="str">
        <f t="shared" si="87"/>
        <v>Q1-2026</v>
      </c>
    </row>
    <row r="1367" spans="1:12">
      <c r="A1367" s="6">
        <v>46050</v>
      </c>
      <c r="B1367" t="s">
        <v>8</v>
      </c>
      <c r="C1367" t="s">
        <v>9</v>
      </c>
      <c r="D1367" s="2">
        <v>1378.625746672323</v>
      </c>
      <c r="E1367" s="2">
        <v>1403.411172484595</v>
      </c>
      <c r="F1367" s="2">
        <v>1378.526231208921</v>
      </c>
      <c r="G1367" s="2">
        <v>1390.271850585938</v>
      </c>
      <c r="H1367" s="3">
        <v>11121657</v>
      </c>
      <c r="I1367" s="4">
        <f t="shared" si="84"/>
        <v>-0.01</v>
      </c>
      <c r="J1367" s="2">
        <f t="shared" si="85"/>
        <v>13.14</v>
      </c>
      <c r="K1367" s="7">
        <f t="shared" si="86"/>
        <v>46023</v>
      </c>
      <c r="L1367" t="str">
        <f t="shared" si="87"/>
        <v>Q1-2026</v>
      </c>
    </row>
    <row r="1368" spans="1:12">
      <c r="A1368" s="6">
        <v>46050</v>
      </c>
      <c r="B1368" t="s">
        <v>10</v>
      </c>
      <c r="C1368" t="s">
        <v>11</v>
      </c>
      <c r="D1368" s="2">
        <v>3116.4254517795389</v>
      </c>
      <c r="E1368" s="2">
        <v>3145.077678172092</v>
      </c>
      <c r="F1368" s="2">
        <v>3111.1268393421369</v>
      </c>
      <c r="G1368" s="2">
        <v>3140.073486328125</v>
      </c>
      <c r="H1368" s="3">
        <v>2751234</v>
      </c>
      <c r="I1368" s="4">
        <f t="shared" si="84"/>
        <v>-0.17</v>
      </c>
      <c r="J1368" s="2">
        <f t="shared" si="85"/>
        <v>5</v>
      </c>
      <c r="K1368" s="7">
        <f t="shared" si="86"/>
        <v>46023</v>
      </c>
      <c r="L1368" t="str">
        <f t="shared" si="87"/>
        <v>Q1-2026</v>
      </c>
    </row>
    <row r="1369" spans="1:12">
      <c r="A1369" s="6">
        <v>46050</v>
      </c>
      <c r="B1369" t="s">
        <v>12</v>
      </c>
      <c r="C1369" t="s">
        <v>13</v>
      </c>
      <c r="D1369" s="2">
        <v>1644.415838068182</v>
      </c>
      <c r="E1369" s="2">
        <v>1653.0294926329091</v>
      </c>
      <c r="F1369" s="2">
        <v>1615.05126953125</v>
      </c>
      <c r="G1369" s="2">
        <v>1631.201782226562</v>
      </c>
      <c r="H1369" s="3">
        <v>8588664</v>
      </c>
      <c r="I1369" s="4">
        <f t="shared" si="84"/>
        <v>-1.79</v>
      </c>
      <c r="J1369" s="2">
        <f t="shared" si="85"/>
        <v>21.83</v>
      </c>
      <c r="K1369" s="7">
        <f t="shared" si="86"/>
        <v>46023</v>
      </c>
      <c r="L1369" t="str">
        <f t="shared" si="87"/>
        <v>Q1-2026</v>
      </c>
    </row>
    <row r="1370" spans="1:12">
      <c r="A1370" s="6">
        <v>46050</v>
      </c>
      <c r="B1370" t="s">
        <v>14</v>
      </c>
      <c r="C1370" t="s">
        <v>15</v>
      </c>
      <c r="D1370" s="2">
        <v>917.32790026435475</v>
      </c>
      <c r="E1370" s="2">
        <v>926.13229265600762</v>
      </c>
      <c r="F1370" s="2">
        <v>913.29463270898407</v>
      </c>
      <c r="G1370" s="2">
        <v>917.524658203125</v>
      </c>
      <c r="H1370" s="3">
        <v>35347138</v>
      </c>
      <c r="I1370" s="4">
        <f t="shared" si="84"/>
        <v>-0.44</v>
      </c>
      <c r="J1370" s="2">
        <f t="shared" si="85"/>
        <v>8.61</v>
      </c>
      <c r="K1370" s="7">
        <f t="shared" si="86"/>
        <v>46023</v>
      </c>
      <c r="L1370" t="str">
        <f t="shared" si="87"/>
        <v>Q1-2026</v>
      </c>
    </row>
    <row r="1371" spans="1:12">
      <c r="A1371" s="6">
        <v>46050</v>
      </c>
      <c r="B1371" t="s">
        <v>16</v>
      </c>
      <c r="C1371" t="s">
        <v>17</v>
      </c>
      <c r="D1371" s="2">
        <v>1351.208651377528</v>
      </c>
      <c r="E1371" s="2">
        <v>1368.8598919488211</v>
      </c>
      <c r="F1371" s="2">
        <v>1351.208651377528</v>
      </c>
      <c r="G1371" s="2">
        <v>1356.265991210938</v>
      </c>
      <c r="H1371" s="3">
        <v>13242696</v>
      </c>
      <c r="I1371" s="4">
        <f t="shared" si="84"/>
        <v>0</v>
      </c>
      <c r="J1371" s="2">
        <f t="shared" si="85"/>
        <v>12.59</v>
      </c>
      <c r="K1371" s="7">
        <f t="shared" si="86"/>
        <v>46023</v>
      </c>
      <c r="L1371" t="str">
        <f t="shared" si="87"/>
        <v>Q1-2026</v>
      </c>
    </row>
    <row r="1372" spans="1:12">
      <c r="A1372" s="6">
        <v>46050</v>
      </c>
      <c r="B1372" t="s">
        <v>18</v>
      </c>
      <c r="C1372" t="s">
        <v>19</v>
      </c>
      <c r="D1372" s="2">
        <v>232.84077519918071</v>
      </c>
      <c r="E1372" s="2">
        <v>235.41142248862951</v>
      </c>
      <c r="F1372" s="2">
        <v>232.29698268566389</v>
      </c>
      <c r="G1372" s="2">
        <v>234.6698913574219</v>
      </c>
      <c r="H1372" s="3">
        <v>10155128</v>
      </c>
      <c r="I1372" s="4">
        <f t="shared" si="84"/>
        <v>-0.23</v>
      </c>
      <c r="J1372" s="2">
        <f t="shared" si="85"/>
        <v>0.74</v>
      </c>
      <c r="K1372" s="7">
        <f t="shared" si="86"/>
        <v>46023</v>
      </c>
      <c r="L1372" t="str">
        <f t="shared" si="87"/>
        <v>Q1-2026</v>
      </c>
    </row>
    <row r="1373" spans="1:12">
      <c r="A1373" s="6">
        <v>46050</v>
      </c>
      <c r="B1373" t="s">
        <v>20</v>
      </c>
      <c r="C1373" t="s">
        <v>21</v>
      </c>
      <c r="D1373" s="2">
        <v>1656.1610721542711</v>
      </c>
      <c r="E1373" s="2">
        <v>1684.6201660350771</v>
      </c>
      <c r="F1373" s="2">
        <v>1642.4657868231391</v>
      </c>
      <c r="G1373" s="2">
        <v>1679.957885742188</v>
      </c>
      <c r="H1373" s="3">
        <v>2713867</v>
      </c>
      <c r="I1373" s="4">
        <f t="shared" si="84"/>
        <v>-0.83</v>
      </c>
      <c r="J1373" s="2">
        <f t="shared" si="85"/>
        <v>4.66</v>
      </c>
      <c r="K1373" s="7">
        <f t="shared" si="86"/>
        <v>46023</v>
      </c>
      <c r="L1373" t="str">
        <f t="shared" si="87"/>
        <v>Q1-2026</v>
      </c>
    </row>
    <row r="1374" spans="1:12">
      <c r="A1374" s="6">
        <v>46050</v>
      </c>
      <c r="B1374" t="s">
        <v>22</v>
      </c>
      <c r="C1374" t="s">
        <v>23</v>
      </c>
      <c r="D1374" s="2">
        <v>909.11151469571166</v>
      </c>
      <c r="E1374" s="2">
        <v>931.17589258404337</v>
      </c>
      <c r="F1374" s="2">
        <v>909.11151469571166</v>
      </c>
      <c r="G1374" s="2">
        <v>929.43658447265625</v>
      </c>
      <c r="H1374" s="3">
        <v>6046468</v>
      </c>
      <c r="I1374" s="4">
        <f t="shared" si="84"/>
        <v>0</v>
      </c>
      <c r="J1374" s="2">
        <f t="shared" si="85"/>
        <v>1.74</v>
      </c>
      <c r="K1374" s="7">
        <f t="shared" si="86"/>
        <v>46023</v>
      </c>
      <c r="L1374" t="str">
        <f t="shared" si="87"/>
        <v>Q1-2026</v>
      </c>
    </row>
    <row r="1375" spans="1:12">
      <c r="A1375" s="6">
        <v>46050</v>
      </c>
      <c r="B1375" t="s">
        <v>24</v>
      </c>
      <c r="C1375" t="s">
        <v>25</v>
      </c>
      <c r="D1375" s="2">
        <v>15010.251329981371</v>
      </c>
      <c r="E1375" s="2">
        <v>15141.92888600587</v>
      </c>
      <c r="F1375" s="2">
        <v>14287.50985706491</v>
      </c>
      <c r="G1375" s="2">
        <v>14729.0751953125</v>
      </c>
      <c r="H1375" s="3">
        <v>1584483</v>
      </c>
      <c r="I1375" s="4">
        <f t="shared" si="84"/>
        <v>-4.8099999999999996</v>
      </c>
      <c r="J1375" s="2">
        <f t="shared" si="85"/>
        <v>412.85</v>
      </c>
      <c r="K1375" s="7">
        <f t="shared" si="86"/>
        <v>46023</v>
      </c>
      <c r="L1375" t="str">
        <f t="shared" si="87"/>
        <v>Q1-2026</v>
      </c>
    </row>
    <row r="1376" spans="1:12">
      <c r="A1376" s="6">
        <v>46050</v>
      </c>
      <c r="B1376" t="s">
        <v>26</v>
      </c>
      <c r="C1376" t="s">
        <v>27</v>
      </c>
      <c r="D1376" s="2">
        <v>339.08716148707578</v>
      </c>
      <c r="E1376" s="2">
        <v>343.74850640280391</v>
      </c>
      <c r="F1376" s="2">
        <v>334.27705668393259</v>
      </c>
      <c r="G1376" s="2">
        <v>337.64910888671881</v>
      </c>
      <c r="H1376" s="3">
        <v>9425163</v>
      </c>
      <c r="I1376" s="4">
        <f t="shared" si="84"/>
        <v>-1.42</v>
      </c>
      <c r="J1376" s="2">
        <f t="shared" si="85"/>
        <v>6.1</v>
      </c>
      <c r="K1376" s="7">
        <f t="shared" si="86"/>
        <v>46023</v>
      </c>
      <c r="L1376" t="str">
        <f t="shared" si="87"/>
        <v>Q1-2026</v>
      </c>
    </row>
    <row r="1377" spans="1:12">
      <c r="A1377" s="6">
        <v>46050</v>
      </c>
      <c r="B1377" t="s">
        <v>28</v>
      </c>
      <c r="C1377" t="s">
        <v>29</v>
      </c>
      <c r="D1377" s="2">
        <v>1625.0573154917729</v>
      </c>
      <c r="E1377" s="2">
        <v>1634.372260435036</v>
      </c>
      <c r="F1377" s="2">
        <v>1585.518425561248</v>
      </c>
      <c r="G1377" s="2">
        <v>1596.0224609375</v>
      </c>
      <c r="H1377" s="3">
        <v>4124391</v>
      </c>
      <c r="I1377" s="4">
        <f t="shared" si="84"/>
        <v>-2.4300000000000002</v>
      </c>
      <c r="J1377" s="2">
        <f t="shared" si="85"/>
        <v>38.35</v>
      </c>
      <c r="K1377" s="7">
        <f t="shared" si="86"/>
        <v>46023</v>
      </c>
      <c r="L1377" t="str">
        <f t="shared" si="87"/>
        <v>Q1-2026</v>
      </c>
    </row>
    <row r="1378" spans="1:12">
      <c r="A1378" s="6">
        <v>46050</v>
      </c>
      <c r="B1378" t="s">
        <v>30</v>
      </c>
      <c r="C1378" t="s">
        <v>31</v>
      </c>
      <c r="D1378" s="2">
        <v>2513.195467623375</v>
      </c>
      <c r="E1378" s="2">
        <v>2526.579348811902</v>
      </c>
      <c r="F1378" s="2">
        <v>2429.917984672541</v>
      </c>
      <c r="G1378" s="2">
        <v>2490.195068359375</v>
      </c>
      <c r="H1378" s="3">
        <v>3430002</v>
      </c>
      <c r="I1378" s="4">
        <f t="shared" si="84"/>
        <v>-3.31</v>
      </c>
      <c r="J1378" s="2">
        <f t="shared" si="85"/>
        <v>36.380000000000003</v>
      </c>
      <c r="K1378" s="7">
        <f t="shared" si="86"/>
        <v>46023</v>
      </c>
      <c r="L1378" t="str">
        <f t="shared" si="87"/>
        <v>Q1-2026</v>
      </c>
    </row>
    <row r="1379" spans="1:12">
      <c r="A1379" s="6">
        <v>46050</v>
      </c>
      <c r="B1379" t="s">
        <v>32</v>
      </c>
      <c r="C1379" t="s">
        <v>33</v>
      </c>
      <c r="D1379" s="2">
        <v>2378.9029011389089</v>
      </c>
      <c r="E1379" s="2">
        <v>2395.8305735138729</v>
      </c>
      <c r="F1379" s="2">
        <v>2317.032223564474</v>
      </c>
      <c r="G1379" s="2">
        <v>2354.451416015625</v>
      </c>
      <c r="H1379" s="3">
        <v>1797593</v>
      </c>
      <c r="I1379" s="4">
        <f t="shared" si="84"/>
        <v>-2.6</v>
      </c>
      <c r="J1379" s="2">
        <f t="shared" si="85"/>
        <v>41.38</v>
      </c>
      <c r="K1379" s="7">
        <f t="shared" si="86"/>
        <v>46023</v>
      </c>
      <c r="L1379" t="str">
        <f t="shared" si="87"/>
        <v>Q1-2026</v>
      </c>
    </row>
    <row r="1380" spans="1:12">
      <c r="A1380" s="6">
        <v>46050</v>
      </c>
      <c r="B1380" t="s">
        <v>34</v>
      </c>
      <c r="C1380" t="s">
        <v>35</v>
      </c>
      <c r="D1380" s="2">
        <v>3767.501442898134</v>
      </c>
      <c r="E1380" s="2">
        <v>3791.170163926839</v>
      </c>
      <c r="F1380" s="2">
        <v>3732.6419772598142</v>
      </c>
      <c r="G1380" s="2">
        <v>3757.301025390625</v>
      </c>
      <c r="H1380" s="3">
        <v>2111741</v>
      </c>
      <c r="I1380" s="4">
        <f t="shared" si="84"/>
        <v>-0.93</v>
      </c>
      <c r="J1380" s="2">
        <f t="shared" si="85"/>
        <v>33.869999999999997</v>
      </c>
      <c r="K1380" s="7">
        <f t="shared" si="86"/>
        <v>46023</v>
      </c>
      <c r="L1380" t="str">
        <f t="shared" si="87"/>
        <v>Q1-2026</v>
      </c>
    </row>
    <row r="1381" spans="1:12">
      <c r="A1381" s="6">
        <v>46050</v>
      </c>
      <c r="B1381" t="s">
        <v>36</v>
      </c>
      <c r="C1381" t="s">
        <v>37</v>
      </c>
      <c r="D1381" s="2">
        <v>1346.96117816438</v>
      </c>
      <c r="E1381" s="2">
        <v>1368.3447108776679</v>
      </c>
      <c r="F1381" s="2">
        <v>1309.190259541085</v>
      </c>
      <c r="G1381" s="2">
        <v>1318.782958984375</v>
      </c>
      <c r="H1381" s="3">
        <v>15426403</v>
      </c>
      <c r="I1381" s="4">
        <f t="shared" si="84"/>
        <v>-2.8</v>
      </c>
      <c r="J1381" s="2">
        <f t="shared" si="85"/>
        <v>49.56</v>
      </c>
      <c r="K1381" s="7">
        <f t="shared" si="86"/>
        <v>46023</v>
      </c>
      <c r="L1381" t="str">
        <f t="shared" si="87"/>
        <v>Q1-2026</v>
      </c>
    </row>
    <row r="1382" spans="1:12">
      <c r="A1382" s="6">
        <v>46051</v>
      </c>
      <c r="B1382" t="s">
        <v>8</v>
      </c>
      <c r="C1382" t="s">
        <v>9</v>
      </c>
      <c r="D1382" s="2">
        <v>1396.443400982427</v>
      </c>
      <c r="E1382" s="2">
        <v>1396.443400982427</v>
      </c>
      <c r="F1382" s="2">
        <v>1377.6303609139111</v>
      </c>
      <c r="G1382" s="2">
        <v>1384.59814453125</v>
      </c>
      <c r="H1382" s="3">
        <v>20846683</v>
      </c>
      <c r="I1382" s="4">
        <f t="shared" si="84"/>
        <v>-1.35</v>
      </c>
      <c r="J1382" s="2">
        <f t="shared" si="85"/>
        <v>11.85</v>
      </c>
      <c r="K1382" s="7">
        <f t="shared" si="86"/>
        <v>46023</v>
      </c>
      <c r="L1382" t="str">
        <f t="shared" si="87"/>
        <v>Q1-2026</v>
      </c>
    </row>
    <row r="1383" spans="1:12">
      <c r="A1383" s="6">
        <v>46051</v>
      </c>
      <c r="B1383" t="s">
        <v>10</v>
      </c>
      <c r="C1383" t="s">
        <v>11</v>
      </c>
      <c r="D1383" s="2">
        <v>3140.07335254898</v>
      </c>
      <c r="E1383" s="2">
        <v>3140.07335254898</v>
      </c>
      <c r="F1383" s="2">
        <v>3066.9708064954261</v>
      </c>
      <c r="G1383" s="2">
        <v>3085.41796875</v>
      </c>
      <c r="H1383" s="3">
        <v>2457641</v>
      </c>
      <c r="I1383" s="4">
        <f t="shared" si="84"/>
        <v>-2.33</v>
      </c>
      <c r="J1383" s="2">
        <f t="shared" si="85"/>
        <v>54.66</v>
      </c>
      <c r="K1383" s="7">
        <f t="shared" si="86"/>
        <v>46023</v>
      </c>
      <c r="L1383" t="str">
        <f t="shared" si="87"/>
        <v>Q1-2026</v>
      </c>
    </row>
    <row r="1384" spans="1:12">
      <c r="A1384" s="6">
        <v>46051</v>
      </c>
      <c r="B1384" t="s">
        <v>12</v>
      </c>
      <c r="C1384" t="s">
        <v>13</v>
      </c>
      <c r="D1384" s="2">
        <v>1622.8818691859369</v>
      </c>
      <c r="E1384" s="2">
        <v>1631.201830517711</v>
      </c>
      <c r="F1384" s="2">
        <v>1607.3186235036719</v>
      </c>
      <c r="G1384" s="2">
        <v>1624.35009765625</v>
      </c>
      <c r="H1384" s="3">
        <v>4749582</v>
      </c>
      <c r="I1384" s="4">
        <f t="shared" si="84"/>
        <v>-0.96</v>
      </c>
      <c r="J1384" s="2">
        <f t="shared" si="85"/>
        <v>6.85</v>
      </c>
      <c r="K1384" s="7">
        <f t="shared" si="86"/>
        <v>46023</v>
      </c>
      <c r="L1384" t="str">
        <f t="shared" si="87"/>
        <v>Q1-2026</v>
      </c>
    </row>
    <row r="1385" spans="1:12">
      <c r="A1385" s="6">
        <v>46051</v>
      </c>
      <c r="B1385" t="s">
        <v>14</v>
      </c>
      <c r="C1385" t="s">
        <v>15</v>
      </c>
      <c r="D1385" s="2">
        <v>914.96694949149037</v>
      </c>
      <c r="E1385" s="2">
        <v>924.01727453751448</v>
      </c>
      <c r="F1385" s="2">
        <v>909.31050384298703</v>
      </c>
      <c r="G1385" s="2">
        <v>920.27911376953125</v>
      </c>
      <c r="H1385" s="3">
        <v>37175628</v>
      </c>
      <c r="I1385" s="4">
        <f t="shared" si="84"/>
        <v>-0.62</v>
      </c>
      <c r="J1385" s="2">
        <f t="shared" si="85"/>
        <v>3.74</v>
      </c>
      <c r="K1385" s="7">
        <f t="shared" si="86"/>
        <v>46023</v>
      </c>
      <c r="L1385" t="str">
        <f t="shared" si="87"/>
        <v>Q1-2026</v>
      </c>
    </row>
    <row r="1386" spans="1:12">
      <c r="A1386" s="6">
        <v>46051</v>
      </c>
      <c r="B1386" t="s">
        <v>16</v>
      </c>
      <c r="C1386" t="s">
        <v>17</v>
      </c>
      <c r="D1386" s="2">
        <v>1347.6387612421629</v>
      </c>
      <c r="E1386" s="2">
        <v>1376.098780848474</v>
      </c>
      <c r="F1386" s="2">
        <v>1343.07724144792</v>
      </c>
      <c r="G1386" s="2">
        <v>1372.033081054688</v>
      </c>
      <c r="H1386" s="3">
        <v>23118234</v>
      </c>
      <c r="I1386" s="4">
        <f t="shared" si="84"/>
        <v>-0.34</v>
      </c>
      <c r="J1386" s="2">
        <f t="shared" si="85"/>
        <v>4.07</v>
      </c>
      <c r="K1386" s="7">
        <f t="shared" si="86"/>
        <v>46023</v>
      </c>
      <c r="L1386" t="str">
        <f t="shared" si="87"/>
        <v>Q1-2026</v>
      </c>
    </row>
    <row r="1387" spans="1:12">
      <c r="A1387" s="6">
        <v>46051</v>
      </c>
      <c r="B1387" t="s">
        <v>18</v>
      </c>
      <c r="C1387" t="s">
        <v>19</v>
      </c>
      <c r="D1387" s="2">
        <v>233.53286864540681</v>
      </c>
      <c r="E1387" s="2">
        <v>238.179794065089</v>
      </c>
      <c r="F1387" s="2">
        <v>232.79133751184611</v>
      </c>
      <c r="G1387" s="2">
        <v>237.09222412109381</v>
      </c>
      <c r="H1387" s="3">
        <v>12201949</v>
      </c>
      <c r="I1387" s="4">
        <f t="shared" si="84"/>
        <v>-0.32</v>
      </c>
      <c r="J1387" s="2">
        <f t="shared" si="85"/>
        <v>1.0900000000000001</v>
      </c>
      <c r="K1387" s="7">
        <f t="shared" si="86"/>
        <v>46023</v>
      </c>
      <c r="L1387" t="str">
        <f t="shared" si="87"/>
        <v>Q1-2026</v>
      </c>
    </row>
    <row r="1388" spans="1:12">
      <c r="A1388" s="6">
        <v>46051</v>
      </c>
      <c r="B1388" t="s">
        <v>20</v>
      </c>
      <c r="C1388" t="s">
        <v>21</v>
      </c>
      <c r="D1388" s="2">
        <v>1673.35312935823</v>
      </c>
      <c r="E1388" s="2">
        <v>1675.489938664914</v>
      </c>
      <c r="F1388" s="2">
        <v>1647.4193878632141</v>
      </c>
      <c r="G1388" s="2">
        <v>1672.1875</v>
      </c>
      <c r="H1388" s="3">
        <v>2235602</v>
      </c>
      <c r="I1388" s="4">
        <f t="shared" si="84"/>
        <v>-1.55</v>
      </c>
      <c r="J1388" s="2">
        <f t="shared" si="85"/>
        <v>3.3</v>
      </c>
      <c r="K1388" s="7">
        <f t="shared" si="86"/>
        <v>46023</v>
      </c>
      <c r="L1388" t="str">
        <f t="shared" si="87"/>
        <v>Q1-2026</v>
      </c>
    </row>
    <row r="1389" spans="1:12">
      <c r="A1389" s="6">
        <v>46051</v>
      </c>
      <c r="B1389" t="s">
        <v>22</v>
      </c>
      <c r="C1389" t="s">
        <v>23</v>
      </c>
      <c r="D1389" s="2">
        <v>929.43658447265625</v>
      </c>
      <c r="E1389" s="2">
        <v>934.05813819984724</v>
      </c>
      <c r="F1389" s="2">
        <v>918.05652783998778</v>
      </c>
      <c r="G1389" s="2">
        <v>929.43658447265625</v>
      </c>
      <c r="H1389" s="3">
        <v>6430445</v>
      </c>
      <c r="I1389" s="4">
        <f t="shared" si="84"/>
        <v>-1.22</v>
      </c>
      <c r="J1389" s="2">
        <f t="shared" si="85"/>
        <v>4.62</v>
      </c>
      <c r="K1389" s="7">
        <f t="shared" si="86"/>
        <v>46023</v>
      </c>
      <c r="L1389" t="str">
        <f t="shared" si="87"/>
        <v>Q1-2026</v>
      </c>
    </row>
    <row r="1390" spans="1:12">
      <c r="A1390" s="6">
        <v>46051</v>
      </c>
      <c r="B1390" t="s">
        <v>24</v>
      </c>
      <c r="C1390" t="s">
        <v>25</v>
      </c>
      <c r="D1390" s="2">
        <v>14722.14461326994</v>
      </c>
      <c r="E1390" s="2">
        <v>14722.14461326994</v>
      </c>
      <c r="F1390" s="2">
        <v>14210.285247764859</v>
      </c>
      <c r="G1390" s="2">
        <v>14357.8037109375</v>
      </c>
      <c r="H1390" s="3">
        <v>716545</v>
      </c>
      <c r="I1390" s="4">
        <f t="shared" si="84"/>
        <v>-3.48</v>
      </c>
      <c r="J1390" s="2">
        <f t="shared" si="85"/>
        <v>364.34</v>
      </c>
      <c r="K1390" s="7">
        <f t="shared" si="86"/>
        <v>46023</v>
      </c>
      <c r="L1390" t="str">
        <f t="shared" si="87"/>
        <v>Q1-2026</v>
      </c>
    </row>
    <row r="1391" spans="1:12">
      <c r="A1391" s="6">
        <v>46051</v>
      </c>
      <c r="B1391" t="s">
        <v>26</v>
      </c>
      <c r="C1391" t="s">
        <v>27</v>
      </c>
      <c r="D1391" s="2">
        <v>337.69867880915859</v>
      </c>
      <c r="E1391" s="2">
        <v>349.74871371776982</v>
      </c>
      <c r="F1391" s="2">
        <v>332.83899756094797</v>
      </c>
      <c r="G1391" s="2">
        <v>348.90570068359381</v>
      </c>
      <c r="H1391" s="3">
        <v>13586977</v>
      </c>
      <c r="I1391" s="4">
        <f t="shared" si="84"/>
        <v>-1.44</v>
      </c>
      <c r="J1391" s="2">
        <f t="shared" si="85"/>
        <v>0.84</v>
      </c>
      <c r="K1391" s="7">
        <f t="shared" si="86"/>
        <v>46023</v>
      </c>
      <c r="L1391" t="str">
        <f t="shared" si="87"/>
        <v>Q1-2026</v>
      </c>
    </row>
    <row r="1392" spans="1:12">
      <c r="A1392" s="6">
        <v>46051</v>
      </c>
      <c r="B1392" t="s">
        <v>28</v>
      </c>
      <c r="C1392" t="s">
        <v>29</v>
      </c>
      <c r="D1392" s="2">
        <v>1610.292113872481</v>
      </c>
      <c r="E1392" s="2">
        <v>1610.292113872481</v>
      </c>
      <c r="F1392" s="2">
        <v>1569.3658720691101</v>
      </c>
      <c r="G1392" s="2">
        <v>1574.915283203125</v>
      </c>
      <c r="H1392" s="3">
        <v>5796513</v>
      </c>
      <c r="I1392" s="4">
        <f t="shared" si="84"/>
        <v>-2.54</v>
      </c>
      <c r="J1392" s="2">
        <f t="shared" si="85"/>
        <v>35.380000000000003</v>
      </c>
      <c r="K1392" s="7">
        <f t="shared" si="86"/>
        <v>46023</v>
      </c>
      <c r="L1392" t="str">
        <f t="shared" si="87"/>
        <v>Q1-2026</v>
      </c>
    </row>
    <row r="1393" spans="1:12">
      <c r="A1393" s="6">
        <v>46051</v>
      </c>
      <c r="B1393" t="s">
        <v>30</v>
      </c>
      <c r="C1393" t="s">
        <v>31</v>
      </c>
      <c r="D1393" s="2">
        <v>2490.1950274985411</v>
      </c>
      <c r="E1393" s="2">
        <v>2493.2682179040371</v>
      </c>
      <c r="F1393" s="2">
        <v>2389.270602598885</v>
      </c>
      <c r="G1393" s="2">
        <v>2395.218994140625</v>
      </c>
      <c r="H1393" s="3">
        <v>3488159</v>
      </c>
      <c r="I1393" s="4">
        <f t="shared" si="84"/>
        <v>-4.05</v>
      </c>
      <c r="J1393" s="2">
        <f t="shared" si="85"/>
        <v>98.05</v>
      </c>
      <c r="K1393" s="7">
        <f t="shared" si="86"/>
        <v>46023</v>
      </c>
      <c r="L1393" t="str">
        <f t="shared" si="87"/>
        <v>Q1-2026</v>
      </c>
    </row>
    <row r="1394" spans="1:12">
      <c r="A1394" s="6">
        <v>46051</v>
      </c>
      <c r="B1394" t="s">
        <v>32</v>
      </c>
      <c r="C1394" t="s">
        <v>33</v>
      </c>
      <c r="D1394" s="2">
        <v>2346.6310422104029</v>
      </c>
      <c r="E1394" s="2">
        <v>2350.7887033771149</v>
      </c>
      <c r="F1394" s="2">
        <v>2288.7200884161371</v>
      </c>
      <c r="G1394" s="2">
        <v>2328.911376953125</v>
      </c>
      <c r="H1394" s="3">
        <v>1478536</v>
      </c>
      <c r="I1394" s="4">
        <f t="shared" si="84"/>
        <v>-2.4700000000000002</v>
      </c>
      <c r="J1394" s="2">
        <f t="shared" si="85"/>
        <v>21.88</v>
      </c>
      <c r="K1394" s="7">
        <f t="shared" si="86"/>
        <v>46023</v>
      </c>
      <c r="L1394" t="str">
        <f t="shared" si="87"/>
        <v>Q1-2026</v>
      </c>
    </row>
    <row r="1395" spans="1:12">
      <c r="A1395" s="6">
        <v>46051</v>
      </c>
      <c r="B1395" t="s">
        <v>34</v>
      </c>
      <c r="C1395" t="s">
        <v>35</v>
      </c>
      <c r="D1395" s="2">
        <v>3822.662671754787</v>
      </c>
      <c r="E1395" s="2">
        <v>3922.586581151978</v>
      </c>
      <c r="F1395" s="2">
        <v>3806.421403747047</v>
      </c>
      <c r="G1395" s="2">
        <v>3894.857421875</v>
      </c>
      <c r="H1395" s="3">
        <v>4227139</v>
      </c>
      <c r="I1395" s="4">
        <f t="shared" si="84"/>
        <v>-0.42</v>
      </c>
      <c r="J1395" s="2">
        <f t="shared" si="85"/>
        <v>27.73</v>
      </c>
      <c r="K1395" s="7">
        <f t="shared" si="86"/>
        <v>46023</v>
      </c>
      <c r="L1395" t="str">
        <f t="shared" si="87"/>
        <v>Q1-2026</v>
      </c>
    </row>
    <row r="1396" spans="1:12">
      <c r="A1396" s="6">
        <v>46051</v>
      </c>
      <c r="B1396" t="s">
        <v>36</v>
      </c>
      <c r="C1396" t="s">
        <v>37</v>
      </c>
      <c r="D1396" s="2">
        <v>1316.9843142731061</v>
      </c>
      <c r="E1396" s="2">
        <v>1365.946553574609</v>
      </c>
      <c r="F1396" s="2">
        <v>1304.9935617911051</v>
      </c>
      <c r="G1396" s="2">
        <v>1362.649047851562</v>
      </c>
      <c r="H1396" s="3">
        <v>16107684</v>
      </c>
      <c r="I1396" s="4">
        <f t="shared" si="84"/>
        <v>-0.91</v>
      </c>
      <c r="J1396" s="2">
        <f t="shared" si="85"/>
        <v>3.3</v>
      </c>
      <c r="K1396" s="7">
        <f t="shared" si="86"/>
        <v>46023</v>
      </c>
      <c r="L1396" t="str">
        <f t="shared" si="87"/>
        <v>Q1-2026</v>
      </c>
    </row>
    <row r="1397" spans="1:12">
      <c r="A1397" s="6">
        <v>46052</v>
      </c>
      <c r="B1397" t="s">
        <v>8</v>
      </c>
      <c r="C1397" t="s">
        <v>9</v>
      </c>
      <c r="D1397" s="2">
        <v>1376.236766748553</v>
      </c>
      <c r="E1397" s="2">
        <v>1391.565914862038</v>
      </c>
      <c r="F1397" s="2">
        <v>1372.155660684778</v>
      </c>
      <c r="G1397" s="2">
        <v>1388.977905273438</v>
      </c>
      <c r="H1397" s="3">
        <v>11239835</v>
      </c>
      <c r="I1397" s="4">
        <f t="shared" si="84"/>
        <v>-0.3</v>
      </c>
      <c r="J1397" s="2">
        <f t="shared" si="85"/>
        <v>2.59</v>
      </c>
      <c r="K1397" s="7">
        <f t="shared" si="86"/>
        <v>46023</v>
      </c>
      <c r="L1397" t="str">
        <f t="shared" si="87"/>
        <v>Q1-2026</v>
      </c>
    </row>
    <row r="1398" spans="1:12">
      <c r="A1398" s="6">
        <v>46052</v>
      </c>
      <c r="B1398" t="s">
        <v>10</v>
      </c>
      <c r="C1398" t="s">
        <v>11</v>
      </c>
      <c r="D1398" s="2">
        <v>3082.0820735799648</v>
      </c>
      <c r="E1398" s="2">
        <v>3082.0820735799648</v>
      </c>
      <c r="F1398" s="2">
        <v>3034.0012007351961</v>
      </c>
      <c r="G1398" s="2">
        <v>3065.302734375</v>
      </c>
      <c r="H1398" s="3">
        <v>3022068</v>
      </c>
      <c r="I1398" s="4">
        <f t="shared" si="84"/>
        <v>-1.56</v>
      </c>
      <c r="J1398" s="2">
        <f t="shared" si="85"/>
        <v>16.78</v>
      </c>
      <c r="K1398" s="7">
        <f t="shared" si="86"/>
        <v>46023</v>
      </c>
      <c r="L1398" t="str">
        <f t="shared" si="87"/>
        <v>Q1-2026</v>
      </c>
    </row>
    <row r="1399" spans="1:12">
      <c r="A1399" s="6">
        <v>46052</v>
      </c>
      <c r="B1399" t="s">
        <v>12</v>
      </c>
      <c r="C1399" t="s">
        <v>13</v>
      </c>
      <c r="D1399" s="2">
        <v>1619.9454090553111</v>
      </c>
      <c r="E1399" s="2">
        <v>1619.9454090553111</v>
      </c>
      <c r="F1399" s="2">
        <v>1583.8269648597891</v>
      </c>
      <c r="G1399" s="2">
        <v>1606.241943359375</v>
      </c>
      <c r="H1399" s="3">
        <v>9207926</v>
      </c>
      <c r="I1399" s="4">
        <f t="shared" si="84"/>
        <v>-2.23</v>
      </c>
      <c r="J1399" s="2">
        <f t="shared" si="85"/>
        <v>13.7</v>
      </c>
      <c r="K1399" s="7">
        <f t="shared" si="86"/>
        <v>46023</v>
      </c>
      <c r="L1399" t="str">
        <f t="shared" si="87"/>
        <v>Q1-2026</v>
      </c>
    </row>
    <row r="1400" spans="1:12">
      <c r="A1400" s="6">
        <v>46052</v>
      </c>
      <c r="B1400" t="s">
        <v>14</v>
      </c>
      <c r="C1400" t="s">
        <v>15</v>
      </c>
      <c r="D1400" s="2">
        <v>914.86859559435538</v>
      </c>
      <c r="E1400" s="2">
        <v>923.62381369806383</v>
      </c>
      <c r="F1400" s="2">
        <v>912.6552038308206</v>
      </c>
      <c r="G1400" s="2">
        <v>914.13079833984375</v>
      </c>
      <c r="H1400" s="3">
        <v>29691233</v>
      </c>
      <c r="I1400" s="4">
        <f t="shared" si="84"/>
        <v>-0.24</v>
      </c>
      <c r="J1400" s="2">
        <f t="shared" si="85"/>
        <v>9.49</v>
      </c>
      <c r="K1400" s="7">
        <f t="shared" si="86"/>
        <v>46023</v>
      </c>
      <c r="L1400" t="str">
        <f t="shared" si="87"/>
        <v>Q1-2026</v>
      </c>
    </row>
    <row r="1401" spans="1:12">
      <c r="A1401" s="6">
        <v>46052</v>
      </c>
      <c r="B1401" t="s">
        <v>16</v>
      </c>
      <c r="C1401" t="s">
        <v>17</v>
      </c>
      <c r="D1401" s="2">
        <v>1356.7617179329991</v>
      </c>
      <c r="E1401" s="2">
        <v>1370.3472577453319</v>
      </c>
      <c r="F1401" s="2">
        <v>1341.8871188281209</v>
      </c>
      <c r="G1401" s="2">
        <v>1343.672119140625</v>
      </c>
      <c r="H1401" s="3">
        <v>24013717</v>
      </c>
      <c r="I1401" s="4">
        <f t="shared" si="84"/>
        <v>-1.1000000000000001</v>
      </c>
      <c r="J1401" s="2">
        <f t="shared" si="85"/>
        <v>26.68</v>
      </c>
      <c r="K1401" s="7">
        <f t="shared" si="86"/>
        <v>46023</v>
      </c>
      <c r="L1401" t="str">
        <f t="shared" si="87"/>
        <v>Q1-2026</v>
      </c>
    </row>
    <row r="1402" spans="1:12">
      <c r="A1402" s="6">
        <v>46052</v>
      </c>
      <c r="B1402" t="s">
        <v>18</v>
      </c>
      <c r="C1402" t="s">
        <v>19</v>
      </c>
      <c r="D1402" s="2">
        <v>235.31254535287101</v>
      </c>
      <c r="E1402" s="2">
        <v>235.31254535287101</v>
      </c>
      <c r="F1402" s="2">
        <v>232.64303630103959</v>
      </c>
      <c r="G1402" s="2">
        <v>234.22496032714841</v>
      </c>
      <c r="H1402" s="3">
        <v>11362317</v>
      </c>
      <c r="I1402" s="4">
        <f t="shared" si="84"/>
        <v>-1.1299999999999999</v>
      </c>
      <c r="J1402" s="2">
        <f t="shared" si="85"/>
        <v>1.0900000000000001</v>
      </c>
      <c r="K1402" s="7">
        <f t="shared" si="86"/>
        <v>46023</v>
      </c>
      <c r="L1402" t="str">
        <f t="shared" si="87"/>
        <v>Q1-2026</v>
      </c>
    </row>
    <row r="1403" spans="1:12">
      <c r="A1403" s="6">
        <v>46052</v>
      </c>
      <c r="B1403" t="s">
        <v>20</v>
      </c>
      <c r="C1403" t="s">
        <v>21</v>
      </c>
      <c r="D1403" s="2">
        <v>1664.0285457374209</v>
      </c>
      <c r="E1403" s="2">
        <v>1664.0285457374209</v>
      </c>
      <c r="F1403" s="2">
        <v>1634.695378411855</v>
      </c>
      <c r="G1403" s="2">
        <v>1646.933715820312</v>
      </c>
      <c r="H1403" s="3">
        <v>4448681</v>
      </c>
      <c r="I1403" s="4">
        <f t="shared" si="84"/>
        <v>-1.76</v>
      </c>
      <c r="J1403" s="2">
        <f t="shared" si="85"/>
        <v>17.09</v>
      </c>
      <c r="K1403" s="7">
        <f t="shared" si="86"/>
        <v>46023</v>
      </c>
      <c r="L1403" t="str">
        <f t="shared" si="87"/>
        <v>Q1-2026</v>
      </c>
    </row>
    <row r="1404" spans="1:12">
      <c r="A1404" s="6">
        <v>46052</v>
      </c>
      <c r="B1404" t="s">
        <v>22</v>
      </c>
      <c r="C1404" t="s">
        <v>23</v>
      </c>
      <c r="D1404" s="2">
        <v>922.67804880623191</v>
      </c>
      <c r="E1404" s="2">
        <v>932.26911460195186</v>
      </c>
      <c r="F1404" s="2">
        <v>919.4976483309938</v>
      </c>
      <c r="G1404" s="2">
        <v>924.16888427734375</v>
      </c>
      <c r="H1404" s="3">
        <v>10151379</v>
      </c>
      <c r="I1404" s="4">
        <f t="shared" si="84"/>
        <v>-0.34</v>
      </c>
      <c r="J1404" s="2">
        <f t="shared" si="85"/>
        <v>8.1</v>
      </c>
      <c r="K1404" s="7">
        <f t="shared" si="86"/>
        <v>46023</v>
      </c>
      <c r="L1404" t="str">
        <f t="shared" si="87"/>
        <v>Q1-2026</v>
      </c>
    </row>
    <row r="1405" spans="1:12">
      <c r="A1405" s="6">
        <v>46052</v>
      </c>
      <c r="B1405" t="s">
        <v>24</v>
      </c>
      <c r="C1405" t="s">
        <v>25</v>
      </c>
      <c r="D1405" s="2">
        <v>14357.804330026889</v>
      </c>
      <c r="E1405" s="2">
        <v>14533.04439115051</v>
      </c>
      <c r="F1405" s="2">
        <v>14157.812847840611</v>
      </c>
      <c r="G1405" s="2">
        <v>14453.83984375</v>
      </c>
      <c r="H1405" s="3">
        <v>946509</v>
      </c>
      <c r="I1405" s="4">
        <f t="shared" si="84"/>
        <v>-1.39</v>
      </c>
      <c r="J1405" s="2">
        <f t="shared" si="85"/>
        <v>79.2</v>
      </c>
      <c r="K1405" s="7">
        <f t="shared" si="86"/>
        <v>46023</v>
      </c>
      <c r="L1405" t="str">
        <f t="shared" si="87"/>
        <v>Q1-2026</v>
      </c>
    </row>
    <row r="1406" spans="1:12">
      <c r="A1406" s="6">
        <v>46052</v>
      </c>
      <c r="B1406" t="s">
        <v>26</v>
      </c>
      <c r="C1406" t="s">
        <v>27</v>
      </c>
      <c r="D1406" s="2">
        <v>347.91393468426912</v>
      </c>
      <c r="E1406" s="2">
        <v>350.09584725535331</v>
      </c>
      <c r="F1406" s="2">
        <v>345.53368568540958</v>
      </c>
      <c r="G1406" s="2">
        <v>347.17010498046881</v>
      </c>
      <c r="H1406" s="3">
        <v>9910289</v>
      </c>
      <c r="I1406" s="4">
        <f t="shared" si="84"/>
        <v>-0.68</v>
      </c>
      <c r="J1406" s="2">
        <f t="shared" si="85"/>
        <v>2.93</v>
      </c>
      <c r="K1406" s="7">
        <f t="shared" si="86"/>
        <v>46023</v>
      </c>
      <c r="L1406" t="str">
        <f t="shared" si="87"/>
        <v>Q1-2026</v>
      </c>
    </row>
    <row r="1407" spans="1:12">
      <c r="A1407" s="6">
        <v>46052</v>
      </c>
      <c r="B1407" t="s">
        <v>28</v>
      </c>
      <c r="C1407" t="s">
        <v>29</v>
      </c>
      <c r="D1407" s="2">
        <v>1574.9153896236969</v>
      </c>
      <c r="E1407" s="2">
        <v>1591.959665071455</v>
      </c>
      <c r="F1407" s="2">
        <v>1570.7533309919461</v>
      </c>
      <c r="G1407" s="2">
        <v>1580.861083984375</v>
      </c>
      <c r="H1407" s="3">
        <v>3962196</v>
      </c>
      <c r="I1407" s="4">
        <f t="shared" si="84"/>
        <v>-0.26</v>
      </c>
      <c r="J1407" s="2">
        <f t="shared" si="85"/>
        <v>11.1</v>
      </c>
      <c r="K1407" s="7">
        <f t="shared" si="86"/>
        <v>46023</v>
      </c>
      <c r="L1407" t="str">
        <f t="shared" si="87"/>
        <v>Q1-2026</v>
      </c>
    </row>
    <row r="1408" spans="1:12">
      <c r="A1408" s="6">
        <v>46052</v>
      </c>
      <c r="B1408" t="s">
        <v>30</v>
      </c>
      <c r="C1408" t="s">
        <v>31</v>
      </c>
      <c r="D1408" s="2">
        <v>2396.2104772047778</v>
      </c>
      <c r="E1408" s="2">
        <v>2423.969638711495</v>
      </c>
      <c r="F1408" s="2">
        <v>2379.8523998883211</v>
      </c>
      <c r="G1408" s="2">
        <v>2407.413330078125</v>
      </c>
      <c r="H1408" s="3">
        <v>2048843</v>
      </c>
      <c r="I1408" s="4">
        <f t="shared" si="84"/>
        <v>-0.68</v>
      </c>
      <c r="J1408" s="2">
        <f t="shared" si="85"/>
        <v>16.559999999999999</v>
      </c>
      <c r="K1408" s="7">
        <f t="shared" si="86"/>
        <v>46023</v>
      </c>
      <c r="L1408" t="str">
        <f t="shared" si="87"/>
        <v>Q1-2026</v>
      </c>
    </row>
    <row r="1409" spans="1:12">
      <c r="A1409" s="6">
        <v>46052</v>
      </c>
      <c r="B1409" t="s">
        <v>32</v>
      </c>
      <c r="C1409" t="s">
        <v>33</v>
      </c>
      <c r="D1409" s="2">
        <v>2317.428169157251</v>
      </c>
      <c r="E1409" s="2">
        <v>2360.9851274839998</v>
      </c>
      <c r="F1409" s="2">
        <v>2316.4382382861891</v>
      </c>
      <c r="G1409" s="2">
        <v>2349.10595703125</v>
      </c>
      <c r="H1409" s="3">
        <v>2090462</v>
      </c>
      <c r="I1409" s="4">
        <f t="shared" si="84"/>
        <v>-0.04</v>
      </c>
      <c r="J1409" s="2">
        <f t="shared" si="85"/>
        <v>11.88</v>
      </c>
      <c r="K1409" s="7">
        <f t="shared" si="86"/>
        <v>46023</v>
      </c>
      <c r="L1409" t="str">
        <f t="shared" si="87"/>
        <v>Q1-2026</v>
      </c>
    </row>
    <row r="1410" spans="1:12">
      <c r="A1410" s="6">
        <v>46052</v>
      </c>
      <c r="B1410" t="s">
        <v>34</v>
      </c>
      <c r="C1410" t="s">
        <v>35</v>
      </c>
      <c r="D1410" s="2">
        <v>3864.7516308584859</v>
      </c>
      <c r="E1410" s="2">
        <v>3904.2655866955388</v>
      </c>
      <c r="F1410" s="2">
        <v>3854.1551789067598</v>
      </c>
      <c r="G1410" s="2">
        <v>3894.263427734375</v>
      </c>
      <c r="H1410" s="3">
        <v>2208465</v>
      </c>
      <c r="I1410" s="4">
        <f t="shared" ref="I1410:I1473" si="88">ROUND(((F1410-D1410)/D1410)*100, 2)</f>
        <v>-0.27</v>
      </c>
      <c r="J1410" s="2">
        <f t="shared" ref="J1410:J1473" si="89">ROUND(E1410-G1410, 2)</f>
        <v>10</v>
      </c>
      <c r="K1410" s="7">
        <f t="shared" ref="K1410:K1473" si="90">DATE(YEAR(A1410),MONTH(A1410),1)</f>
        <v>46023</v>
      </c>
      <c r="L1410" t="str">
        <f t="shared" ref="L1410:L1473" si="91">"Q"&amp;INT((MONTH(A1410)-1)/3)+1&amp;"-"&amp;YEAR(A1410)</f>
        <v>Q1-2026</v>
      </c>
    </row>
    <row r="1411" spans="1:12">
      <c r="A1411" s="6">
        <v>46052</v>
      </c>
      <c r="B1411" t="s">
        <v>36</v>
      </c>
      <c r="C1411" t="s">
        <v>37</v>
      </c>
      <c r="D1411" s="2">
        <v>1350.9581487855719</v>
      </c>
      <c r="E1411" s="2">
        <v>1377.6375249747889</v>
      </c>
      <c r="F1411" s="2">
        <v>1350.9581487855719</v>
      </c>
      <c r="G1411" s="2">
        <v>1369.343994140625</v>
      </c>
      <c r="H1411" s="3">
        <v>14758482</v>
      </c>
      <c r="I1411" s="4">
        <f t="shared" si="88"/>
        <v>0</v>
      </c>
      <c r="J1411" s="2">
        <f t="shared" si="89"/>
        <v>8.2899999999999991</v>
      </c>
      <c r="K1411" s="7">
        <f t="shared" si="90"/>
        <v>46023</v>
      </c>
      <c r="L1411" t="str">
        <f t="shared" si="91"/>
        <v>Q1-2026</v>
      </c>
    </row>
    <row r="1412" spans="1:12">
      <c r="A1412" s="6">
        <v>46055</v>
      </c>
      <c r="B1412" t="s">
        <v>8</v>
      </c>
      <c r="C1412" t="s">
        <v>9</v>
      </c>
      <c r="D1412" s="2">
        <v>1333.83290853673</v>
      </c>
      <c r="E1412" s="2">
        <v>1386.4894707948449</v>
      </c>
      <c r="F1412" s="2">
        <v>1329.3536189185099</v>
      </c>
      <c r="G1412" s="2">
        <v>1384.0009765625</v>
      </c>
      <c r="H1412" s="3">
        <v>15711165</v>
      </c>
      <c r="I1412" s="4">
        <f t="shared" si="88"/>
        <v>-0.34</v>
      </c>
      <c r="J1412" s="2">
        <f t="shared" si="89"/>
        <v>2.4900000000000002</v>
      </c>
      <c r="K1412" s="7">
        <f t="shared" si="90"/>
        <v>46054</v>
      </c>
      <c r="L1412" t="str">
        <f t="shared" si="91"/>
        <v>Q1-2026</v>
      </c>
    </row>
    <row r="1413" spans="1:12">
      <c r="A1413" s="6">
        <v>46055</v>
      </c>
      <c r="B1413" t="s">
        <v>10</v>
      </c>
      <c r="C1413" t="s">
        <v>11</v>
      </c>
      <c r="D1413" s="2">
        <v>3138.0126916764971</v>
      </c>
      <c r="E1413" s="2">
        <v>3138.0126916764971</v>
      </c>
      <c r="F1413" s="2">
        <v>3075.213188153265</v>
      </c>
      <c r="G1413" s="2">
        <v>3110.1455078125</v>
      </c>
      <c r="H1413" s="3">
        <v>2636272</v>
      </c>
      <c r="I1413" s="4">
        <f t="shared" si="88"/>
        <v>-2</v>
      </c>
      <c r="J1413" s="2">
        <f t="shared" si="89"/>
        <v>27.87</v>
      </c>
      <c r="K1413" s="7">
        <f t="shared" si="90"/>
        <v>46054</v>
      </c>
      <c r="L1413" t="str">
        <f t="shared" si="91"/>
        <v>Q1-2026</v>
      </c>
    </row>
    <row r="1414" spans="1:12">
      <c r="A1414" s="6">
        <v>46055</v>
      </c>
      <c r="B1414" t="s">
        <v>12</v>
      </c>
      <c r="C1414" t="s">
        <v>13</v>
      </c>
      <c r="D1414" s="2">
        <v>1626.797046159194</v>
      </c>
      <c r="E1414" s="2">
        <v>1626.797046159194</v>
      </c>
      <c r="F1414" s="2">
        <v>1583.729013649564</v>
      </c>
      <c r="G1414" s="2">
        <v>1594.887573242188</v>
      </c>
      <c r="H1414" s="3">
        <v>6784887</v>
      </c>
      <c r="I1414" s="4">
        <f t="shared" si="88"/>
        <v>-2.65</v>
      </c>
      <c r="J1414" s="2">
        <f t="shared" si="89"/>
        <v>31.91</v>
      </c>
      <c r="K1414" s="7">
        <f t="shared" si="90"/>
        <v>46054</v>
      </c>
      <c r="L1414" t="str">
        <f t="shared" si="91"/>
        <v>Q1-2026</v>
      </c>
    </row>
    <row r="1415" spans="1:12">
      <c r="A1415" s="6">
        <v>46055</v>
      </c>
      <c r="B1415" t="s">
        <v>14</v>
      </c>
      <c r="C1415" t="s">
        <v>15</v>
      </c>
      <c r="D1415" s="2">
        <v>900.1126164754811</v>
      </c>
      <c r="E1415" s="2">
        <v>914.67180307234912</v>
      </c>
      <c r="F1415" s="2">
        <v>894.50534554475644</v>
      </c>
      <c r="G1415" s="2">
        <v>912.99945068359375</v>
      </c>
      <c r="H1415" s="3">
        <v>28032106</v>
      </c>
      <c r="I1415" s="4">
        <f t="shared" si="88"/>
        <v>-0.62</v>
      </c>
      <c r="J1415" s="2">
        <f t="shared" si="89"/>
        <v>1.67</v>
      </c>
      <c r="K1415" s="7">
        <f t="shared" si="90"/>
        <v>46054</v>
      </c>
      <c r="L1415" t="str">
        <f t="shared" si="91"/>
        <v>Q1-2026</v>
      </c>
    </row>
    <row r="1416" spans="1:12">
      <c r="A1416" s="6">
        <v>46055</v>
      </c>
      <c r="B1416" t="s">
        <v>16</v>
      </c>
      <c r="C1416" t="s">
        <v>17</v>
      </c>
      <c r="D1416" s="2">
        <v>1318.7820210502809</v>
      </c>
      <c r="E1416" s="2">
        <v>1343.0772003288639</v>
      </c>
      <c r="F1416" s="2">
        <v>1317.9886606539169</v>
      </c>
      <c r="G1416" s="2">
        <v>1341.490600585938</v>
      </c>
      <c r="H1416" s="3">
        <v>12800245</v>
      </c>
      <c r="I1416" s="4">
        <f t="shared" si="88"/>
        <v>-0.06</v>
      </c>
      <c r="J1416" s="2">
        <f t="shared" si="89"/>
        <v>1.59</v>
      </c>
      <c r="K1416" s="7">
        <f t="shared" si="90"/>
        <v>46054</v>
      </c>
      <c r="L1416" t="str">
        <f t="shared" si="91"/>
        <v>Q1-2026</v>
      </c>
    </row>
    <row r="1417" spans="1:12">
      <c r="A1417" s="6">
        <v>46055</v>
      </c>
      <c r="B1417" t="s">
        <v>18</v>
      </c>
      <c r="C1417" t="s">
        <v>19</v>
      </c>
      <c r="D1417" s="2">
        <v>241.24479625234571</v>
      </c>
      <c r="E1417" s="2">
        <v>241.32389471723349</v>
      </c>
      <c r="F1417" s="2">
        <v>236.58797408007501</v>
      </c>
      <c r="G1417" s="2">
        <v>239.5639953613281</v>
      </c>
      <c r="H1417" s="3">
        <v>12335721</v>
      </c>
      <c r="I1417" s="4">
        <f t="shared" si="88"/>
        <v>-1.93</v>
      </c>
      <c r="J1417" s="2">
        <f t="shared" si="89"/>
        <v>1.76</v>
      </c>
      <c r="K1417" s="7">
        <f t="shared" si="90"/>
        <v>46054</v>
      </c>
      <c r="L1417" t="str">
        <f t="shared" si="91"/>
        <v>Q1-2026</v>
      </c>
    </row>
    <row r="1418" spans="1:12">
      <c r="A1418" s="6">
        <v>46055</v>
      </c>
      <c r="B1418" t="s">
        <v>20</v>
      </c>
      <c r="C1418" t="s">
        <v>21</v>
      </c>
      <c r="D1418" s="2">
        <v>1622.0684627483899</v>
      </c>
      <c r="E1418" s="2">
        <v>1640.0374846411121</v>
      </c>
      <c r="F1418" s="2">
        <v>1606.1391439517711</v>
      </c>
      <c r="G1418" s="2">
        <v>1628.67333984375</v>
      </c>
      <c r="H1418" s="3">
        <v>1916380</v>
      </c>
      <c r="I1418" s="4">
        <f t="shared" si="88"/>
        <v>-0.98</v>
      </c>
      <c r="J1418" s="2">
        <f t="shared" si="89"/>
        <v>11.36</v>
      </c>
      <c r="K1418" s="7">
        <f t="shared" si="90"/>
        <v>46054</v>
      </c>
      <c r="L1418" t="str">
        <f t="shared" si="91"/>
        <v>Q1-2026</v>
      </c>
    </row>
    <row r="1419" spans="1:12">
      <c r="A1419" s="6">
        <v>46055</v>
      </c>
      <c r="B1419" t="s">
        <v>22</v>
      </c>
      <c r="C1419" t="s">
        <v>23</v>
      </c>
      <c r="D1419" s="2">
        <v>881.58073015389948</v>
      </c>
      <c r="E1419" s="2">
        <v>903.84389799878613</v>
      </c>
      <c r="F1419" s="2">
        <v>881.58073015389948</v>
      </c>
      <c r="G1419" s="2">
        <v>898.1787109375</v>
      </c>
      <c r="H1419" s="3">
        <v>11874989</v>
      </c>
      <c r="I1419" s="4">
        <f t="shared" si="88"/>
        <v>0</v>
      </c>
      <c r="J1419" s="2">
        <f t="shared" si="89"/>
        <v>5.67</v>
      </c>
      <c r="K1419" s="7">
        <f t="shared" si="90"/>
        <v>46054</v>
      </c>
      <c r="L1419" t="str">
        <f t="shared" si="91"/>
        <v>Q1-2026</v>
      </c>
    </row>
    <row r="1420" spans="1:12">
      <c r="A1420" s="6">
        <v>46055</v>
      </c>
      <c r="B1420" t="s">
        <v>24</v>
      </c>
      <c r="C1420" t="s">
        <v>25</v>
      </c>
      <c r="D1420" s="2">
        <v>14109.299979781679</v>
      </c>
      <c r="E1420" s="2">
        <v>14302.361062937771</v>
      </c>
      <c r="F1420" s="2">
        <v>13918.21901029899</v>
      </c>
      <c r="G1420" s="2">
        <v>14240.9775390625</v>
      </c>
      <c r="H1420" s="3">
        <v>621514</v>
      </c>
      <c r="I1420" s="4">
        <f t="shared" si="88"/>
        <v>-1.35</v>
      </c>
      <c r="J1420" s="2">
        <f t="shared" si="89"/>
        <v>61.38</v>
      </c>
      <c r="K1420" s="7">
        <f t="shared" si="90"/>
        <v>46054</v>
      </c>
      <c r="L1420" t="str">
        <f t="shared" si="91"/>
        <v>Q1-2026</v>
      </c>
    </row>
    <row r="1421" spans="1:12">
      <c r="A1421" s="6">
        <v>46055</v>
      </c>
      <c r="B1421" t="s">
        <v>26</v>
      </c>
      <c r="C1421" t="s">
        <v>27</v>
      </c>
      <c r="D1421" s="2">
        <v>341.8145418210762</v>
      </c>
      <c r="E1421" s="2">
        <v>361.50124096971058</v>
      </c>
      <c r="F1421" s="2">
        <v>338.29375994841359</v>
      </c>
      <c r="G1421" s="2">
        <v>359.91439819335938</v>
      </c>
      <c r="H1421" s="3">
        <v>19654613</v>
      </c>
      <c r="I1421" s="4">
        <f t="shared" si="88"/>
        <v>-1.03</v>
      </c>
      <c r="J1421" s="2">
        <f t="shared" si="89"/>
        <v>1.59</v>
      </c>
      <c r="K1421" s="7">
        <f t="shared" si="90"/>
        <v>46054</v>
      </c>
      <c r="L1421" t="str">
        <f t="shared" si="91"/>
        <v>Q1-2026</v>
      </c>
    </row>
    <row r="1422" spans="1:12">
      <c r="A1422" s="6">
        <v>46055</v>
      </c>
      <c r="B1422" t="s">
        <v>28</v>
      </c>
      <c r="C1422" t="s">
        <v>29</v>
      </c>
      <c r="D1422" s="2">
        <v>1619.210780760327</v>
      </c>
      <c r="E1422" s="2">
        <v>1619.210780760327</v>
      </c>
      <c r="F1422" s="2">
        <v>1583.734755659809</v>
      </c>
      <c r="G1422" s="2">
        <v>1613.166015625</v>
      </c>
      <c r="H1422" s="3">
        <v>2721280</v>
      </c>
      <c r="I1422" s="4">
        <f t="shared" si="88"/>
        <v>-2.19</v>
      </c>
      <c r="J1422" s="2">
        <f t="shared" si="89"/>
        <v>6.04</v>
      </c>
      <c r="K1422" s="7">
        <f t="shared" si="90"/>
        <v>46054</v>
      </c>
      <c r="L1422" t="str">
        <f t="shared" si="91"/>
        <v>Q1-2026</v>
      </c>
    </row>
    <row r="1423" spans="1:12">
      <c r="A1423" s="6">
        <v>46055</v>
      </c>
      <c r="B1423" t="s">
        <v>30</v>
      </c>
      <c r="C1423" t="s">
        <v>31</v>
      </c>
      <c r="D1423" s="2">
        <v>2354.4725989007529</v>
      </c>
      <c r="E1423" s="2">
        <v>2408.6030629687662</v>
      </c>
      <c r="F1423" s="2">
        <v>2351.597639580948</v>
      </c>
      <c r="G1423" s="2">
        <v>2381.339599609375</v>
      </c>
      <c r="H1423" s="3">
        <v>1183482</v>
      </c>
      <c r="I1423" s="4">
        <f t="shared" si="88"/>
        <v>-0.12</v>
      </c>
      <c r="J1423" s="2">
        <f t="shared" si="89"/>
        <v>27.26</v>
      </c>
      <c r="K1423" s="7">
        <f t="shared" si="90"/>
        <v>46054</v>
      </c>
      <c r="L1423" t="str">
        <f t="shared" si="91"/>
        <v>Q1-2026</v>
      </c>
    </row>
    <row r="1424" spans="1:12">
      <c r="A1424" s="6">
        <v>46055</v>
      </c>
      <c r="B1424" t="s">
        <v>32</v>
      </c>
      <c r="C1424" t="s">
        <v>33</v>
      </c>
      <c r="D1424" s="2">
        <v>2332.3760961990051</v>
      </c>
      <c r="E1424" s="2">
        <v>2336.236729715009</v>
      </c>
      <c r="F1424" s="2">
        <v>2279.8106731074859</v>
      </c>
      <c r="G1424" s="2">
        <v>2333.56396484375</v>
      </c>
      <c r="H1424" s="3">
        <v>1375089</v>
      </c>
      <c r="I1424" s="4">
        <f t="shared" si="88"/>
        <v>-2.25</v>
      </c>
      <c r="J1424" s="2">
        <f t="shared" si="89"/>
        <v>2.67</v>
      </c>
      <c r="K1424" s="7">
        <f t="shared" si="90"/>
        <v>46054</v>
      </c>
      <c r="L1424" t="str">
        <f t="shared" si="91"/>
        <v>Q1-2026</v>
      </c>
    </row>
    <row r="1425" spans="1:12">
      <c r="A1425" s="6">
        <v>46055</v>
      </c>
      <c r="B1425" t="s">
        <v>34</v>
      </c>
      <c r="C1425" t="s">
        <v>35</v>
      </c>
      <c r="D1425" s="2">
        <v>3793.6461372061221</v>
      </c>
      <c r="E1425" s="2">
        <v>3896.7392894733989</v>
      </c>
      <c r="F1425" s="2">
        <v>3788.0013208485179</v>
      </c>
      <c r="G1425" s="2">
        <v>3883.369873046875</v>
      </c>
      <c r="H1425" s="3">
        <v>3034613</v>
      </c>
      <c r="I1425" s="4">
        <f t="shared" si="88"/>
        <v>-0.15</v>
      </c>
      <c r="J1425" s="2">
        <f t="shared" si="89"/>
        <v>13.37</v>
      </c>
      <c r="K1425" s="7">
        <f t="shared" si="90"/>
        <v>46054</v>
      </c>
      <c r="L1425" t="str">
        <f t="shared" si="91"/>
        <v>Q1-2026</v>
      </c>
    </row>
    <row r="1426" spans="1:12">
      <c r="A1426" s="6">
        <v>46055</v>
      </c>
      <c r="B1426" t="s">
        <v>36</v>
      </c>
      <c r="C1426" t="s">
        <v>37</v>
      </c>
      <c r="D1426" s="2">
        <v>1337.9681888395619</v>
      </c>
      <c r="E1426" s="2">
        <v>1351.657583056608</v>
      </c>
      <c r="F1426" s="2">
        <v>1301.896031295224</v>
      </c>
      <c r="G1426" s="2">
        <v>1310.489379882812</v>
      </c>
      <c r="H1426" s="3">
        <v>8647298</v>
      </c>
      <c r="I1426" s="4">
        <f t="shared" si="88"/>
        <v>-2.7</v>
      </c>
      <c r="J1426" s="2">
        <f t="shared" si="89"/>
        <v>41.17</v>
      </c>
      <c r="K1426" s="7">
        <f t="shared" si="90"/>
        <v>46054</v>
      </c>
      <c r="L1426" t="str">
        <f t="shared" si="91"/>
        <v>Q1-2026</v>
      </c>
    </row>
    <row r="1427" spans="1:12">
      <c r="A1427" s="6">
        <v>46056</v>
      </c>
      <c r="B1427" t="s">
        <v>8</v>
      </c>
      <c r="C1427" t="s">
        <v>9</v>
      </c>
      <c r="D1427" s="2">
        <v>1467.116644636691</v>
      </c>
      <c r="E1427" s="2">
        <v>1482.64482392901</v>
      </c>
      <c r="F1427" s="2">
        <v>1423.6176937150069</v>
      </c>
      <c r="G1427" s="2">
        <v>1430.485961914062</v>
      </c>
      <c r="H1427" s="3">
        <v>25456171</v>
      </c>
      <c r="I1427" s="4">
        <f t="shared" si="88"/>
        <v>-2.96</v>
      </c>
      <c r="J1427" s="2">
        <f t="shared" si="89"/>
        <v>52.16</v>
      </c>
      <c r="K1427" s="7">
        <f t="shared" si="90"/>
        <v>46054</v>
      </c>
      <c r="L1427" t="str">
        <f t="shared" si="91"/>
        <v>Q1-2026</v>
      </c>
    </row>
    <row r="1428" spans="1:12">
      <c r="A1428" s="6">
        <v>46056</v>
      </c>
      <c r="B1428" t="s">
        <v>10</v>
      </c>
      <c r="C1428" t="s">
        <v>11</v>
      </c>
      <c r="D1428" s="2">
        <v>3287.1616459496981</v>
      </c>
      <c r="E1428" s="2">
        <v>3287.1616459496981</v>
      </c>
      <c r="F1428" s="2">
        <v>3126.5323322374511</v>
      </c>
      <c r="G1428" s="2">
        <v>3164.80078125</v>
      </c>
      <c r="H1428" s="3">
        <v>4366060</v>
      </c>
      <c r="I1428" s="4">
        <f t="shared" si="88"/>
        <v>-4.8899999999999997</v>
      </c>
      <c r="J1428" s="2">
        <f t="shared" si="89"/>
        <v>122.36</v>
      </c>
      <c r="K1428" s="7">
        <f t="shared" si="90"/>
        <v>46054</v>
      </c>
      <c r="L1428" t="str">
        <f t="shared" si="91"/>
        <v>Q1-2026</v>
      </c>
    </row>
    <row r="1429" spans="1:12">
      <c r="A1429" s="6">
        <v>46056</v>
      </c>
      <c r="B1429" t="s">
        <v>12</v>
      </c>
      <c r="C1429" t="s">
        <v>13</v>
      </c>
      <c r="D1429" s="2">
        <v>1690.616056346825</v>
      </c>
      <c r="E1429" s="2">
        <v>1691.399159307065</v>
      </c>
      <c r="F1429" s="2">
        <v>1617.987737462141</v>
      </c>
      <c r="G1429" s="2">
        <v>1620.924194335938</v>
      </c>
      <c r="H1429" s="3">
        <v>8805868</v>
      </c>
      <c r="I1429" s="4">
        <f t="shared" si="88"/>
        <v>-4.3</v>
      </c>
      <c r="J1429" s="2">
        <f t="shared" si="89"/>
        <v>70.47</v>
      </c>
      <c r="K1429" s="7">
        <f t="shared" si="90"/>
        <v>46054</v>
      </c>
      <c r="L1429" t="str">
        <f t="shared" si="91"/>
        <v>Q1-2026</v>
      </c>
    </row>
    <row r="1430" spans="1:12">
      <c r="A1430" s="6">
        <v>46056</v>
      </c>
      <c r="B1430" t="s">
        <v>14</v>
      </c>
      <c r="C1430" t="s">
        <v>15</v>
      </c>
      <c r="D1430" s="2">
        <v>967.74405594016423</v>
      </c>
      <c r="E1430" s="2">
        <v>977.82728498553831</v>
      </c>
      <c r="F1430" s="2">
        <v>929.62453150033571</v>
      </c>
      <c r="G1430" s="2">
        <v>933.26434326171875</v>
      </c>
      <c r="H1430" s="3">
        <v>50336968</v>
      </c>
      <c r="I1430" s="4">
        <f t="shared" si="88"/>
        <v>-3.94</v>
      </c>
      <c r="J1430" s="2">
        <f t="shared" si="89"/>
        <v>44.56</v>
      </c>
      <c r="K1430" s="7">
        <f t="shared" si="90"/>
        <v>46054</v>
      </c>
      <c r="L1430" t="str">
        <f t="shared" si="91"/>
        <v>Q1-2026</v>
      </c>
    </row>
    <row r="1431" spans="1:12">
      <c r="A1431" s="6">
        <v>46056</v>
      </c>
      <c r="B1431" t="s">
        <v>16</v>
      </c>
      <c r="C1431" t="s">
        <v>17</v>
      </c>
      <c r="D1431" s="2">
        <v>1400.195651215319</v>
      </c>
      <c r="E1431" s="2">
        <v>1405.1538511133899</v>
      </c>
      <c r="F1431" s="2">
        <v>1361.9183722121691</v>
      </c>
      <c r="G1431" s="2">
        <v>1378.08203125</v>
      </c>
      <c r="H1431" s="3">
        <v>24896698</v>
      </c>
      <c r="I1431" s="4">
        <f t="shared" si="88"/>
        <v>-2.73</v>
      </c>
      <c r="J1431" s="2">
        <f t="shared" si="89"/>
        <v>27.07</v>
      </c>
      <c r="K1431" s="7">
        <f t="shared" si="90"/>
        <v>46054</v>
      </c>
      <c r="L1431" t="str">
        <f t="shared" si="91"/>
        <v>Q1-2026</v>
      </c>
    </row>
    <row r="1432" spans="1:12">
      <c r="A1432" s="6">
        <v>46056</v>
      </c>
      <c r="B1432" t="s">
        <v>18</v>
      </c>
      <c r="C1432" t="s">
        <v>19</v>
      </c>
      <c r="D1432" s="2">
        <v>256.28304914464422</v>
      </c>
      <c r="E1432" s="2">
        <v>256.95539366541249</v>
      </c>
      <c r="F1432" s="2">
        <v>239.54422622894779</v>
      </c>
      <c r="G1432" s="2">
        <v>239.94960021972659</v>
      </c>
      <c r="H1432" s="3">
        <v>25915412</v>
      </c>
      <c r="I1432" s="4">
        <f t="shared" si="88"/>
        <v>-6.53</v>
      </c>
      <c r="J1432" s="2">
        <f t="shared" si="89"/>
        <v>17.010000000000002</v>
      </c>
      <c r="K1432" s="7">
        <f t="shared" si="90"/>
        <v>46054</v>
      </c>
      <c r="L1432" t="str">
        <f t="shared" si="91"/>
        <v>Q1-2026</v>
      </c>
    </row>
    <row r="1433" spans="1:12">
      <c r="A1433" s="6">
        <v>46056</v>
      </c>
      <c r="B1433" t="s">
        <v>20</v>
      </c>
      <c r="C1433" t="s">
        <v>21</v>
      </c>
      <c r="D1433" s="2">
        <v>1728.9113946545399</v>
      </c>
      <c r="E1433" s="2">
        <v>1729.0085007948289</v>
      </c>
      <c r="F1433" s="2">
        <v>1640.6203339894571</v>
      </c>
      <c r="G1433" s="2">
        <v>1646.642456054688</v>
      </c>
      <c r="H1433" s="3">
        <v>3200948</v>
      </c>
      <c r="I1433" s="4">
        <f t="shared" si="88"/>
        <v>-5.1100000000000003</v>
      </c>
      <c r="J1433" s="2">
        <f t="shared" si="89"/>
        <v>82.37</v>
      </c>
      <c r="K1433" s="7">
        <f t="shared" si="90"/>
        <v>46054</v>
      </c>
      <c r="L1433" t="str">
        <f t="shared" si="91"/>
        <v>Q1-2026</v>
      </c>
    </row>
    <row r="1434" spans="1:12">
      <c r="A1434" s="6">
        <v>46056</v>
      </c>
      <c r="B1434" t="s">
        <v>22</v>
      </c>
      <c r="C1434" t="s">
        <v>23</v>
      </c>
      <c r="D1434" s="2">
        <v>954.13473174973558</v>
      </c>
      <c r="E1434" s="2">
        <v>966.85651604061491</v>
      </c>
      <c r="F1434" s="2">
        <v>936.14534075977178</v>
      </c>
      <c r="G1434" s="2">
        <v>958.50787353515625</v>
      </c>
      <c r="H1434" s="3">
        <v>15261370</v>
      </c>
      <c r="I1434" s="4">
        <f t="shared" si="88"/>
        <v>-1.89</v>
      </c>
      <c r="J1434" s="2">
        <f t="shared" si="89"/>
        <v>8.35</v>
      </c>
      <c r="K1434" s="7">
        <f t="shared" si="90"/>
        <v>46054</v>
      </c>
      <c r="L1434" t="str">
        <f t="shared" si="91"/>
        <v>Q1-2026</v>
      </c>
    </row>
    <row r="1435" spans="1:12">
      <c r="A1435" s="6">
        <v>46056</v>
      </c>
      <c r="B1435" t="s">
        <v>24</v>
      </c>
      <c r="C1435" t="s">
        <v>25</v>
      </c>
      <c r="D1435" s="2">
        <v>15048.863271208231</v>
      </c>
      <c r="E1435" s="2">
        <v>15129.05787153506</v>
      </c>
      <c r="F1435" s="2">
        <v>14338.00249300247</v>
      </c>
      <c r="G1435" s="2">
        <v>14635.01953125</v>
      </c>
      <c r="H1435" s="3">
        <v>638870</v>
      </c>
      <c r="I1435" s="4">
        <f t="shared" si="88"/>
        <v>-4.72</v>
      </c>
      <c r="J1435" s="2">
        <f t="shared" si="89"/>
        <v>494.04</v>
      </c>
      <c r="K1435" s="7">
        <f t="shared" si="90"/>
        <v>46054</v>
      </c>
      <c r="L1435" t="str">
        <f t="shared" si="91"/>
        <v>Q1-2026</v>
      </c>
    </row>
    <row r="1436" spans="1:12">
      <c r="A1436" s="6">
        <v>46056</v>
      </c>
      <c r="B1436" t="s">
        <v>26</v>
      </c>
      <c r="C1436" t="s">
        <v>27</v>
      </c>
      <c r="D1436" s="2">
        <v>378.01424490971863</v>
      </c>
      <c r="E1436" s="2">
        <v>381.43587361299598</v>
      </c>
      <c r="F1436" s="2">
        <v>362.98889112545032</v>
      </c>
      <c r="G1436" s="2">
        <v>368.98910522460938</v>
      </c>
      <c r="H1436" s="3">
        <v>16720225</v>
      </c>
      <c r="I1436" s="4">
        <f t="shared" si="88"/>
        <v>-3.97</v>
      </c>
      <c r="J1436" s="2">
        <f t="shared" si="89"/>
        <v>12.45</v>
      </c>
      <c r="K1436" s="7">
        <f t="shared" si="90"/>
        <v>46054</v>
      </c>
      <c r="L1436" t="str">
        <f t="shared" si="91"/>
        <v>Q1-2026</v>
      </c>
    </row>
    <row r="1437" spans="1:12">
      <c r="A1437" s="6">
        <v>46056</v>
      </c>
      <c r="B1437" t="s">
        <v>28</v>
      </c>
      <c r="C1437" t="s">
        <v>29</v>
      </c>
      <c r="D1437" s="2">
        <v>1694.423786831773</v>
      </c>
      <c r="E1437" s="2">
        <v>1709.38709313511</v>
      </c>
      <c r="F1437" s="2">
        <v>1655.8758450021851</v>
      </c>
      <c r="G1437" s="2">
        <v>1686.6943359375</v>
      </c>
      <c r="H1437" s="3">
        <v>8520586</v>
      </c>
      <c r="I1437" s="4">
        <f t="shared" si="88"/>
        <v>-2.27</v>
      </c>
      <c r="J1437" s="2">
        <f t="shared" si="89"/>
        <v>22.69</v>
      </c>
      <c r="K1437" s="7">
        <f t="shared" si="90"/>
        <v>46054</v>
      </c>
      <c r="L1437" t="str">
        <f t="shared" si="91"/>
        <v>Q1-2026</v>
      </c>
    </row>
    <row r="1438" spans="1:12">
      <c r="A1438" s="6">
        <v>46056</v>
      </c>
      <c r="B1438" t="s">
        <v>30</v>
      </c>
      <c r="C1438" t="s">
        <v>31</v>
      </c>
      <c r="D1438" s="2">
        <v>2503.281520205102</v>
      </c>
      <c r="E1438" s="2">
        <v>2503.281520205102</v>
      </c>
      <c r="F1438" s="2">
        <v>2370.4341048754059</v>
      </c>
      <c r="G1438" s="2">
        <v>2405.133056640625</v>
      </c>
      <c r="H1438" s="3">
        <v>2233860</v>
      </c>
      <c r="I1438" s="4">
        <f t="shared" si="88"/>
        <v>-5.31</v>
      </c>
      <c r="J1438" s="2">
        <f t="shared" si="89"/>
        <v>98.15</v>
      </c>
      <c r="K1438" s="7">
        <f t="shared" si="90"/>
        <v>46054</v>
      </c>
      <c r="L1438" t="str">
        <f t="shared" si="91"/>
        <v>Q1-2026</v>
      </c>
    </row>
    <row r="1439" spans="1:12">
      <c r="A1439" s="6">
        <v>46056</v>
      </c>
      <c r="B1439" t="s">
        <v>32</v>
      </c>
      <c r="C1439" t="s">
        <v>33</v>
      </c>
      <c r="D1439" s="2">
        <v>2365.9346670808859</v>
      </c>
      <c r="E1439" s="2">
        <v>2375.7348855561131</v>
      </c>
      <c r="F1439" s="2">
        <v>2319.7049459810851</v>
      </c>
      <c r="G1439" s="2">
        <v>2344.750244140625</v>
      </c>
      <c r="H1439" s="3">
        <v>1553270</v>
      </c>
      <c r="I1439" s="4">
        <f t="shared" si="88"/>
        <v>-1.95</v>
      </c>
      <c r="J1439" s="2">
        <f t="shared" si="89"/>
        <v>30.98</v>
      </c>
      <c r="K1439" s="7">
        <f t="shared" si="90"/>
        <v>46054</v>
      </c>
      <c r="L1439" t="str">
        <f t="shared" si="91"/>
        <v>Q1-2026</v>
      </c>
    </row>
    <row r="1440" spans="1:12">
      <c r="A1440" s="6">
        <v>46056</v>
      </c>
      <c r="B1440" t="s">
        <v>34</v>
      </c>
      <c r="C1440" t="s">
        <v>35</v>
      </c>
      <c r="D1440" s="2">
        <v>4077.1766854410571</v>
      </c>
      <c r="E1440" s="2">
        <v>4082.1283209589601</v>
      </c>
      <c r="F1440" s="2">
        <v>3991.6125204033301</v>
      </c>
      <c r="G1440" s="2">
        <v>3999.733154296875</v>
      </c>
      <c r="H1440" s="3">
        <v>3742190</v>
      </c>
      <c r="I1440" s="4">
        <f t="shared" si="88"/>
        <v>-2.1</v>
      </c>
      <c r="J1440" s="2">
        <f t="shared" si="89"/>
        <v>82.4</v>
      </c>
      <c r="K1440" s="7">
        <f t="shared" si="90"/>
        <v>46054</v>
      </c>
      <c r="L1440" t="str">
        <f t="shared" si="91"/>
        <v>Q1-2026</v>
      </c>
    </row>
    <row r="1441" spans="1:12">
      <c r="A1441" s="6">
        <v>46056</v>
      </c>
      <c r="B1441" t="s">
        <v>36</v>
      </c>
      <c r="C1441" t="s">
        <v>37</v>
      </c>
      <c r="D1441" s="2">
        <v>1401.9187671636071</v>
      </c>
      <c r="E1441" s="2">
        <v>1417.207024890384</v>
      </c>
      <c r="F1441" s="2">
        <v>1344.463079984771</v>
      </c>
      <c r="G1441" s="2">
        <v>1355.15478515625</v>
      </c>
      <c r="H1441" s="3">
        <v>10384723</v>
      </c>
      <c r="I1441" s="4">
        <f t="shared" si="88"/>
        <v>-4.0999999999999996</v>
      </c>
      <c r="J1441" s="2">
        <f t="shared" si="89"/>
        <v>62.05</v>
      </c>
      <c r="K1441" s="7">
        <f t="shared" si="90"/>
        <v>46054</v>
      </c>
      <c r="L1441" t="str">
        <f t="shared" si="91"/>
        <v>Q1-2026</v>
      </c>
    </row>
    <row r="1442" spans="1:12">
      <c r="A1442" s="6">
        <v>46057</v>
      </c>
      <c r="B1442" t="s">
        <v>8</v>
      </c>
      <c r="C1442" t="s">
        <v>9</v>
      </c>
      <c r="D1442" s="2">
        <v>1437.354319460545</v>
      </c>
      <c r="E1442" s="2">
        <v>1457.26227402371</v>
      </c>
      <c r="F1442" s="2">
        <v>1433.671396469764</v>
      </c>
      <c r="G1442" s="2">
        <v>1450.095458984375</v>
      </c>
      <c r="H1442" s="3">
        <v>8333387</v>
      </c>
      <c r="I1442" s="4">
        <f t="shared" si="88"/>
        <v>-0.26</v>
      </c>
      <c r="J1442" s="2">
        <f t="shared" si="89"/>
        <v>7.17</v>
      </c>
      <c r="K1442" s="7">
        <f t="shared" si="90"/>
        <v>46054</v>
      </c>
      <c r="L1442" t="str">
        <f t="shared" si="91"/>
        <v>Q1-2026</v>
      </c>
    </row>
    <row r="1443" spans="1:12">
      <c r="A1443" s="6">
        <v>46057</v>
      </c>
      <c r="B1443" t="s">
        <v>10</v>
      </c>
      <c r="C1443" t="s">
        <v>11</v>
      </c>
      <c r="D1443" s="2">
        <v>3061.4758430955121</v>
      </c>
      <c r="E1443" s="2">
        <v>3061.4758430955121</v>
      </c>
      <c r="F1443" s="2">
        <v>2929.9893806035889</v>
      </c>
      <c r="G1443" s="2">
        <v>2942.84375</v>
      </c>
      <c r="H1443" s="3">
        <v>10852595</v>
      </c>
      <c r="I1443" s="4">
        <f t="shared" si="88"/>
        <v>-4.29</v>
      </c>
      <c r="J1443" s="2">
        <f t="shared" si="89"/>
        <v>118.63</v>
      </c>
      <c r="K1443" s="7">
        <f t="shared" si="90"/>
        <v>46054</v>
      </c>
      <c r="L1443" t="str">
        <f t="shared" si="91"/>
        <v>Q1-2026</v>
      </c>
    </row>
    <row r="1444" spans="1:12">
      <c r="A1444" s="6">
        <v>46057</v>
      </c>
      <c r="B1444" t="s">
        <v>12</v>
      </c>
      <c r="C1444" t="s">
        <v>13</v>
      </c>
      <c r="D1444" s="2">
        <v>1540.6609764639099</v>
      </c>
      <c r="E1444" s="2">
        <v>1551.330126563814</v>
      </c>
      <c r="F1444" s="2">
        <v>1478.114423725767</v>
      </c>
      <c r="G1444" s="2">
        <v>1503.270141601562</v>
      </c>
      <c r="H1444" s="3">
        <v>28828622</v>
      </c>
      <c r="I1444" s="4">
        <f t="shared" si="88"/>
        <v>-4.0599999999999996</v>
      </c>
      <c r="J1444" s="2">
        <f t="shared" si="89"/>
        <v>48.06</v>
      </c>
      <c r="K1444" s="7">
        <f t="shared" si="90"/>
        <v>46054</v>
      </c>
      <c r="L1444" t="str">
        <f t="shared" si="91"/>
        <v>Q1-2026</v>
      </c>
    </row>
    <row r="1445" spans="1:12">
      <c r="A1445" s="6">
        <v>46057</v>
      </c>
      <c r="B1445" t="s">
        <v>14</v>
      </c>
      <c r="C1445" t="s">
        <v>15</v>
      </c>
      <c r="D1445" s="2">
        <v>937.00249862477176</v>
      </c>
      <c r="E1445" s="2">
        <v>941.62604002272997</v>
      </c>
      <c r="F1445" s="2">
        <v>932.52654069225321</v>
      </c>
      <c r="G1445" s="2">
        <v>937.59271240234375</v>
      </c>
      <c r="H1445" s="3">
        <v>24366770</v>
      </c>
      <c r="I1445" s="4">
        <f t="shared" si="88"/>
        <v>-0.48</v>
      </c>
      <c r="J1445" s="2">
        <f t="shared" si="89"/>
        <v>4.03</v>
      </c>
      <c r="K1445" s="7">
        <f t="shared" si="90"/>
        <v>46054</v>
      </c>
      <c r="L1445" t="str">
        <f t="shared" si="91"/>
        <v>Q1-2026</v>
      </c>
    </row>
    <row r="1446" spans="1:12">
      <c r="A1446" s="6">
        <v>46057</v>
      </c>
      <c r="B1446" t="s">
        <v>16</v>
      </c>
      <c r="C1446" t="s">
        <v>17</v>
      </c>
      <c r="D1446" s="2">
        <v>1375.4046132419251</v>
      </c>
      <c r="E1446" s="2">
        <v>1402.17889194238</v>
      </c>
      <c r="F1446" s="2">
        <v>1375.305473456697</v>
      </c>
      <c r="G1446" s="2">
        <v>1396.625732421875</v>
      </c>
      <c r="H1446" s="3">
        <v>11080683</v>
      </c>
      <c r="I1446" s="4">
        <f t="shared" si="88"/>
        <v>-0.01</v>
      </c>
      <c r="J1446" s="2">
        <f t="shared" si="89"/>
        <v>5.55</v>
      </c>
      <c r="K1446" s="7">
        <f t="shared" si="90"/>
        <v>46054</v>
      </c>
      <c r="L1446" t="str">
        <f t="shared" si="91"/>
        <v>Q1-2026</v>
      </c>
    </row>
    <row r="1447" spans="1:12">
      <c r="A1447" s="6">
        <v>46057</v>
      </c>
      <c r="B1447" t="s">
        <v>18</v>
      </c>
      <c r="C1447" t="s">
        <v>19</v>
      </c>
      <c r="D1447" s="2">
        <v>233.2461570142917</v>
      </c>
      <c r="E1447" s="2">
        <v>233.25603866523721</v>
      </c>
      <c r="F1447" s="2">
        <v>223.70511375338751</v>
      </c>
      <c r="G1447" s="2">
        <v>230.7051696777344</v>
      </c>
      <c r="H1447" s="3">
        <v>25995324</v>
      </c>
      <c r="I1447" s="4">
        <f t="shared" si="88"/>
        <v>-4.09</v>
      </c>
      <c r="J1447" s="2">
        <f t="shared" si="89"/>
        <v>2.5499999999999998</v>
      </c>
      <c r="K1447" s="7">
        <f t="shared" si="90"/>
        <v>46054</v>
      </c>
      <c r="L1447" t="str">
        <f t="shared" si="91"/>
        <v>Q1-2026</v>
      </c>
    </row>
    <row r="1448" spans="1:12">
      <c r="A1448" s="6">
        <v>46057</v>
      </c>
      <c r="B1448" t="s">
        <v>20</v>
      </c>
      <c r="C1448" t="s">
        <v>21</v>
      </c>
      <c r="D1448" s="2">
        <v>1594.872135378366</v>
      </c>
      <c r="E1448" s="2">
        <v>1597.786030875403</v>
      </c>
      <c r="F1448" s="2">
        <v>1540.479419433671</v>
      </c>
      <c r="G1448" s="2">
        <v>1575.251953125</v>
      </c>
      <c r="H1448" s="3">
        <v>5834470</v>
      </c>
      <c r="I1448" s="4">
        <f t="shared" si="88"/>
        <v>-3.41</v>
      </c>
      <c r="J1448" s="2">
        <f t="shared" si="89"/>
        <v>22.53</v>
      </c>
      <c r="K1448" s="7">
        <f t="shared" si="90"/>
        <v>46054</v>
      </c>
      <c r="L1448" t="str">
        <f t="shared" si="91"/>
        <v>Q1-2026</v>
      </c>
    </row>
    <row r="1449" spans="1:12">
      <c r="A1449" s="6">
        <v>46057</v>
      </c>
      <c r="B1449" t="s">
        <v>22</v>
      </c>
      <c r="C1449" t="s">
        <v>23</v>
      </c>
      <c r="D1449" s="2">
        <v>959.10417648886209</v>
      </c>
      <c r="E1449" s="2">
        <v>969.73881524144815</v>
      </c>
      <c r="F1449" s="2">
        <v>938.38158719957357</v>
      </c>
      <c r="G1449" s="2">
        <v>957.41455078125</v>
      </c>
      <c r="H1449" s="3">
        <v>17489015</v>
      </c>
      <c r="I1449" s="4">
        <f t="shared" si="88"/>
        <v>-2.16</v>
      </c>
      <c r="J1449" s="2">
        <f t="shared" si="89"/>
        <v>12.32</v>
      </c>
      <c r="K1449" s="7">
        <f t="shared" si="90"/>
        <v>46054</v>
      </c>
      <c r="L1449" t="str">
        <f t="shared" si="91"/>
        <v>Q1-2026</v>
      </c>
    </row>
    <row r="1450" spans="1:12">
      <c r="A1450" s="6">
        <v>46057</v>
      </c>
      <c r="B1450" t="s">
        <v>24</v>
      </c>
      <c r="C1450" t="s">
        <v>25</v>
      </c>
      <c r="D1450" s="2">
        <v>14652.84108345498</v>
      </c>
      <c r="E1450" s="2">
        <v>15019.162110541351</v>
      </c>
      <c r="F1450" s="2">
        <v>14576.60670754782</v>
      </c>
      <c r="G1450" s="2">
        <v>14921.146484375</v>
      </c>
      <c r="H1450" s="3">
        <v>451065</v>
      </c>
      <c r="I1450" s="4">
        <f t="shared" si="88"/>
        <v>-0.52</v>
      </c>
      <c r="J1450" s="2">
        <f t="shared" si="89"/>
        <v>98.02</v>
      </c>
      <c r="K1450" s="7">
        <f t="shared" si="90"/>
        <v>46054</v>
      </c>
      <c r="L1450" t="str">
        <f t="shared" si="91"/>
        <v>Q1-2026</v>
      </c>
    </row>
    <row r="1451" spans="1:12">
      <c r="A1451" s="6">
        <v>46057</v>
      </c>
      <c r="B1451" t="s">
        <v>26</v>
      </c>
      <c r="C1451" t="s">
        <v>27</v>
      </c>
      <c r="D1451" s="2">
        <v>369.43543315451689</v>
      </c>
      <c r="E1451" s="2">
        <v>374.49348137986709</v>
      </c>
      <c r="F1451" s="2">
        <v>365.41876471272923</v>
      </c>
      <c r="G1451" s="2">
        <v>372.36117553710938</v>
      </c>
      <c r="H1451" s="3">
        <v>10142353</v>
      </c>
      <c r="I1451" s="4">
        <f t="shared" si="88"/>
        <v>-1.0900000000000001</v>
      </c>
      <c r="J1451" s="2">
        <f t="shared" si="89"/>
        <v>2.13</v>
      </c>
      <c r="K1451" s="7">
        <f t="shared" si="90"/>
        <v>46054</v>
      </c>
      <c r="L1451" t="str">
        <f t="shared" si="91"/>
        <v>Q1-2026</v>
      </c>
    </row>
    <row r="1452" spans="1:12">
      <c r="A1452" s="6">
        <v>46057</v>
      </c>
      <c r="B1452" t="s">
        <v>28</v>
      </c>
      <c r="C1452" t="s">
        <v>29</v>
      </c>
      <c r="D1452" s="2">
        <v>1699.37859813197</v>
      </c>
      <c r="E1452" s="2">
        <v>1713.3509559393069</v>
      </c>
      <c r="F1452" s="2">
        <v>1679.9560203953861</v>
      </c>
      <c r="G1452" s="2">
        <v>1688.9736328125</v>
      </c>
      <c r="H1452" s="3">
        <v>3952775</v>
      </c>
      <c r="I1452" s="4">
        <f t="shared" si="88"/>
        <v>-1.1399999999999999</v>
      </c>
      <c r="J1452" s="2">
        <f t="shared" si="89"/>
        <v>24.38</v>
      </c>
      <c r="K1452" s="7">
        <f t="shared" si="90"/>
        <v>46054</v>
      </c>
      <c r="L1452" t="str">
        <f t="shared" si="91"/>
        <v>Q1-2026</v>
      </c>
    </row>
    <row r="1453" spans="1:12">
      <c r="A1453" s="6">
        <v>46057</v>
      </c>
      <c r="B1453" t="s">
        <v>30</v>
      </c>
      <c r="C1453" t="s">
        <v>31</v>
      </c>
      <c r="D1453" s="2">
        <v>2409.0985719161731</v>
      </c>
      <c r="E1453" s="2">
        <v>2442.6078926414948</v>
      </c>
      <c r="F1453" s="2">
        <v>2396.3096269309108</v>
      </c>
      <c r="G1453" s="2">
        <v>2431.603271484375</v>
      </c>
      <c r="H1453" s="3">
        <v>970973</v>
      </c>
      <c r="I1453" s="4">
        <f t="shared" si="88"/>
        <v>-0.53</v>
      </c>
      <c r="J1453" s="2">
        <f t="shared" si="89"/>
        <v>11</v>
      </c>
      <c r="K1453" s="7">
        <f t="shared" si="90"/>
        <v>46054</v>
      </c>
      <c r="L1453" t="str">
        <f t="shared" si="91"/>
        <v>Q1-2026</v>
      </c>
    </row>
    <row r="1454" spans="1:12">
      <c r="A1454" s="6">
        <v>46057</v>
      </c>
      <c r="B1454" t="s">
        <v>32</v>
      </c>
      <c r="C1454" t="s">
        <v>33</v>
      </c>
      <c r="D1454" s="2">
        <v>2336.830792697157</v>
      </c>
      <c r="E1454" s="2">
        <v>2369.3994200347302</v>
      </c>
      <c r="F1454" s="2">
        <v>2333.069007240937</v>
      </c>
      <c r="G1454" s="2">
        <v>2347.1259765625</v>
      </c>
      <c r="H1454" s="3">
        <v>1232755</v>
      </c>
      <c r="I1454" s="4">
        <f t="shared" si="88"/>
        <v>-0.16</v>
      </c>
      <c r="J1454" s="2">
        <f t="shared" si="89"/>
        <v>22.27</v>
      </c>
      <c r="K1454" s="7">
        <f t="shared" si="90"/>
        <v>46054</v>
      </c>
      <c r="L1454" t="str">
        <f t="shared" si="91"/>
        <v>Q1-2026</v>
      </c>
    </row>
    <row r="1455" spans="1:12">
      <c r="A1455" s="6">
        <v>46057</v>
      </c>
      <c r="B1455" t="s">
        <v>34</v>
      </c>
      <c r="C1455" t="s">
        <v>35</v>
      </c>
      <c r="D1455" s="2">
        <v>3990.0280584002089</v>
      </c>
      <c r="E1455" s="2">
        <v>4067.2735755397521</v>
      </c>
      <c r="F1455" s="2">
        <v>3978.0450032605172</v>
      </c>
      <c r="G1455" s="2">
        <v>4047.566162109375</v>
      </c>
      <c r="H1455" s="3">
        <v>1403373</v>
      </c>
      <c r="I1455" s="4">
        <f t="shared" si="88"/>
        <v>-0.3</v>
      </c>
      <c r="J1455" s="2">
        <f t="shared" si="89"/>
        <v>19.71</v>
      </c>
      <c r="K1455" s="7">
        <f t="shared" si="90"/>
        <v>46054</v>
      </c>
      <c r="L1455" t="str">
        <f t="shared" si="91"/>
        <v>Q1-2026</v>
      </c>
    </row>
    <row r="1456" spans="1:12">
      <c r="A1456" s="6">
        <v>46057</v>
      </c>
      <c r="B1456" t="s">
        <v>36</v>
      </c>
      <c r="C1456" t="s">
        <v>37</v>
      </c>
      <c r="D1456" s="2">
        <v>1368.644446036081</v>
      </c>
      <c r="E1456" s="2">
        <v>1368.844365099731</v>
      </c>
      <c r="F1456" s="2">
        <v>1335.569977638193</v>
      </c>
      <c r="G1456" s="2">
        <v>1337.668334960938</v>
      </c>
      <c r="H1456" s="3">
        <v>6672251</v>
      </c>
      <c r="I1456" s="4">
        <f t="shared" si="88"/>
        <v>-2.42</v>
      </c>
      <c r="J1456" s="2">
        <f t="shared" si="89"/>
        <v>31.18</v>
      </c>
      <c r="K1456" s="7">
        <f t="shared" si="90"/>
        <v>46054</v>
      </c>
      <c r="L1456" t="str">
        <f t="shared" si="91"/>
        <v>Q1-2026</v>
      </c>
    </row>
    <row r="1457" spans="1:12">
      <c r="A1457" s="6">
        <v>46058</v>
      </c>
      <c r="B1457" t="s">
        <v>8</v>
      </c>
      <c r="C1457" t="s">
        <v>9</v>
      </c>
      <c r="D1457" s="2">
        <v>1450.2944646433759</v>
      </c>
      <c r="E1457" s="2">
        <v>1454.7737543420001</v>
      </c>
      <c r="F1457" s="2">
        <v>1432.875004704282</v>
      </c>
      <c r="G1457" s="2">
        <v>1436.757080078125</v>
      </c>
      <c r="H1457" s="3">
        <v>11763658</v>
      </c>
      <c r="I1457" s="4">
        <f t="shared" si="88"/>
        <v>-1.2</v>
      </c>
      <c r="J1457" s="2">
        <f t="shared" si="89"/>
        <v>18.02</v>
      </c>
      <c r="K1457" s="7">
        <f t="shared" si="90"/>
        <v>46054</v>
      </c>
      <c r="L1457" t="str">
        <f t="shared" si="91"/>
        <v>Q1-2026</v>
      </c>
    </row>
    <row r="1458" spans="1:12">
      <c r="A1458" s="6">
        <v>46058</v>
      </c>
      <c r="B1458" t="s">
        <v>10</v>
      </c>
      <c r="C1458" t="s">
        <v>11</v>
      </c>
      <c r="D1458" s="2">
        <v>2933.9143670738972</v>
      </c>
      <c r="E1458" s="2">
        <v>2972.8696370121229</v>
      </c>
      <c r="F1458" s="2">
        <v>2916.54642692685</v>
      </c>
      <c r="G1458" s="2">
        <v>2935.38623046875</v>
      </c>
      <c r="H1458" s="3">
        <v>3521545</v>
      </c>
      <c r="I1458" s="4">
        <f t="shared" si="88"/>
        <v>-0.59</v>
      </c>
      <c r="J1458" s="2">
        <f t="shared" si="89"/>
        <v>37.479999999999997</v>
      </c>
      <c r="K1458" s="7">
        <f t="shared" si="90"/>
        <v>46054</v>
      </c>
      <c r="L1458" t="str">
        <f t="shared" si="91"/>
        <v>Q1-2026</v>
      </c>
    </row>
    <row r="1459" spans="1:12">
      <c r="A1459" s="6">
        <v>46058</v>
      </c>
      <c r="B1459" t="s">
        <v>12</v>
      </c>
      <c r="C1459" t="s">
        <v>13</v>
      </c>
      <c r="D1459" s="2">
        <v>1501.5082372972431</v>
      </c>
      <c r="E1459" s="2">
        <v>1518.1481590925839</v>
      </c>
      <c r="F1459" s="2">
        <v>1483.5958031001301</v>
      </c>
      <c r="G1459" s="2">
        <v>1488.00048828125</v>
      </c>
      <c r="H1459" s="3">
        <v>10628127</v>
      </c>
      <c r="I1459" s="4">
        <f t="shared" si="88"/>
        <v>-1.19</v>
      </c>
      <c r="J1459" s="2">
        <f t="shared" si="89"/>
        <v>30.15</v>
      </c>
      <c r="K1459" s="7">
        <f t="shared" si="90"/>
        <v>46054</v>
      </c>
      <c r="L1459" t="str">
        <f t="shared" si="91"/>
        <v>Q1-2026</v>
      </c>
    </row>
    <row r="1460" spans="1:12">
      <c r="A1460" s="6">
        <v>46058</v>
      </c>
      <c r="B1460" t="s">
        <v>14</v>
      </c>
      <c r="C1460" t="s">
        <v>15</v>
      </c>
      <c r="D1460" s="2">
        <v>940.44553157044538</v>
      </c>
      <c r="E1460" s="2">
        <v>940.4947060438036</v>
      </c>
      <c r="F1460" s="2">
        <v>931.29685796839817</v>
      </c>
      <c r="G1460" s="2">
        <v>934.248046875</v>
      </c>
      <c r="H1460" s="3">
        <v>28103169</v>
      </c>
      <c r="I1460" s="4">
        <f t="shared" si="88"/>
        <v>-0.97</v>
      </c>
      <c r="J1460" s="2">
        <f t="shared" si="89"/>
        <v>6.25</v>
      </c>
      <c r="K1460" s="7">
        <f t="shared" si="90"/>
        <v>46054</v>
      </c>
      <c r="L1460" t="str">
        <f t="shared" si="91"/>
        <v>Q1-2026</v>
      </c>
    </row>
    <row r="1461" spans="1:12">
      <c r="A1461" s="6">
        <v>46058</v>
      </c>
      <c r="B1461" t="s">
        <v>16</v>
      </c>
      <c r="C1461" t="s">
        <v>17</v>
      </c>
      <c r="D1461" s="2">
        <v>1402.17889450188</v>
      </c>
      <c r="E1461" s="2">
        <v>1402.17889450188</v>
      </c>
      <c r="F1461" s="2">
        <v>1381.5527350454399</v>
      </c>
      <c r="G1461" s="2">
        <v>1384.8251953125</v>
      </c>
      <c r="H1461" s="3">
        <v>8982761</v>
      </c>
      <c r="I1461" s="4">
        <f t="shared" si="88"/>
        <v>-1.47</v>
      </c>
      <c r="J1461" s="2">
        <f t="shared" si="89"/>
        <v>17.350000000000001</v>
      </c>
      <c r="K1461" s="7">
        <f t="shared" si="90"/>
        <v>46054</v>
      </c>
      <c r="L1461" t="str">
        <f t="shared" si="91"/>
        <v>Q1-2026</v>
      </c>
    </row>
    <row r="1462" spans="1:12">
      <c r="A1462" s="6">
        <v>46058</v>
      </c>
      <c r="B1462" t="s">
        <v>18</v>
      </c>
      <c r="C1462" t="s">
        <v>19</v>
      </c>
      <c r="D1462" s="2">
        <v>230.70516972657899</v>
      </c>
      <c r="E1462" s="2">
        <v>232.90999989357701</v>
      </c>
      <c r="F1462" s="2">
        <v>229.0836888682677</v>
      </c>
      <c r="G1462" s="2">
        <v>230.7546081542969</v>
      </c>
      <c r="H1462" s="3">
        <v>10102736</v>
      </c>
      <c r="I1462" s="4">
        <f t="shared" si="88"/>
        <v>-0.7</v>
      </c>
      <c r="J1462" s="2">
        <f t="shared" si="89"/>
        <v>2.16</v>
      </c>
      <c r="K1462" s="7">
        <f t="shared" si="90"/>
        <v>46054</v>
      </c>
      <c r="L1462" t="str">
        <f t="shared" si="91"/>
        <v>Q1-2026</v>
      </c>
    </row>
    <row r="1463" spans="1:12">
      <c r="A1463" s="6">
        <v>46058</v>
      </c>
      <c r="B1463" t="s">
        <v>20</v>
      </c>
      <c r="C1463" t="s">
        <v>21</v>
      </c>
      <c r="D1463" s="2">
        <v>1567.384406585408</v>
      </c>
      <c r="E1463" s="2">
        <v>1584.9650050129389</v>
      </c>
      <c r="F1463" s="2">
        <v>1554.27187629529</v>
      </c>
      <c r="G1463" s="2">
        <v>1563.790649414062</v>
      </c>
      <c r="H1463" s="3">
        <v>3184531</v>
      </c>
      <c r="I1463" s="4">
        <f t="shared" si="88"/>
        <v>-0.84</v>
      </c>
      <c r="J1463" s="2">
        <f t="shared" si="89"/>
        <v>21.17</v>
      </c>
      <c r="K1463" s="7">
        <f t="shared" si="90"/>
        <v>46054</v>
      </c>
      <c r="L1463" t="str">
        <f t="shared" si="91"/>
        <v>Q1-2026</v>
      </c>
    </row>
    <row r="1464" spans="1:12">
      <c r="A1464" s="6">
        <v>46058</v>
      </c>
      <c r="B1464" t="s">
        <v>22</v>
      </c>
      <c r="C1464" t="s">
        <v>23</v>
      </c>
      <c r="D1464" s="2">
        <v>958.11029512989114</v>
      </c>
      <c r="E1464" s="2">
        <v>962.58280169429418</v>
      </c>
      <c r="F1464" s="2">
        <v>947.17750130579486</v>
      </c>
      <c r="G1464" s="2">
        <v>958.855712890625</v>
      </c>
      <c r="H1464" s="3">
        <v>6020258</v>
      </c>
      <c r="I1464" s="4">
        <f t="shared" si="88"/>
        <v>-1.1399999999999999</v>
      </c>
      <c r="J1464" s="2">
        <f t="shared" si="89"/>
        <v>3.73</v>
      </c>
      <c r="K1464" s="7">
        <f t="shared" si="90"/>
        <v>46054</v>
      </c>
      <c r="L1464" t="str">
        <f t="shared" si="91"/>
        <v>Q1-2026</v>
      </c>
    </row>
    <row r="1465" spans="1:12">
      <c r="A1465" s="6">
        <v>46058</v>
      </c>
      <c r="B1465" t="s">
        <v>24</v>
      </c>
      <c r="C1465" t="s">
        <v>25</v>
      </c>
      <c r="D1465" s="2">
        <v>14939.95738636364</v>
      </c>
      <c r="E1465" s="2">
        <v>14999.36079545455</v>
      </c>
      <c r="F1465" s="2">
        <v>14751.84659090909</v>
      </c>
      <c r="G1465" s="2">
        <v>14909.265625</v>
      </c>
      <c r="H1465" s="3">
        <v>374759</v>
      </c>
      <c r="I1465" s="4">
        <f t="shared" si="88"/>
        <v>-1.26</v>
      </c>
      <c r="J1465" s="2">
        <f t="shared" si="89"/>
        <v>90.1</v>
      </c>
      <c r="K1465" s="7">
        <f t="shared" si="90"/>
        <v>46054</v>
      </c>
      <c r="L1465" t="str">
        <f t="shared" si="91"/>
        <v>Q1-2026</v>
      </c>
    </row>
    <row r="1466" spans="1:12">
      <c r="A1466" s="6">
        <v>46058</v>
      </c>
      <c r="B1466" t="s">
        <v>26</v>
      </c>
      <c r="C1466" t="s">
        <v>27</v>
      </c>
      <c r="D1466" s="2">
        <v>371.9148514287798</v>
      </c>
      <c r="E1466" s="2">
        <v>372.50992124436738</v>
      </c>
      <c r="F1466" s="2">
        <v>361.30286889474201</v>
      </c>
      <c r="G1466" s="2">
        <v>371.07183837890619</v>
      </c>
      <c r="H1466" s="3">
        <v>14013838</v>
      </c>
      <c r="I1466" s="4">
        <f t="shared" si="88"/>
        <v>-2.85</v>
      </c>
      <c r="J1466" s="2">
        <f t="shared" si="89"/>
        <v>1.44</v>
      </c>
      <c r="K1466" s="7">
        <f t="shared" si="90"/>
        <v>46054</v>
      </c>
      <c r="L1466" t="str">
        <f t="shared" si="91"/>
        <v>Q1-2026</v>
      </c>
    </row>
    <row r="1467" spans="1:12">
      <c r="A1467" s="6">
        <v>46058</v>
      </c>
      <c r="B1467" t="s">
        <v>28</v>
      </c>
      <c r="C1467" t="s">
        <v>29</v>
      </c>
      <c r="D1467" s="2">
        <v>1694.558848739136</v>
      </c>
      <c r="E1467" s="2">
        <v>1705.5300949640509</v>
      </c>
      <c r="F1467" s="2">
        <v>1679.8973229390569</v>
      </c>
      <c r="G1467" s="2">
        <v>1698.1494140625</v>
      </c>
      <c r="H1467" s="3">
        <v>3074842</v>
      </c>
      <c r="I1467" s="4">
        <f t="shared" si="88"/>
        <v>-0.87</v>
      </c>
      <c r="J1467" s="2">
        <f t="shared" si="89"/>
        <v>7.38</v>
      </c>
      <c r="K1467" s="7">
        <f t="shared" si="90"/>
        <v>46054</v>
      </c>
      <c r="L1467" t="str">
        <f t="shared" si="91"/>
        <v>Q1-2026</v>
      </c>
    </row>
    <row r="1468" spans="1:12">
      <c r="A1468" s="6">
        <v>46058</v>
      </c>
      <c r="B1468" t="s">
        <v>30</v>
      </c>
      <c r="C1468" t="s">
        <v>31</v>
      </c>
      <c r="D1468" s="2">
        <v>2423.9696093569469</v>
      </c>
      <c r="E1468" s="2">
        <v>2434.676762788009</v>
      </c>
      <c r="F1468" s="2">
        <v>2381.9344049720989</v>
      </c>
      <c r="G1468" s="2">
        <v>2411.1806640625</v>
      </c>
      <c r="H1468" s="3">
        <v>1047405</v>
      </c>
      <c r="I1468" s="4">
        <f t="shared" si="88"/>
        <v>-1.73</v>
      </c>
      <c r="J1468" s="2">
        <f t="shared" si="89"/>
        <v>23.5</v>
      </c>
      <c r="K1468" s="7">
        <f t="shared" si="90"/>
        <v>46054</v>
      </c>
      <c r="L1468" t="str">
        <f t="shared" si="91"/>
        <v>Q1-2026</v>
      </c>
    </row>
    <row r="1469" spans="1:12">
      <c r="A1469" s="6">
        <v>46058</v>
      </c>
      <c r="B1469" t="s">
        <v>32</v>
      </c>
      <c r="C1469" t="s">
        <v>33</v>
      </c>
      <c r="D1469" s="2">
        <v>2338.7116518565331</v>
      </c>
      <c r="E1469" s="2">
        <v>2398.602468761218</v>
      </c>
      <c r="F1469" s="2">
        <v>2327.9215021780451</v>
      </c>
      <c r="G1469" s="2">
        <v>2330.693115234375</v>
      </c>
      <c r="H1469" s="3">
        <v>1962066</v>
      </c>
      <c r="I1469" s="4">
        <f t="shared" si="88"/>
        <v>-0.46</v>
      </c>
      <c r="J1469" s="2">
        <f t="shared" si="89"/>
        <v>67.91</v>
      </c>
      <c r="K1469" s="7">
        <f t="shared" si="90"/>
        <v>46054</v>
      </c>
      <c r="L1469" t="str">
        <f t="shared" si="91"/>
        <v>Q1-2026</v>
      </c>
    </row>
    <row r="1470" spans="1:12">
      <c r="A1470" s="6">
        <v>46058</v>
      </c>
      <c r="B1470" t="s">
        <v>34</v>
      </c>
      <c r="C1470" t="s">
        <v>35</v>
      </c>
      <c r="D1470" s="2">
        <v>4048.4573700239439</v>
      </c>
      <c r="E1470" s="2">
        <v>4048.9525335965991</v>
      </c>
      <c r="F1470" s="2">
        <v>3996.8612290417</v>
      </c>
      <c r="G1470" s="2">
        <v>4023.996337890625</v>
      </c>
      <c r="H1470" s="3">
        <v>1433240</v>
      </c>
      <c r="I1470" s="4">
        <f t="shared" si="88"/>
        <v>-1.27</v>
      </c>
      <c r="J1470" s="2">
        <f t="shared" si="89"/>
        <v>24.96</v>
      </c>
      <c r="K1470" s="7">
        <f t="shared" si="90"/>
        <v>46054</v>
      </c>
      <c r="L1470" t="str">
        <f t="shared" si="91"/>
        <v>Q1-2026</v>
      </c>
    </row>
    <row r="1471" spans="1:12">
      <c r="A1471" s="6">
        <v>46058</v>
      </c>
      <c r="B1471" t="s">
        <v>36</v>
      </c>
      <c r="C1471" t="s">
        <v>37</v>
      </c>
      <c r="D1471" s="2">
        <v>1338.9673655022459</v>
      </c>
      <c r="E1471" s="2">
        <v>1338.9673655022459</v>
      </c>
      <c r="F1471" s="2">
        <v>1316.38480597186</v>
      </c>
      <c r="G1471" s="2">
        <v>1329.574584960938</v>
      </c>
      <c r="H1471" s="3">
        <v>3766488</v>
      </c>
      <c r="I1471" s="4">
        <f t="shared" si="88"/>
        <v>-1.69</v>
      </c>
      <c r="J1471" s="2">
        <f t="shared" si="89"/>
        <v>9.39</v>
      </c>
      <c r="K1471" s="7">
        <f t="shared" si="90"/>
        <v>46054</v>
      </c>
      <c r="L1471" t="str">
        <f t="shared" si="91"/>
        <v>Q1-2026</v>
      </c>
    </row>
    <row r="1472" spans="1:12">
      <c r="A1472" s="6">
        <v>46059</v>
      </c>
      <c r="B1472" t="s">
        <v>8</v>
      </c>
      <c r="C1472" t="s">
        <v>9</v>
      </c>
      <c r="D1472" s="2">
        <v>1434.865799564727</v>
      </c>
      <c r="E1472" s="2">
        <v>1446.113842295832</v>
      </c>
      <c r="F1472" s="2">
        <v>1426.902617881399</v>
      </c>
      <c r="G1472" s="2">
        <v>1444.123046875</v>
      </c>
      <c r="H1472" s="3">
        <v>8277304</v>
      </c>
      <c r="I1472" s="4">
        <f t="shared" si="88"/>
        <v>-0.55000000000000004</v>
      </c>
      <c r="J1472" s="2">
        <f t="shared" si="89"/>
        <v>1.99</v>
      </c>
      <c r="K1472" s="7">
        <f t="shared" si="90"/>
        <v>46054</v>
      </c>
      <c r="L1472" t="str">
        <f t="shared" si="91"/>
        <v>Q1-2026</v>
      </c>
    </row>
    <row r="1473" spans="1:12">
      <c r="A1473" s="6">
        <v>46059</v>
      </c>
      <c r="B1473" t="s">
        <v>10</v>
      </c>
      <c r="C1473" t="s">
        <v>11</v>
      </c>
      <c r="D1473" s="2">
        <v>2920.7655957574548</v>
      </c>
      <c r="E1473" s="2">
        <v>2929.0079343210609</v>
      </c>
      <c r="F1473" s="2">
        <v>2861.3022232764538</v>
      </c>
      <c r="G1473" s="2">
        <v>2886.422119140625</v>
      </c>
      <c r="H1473" s="3">
        <v>4687389</v>
      </c>
      <c r="I1473" s="4">
        <f t="shared" si="88"/>
        <v>-2.04</v>
      </c>
      <c r="J1473" s="2">
        <f t="shared" si="89"/>
        <v>42.59</v>
      </c>
      <c r="K1473" s="7">
        <f t="shared" si="90"/>
        <v>46054</v>
      </c>
      <c r="L1473" t="str">
        <f t="shared" si="91"/>
        <v>Q1-2026</v>
      </c>
    </row>
    <row r="1474" spans="1:12">
      <c r="A1474" s="6">
        <v>46059</v>
      </c>
      <c r="B1474" t="s">
        <v>12</v>
      </c>
      <c r="C1474" t="s">
        <v>13</v>
      </c>
      <c r="D1474" s="2">
        <v>1489.8602623960501</v>
      </c>
      <c r="E1474" s="2">
        <v>1492.6988611765451</v>
      </c>
      <c r="F1474" s="2">
        <v>1448.6520095352701</v>
      </c>
      <c r="G1474" s="2">
        <v>1475.177978515625</v>
      </c>
      <c r="H1474" s="3">
        <v>13900866</v>
      </c>
      <c r="I1474" s="4">
        <f t="shared" ref="I1474:I1537" si="92">ROUND(((F1474-D1474)/D1474)*100, 2)</f>
        <v>-2.77</v>
      </c>
      <c r="J1474" s="2">
        <f t="shared" ref="J1474:J1537" si="93">ROUND(E1474-G1474, 2)</f>
        <v>17.52</v>
      </c>
      <c r="K1474" s="7">
        <f t="shared" ref="K1474:K1537" si="94">DATE(YEAR(A1474),MONTH(A1474),1)</f>
        <v>46054</v>
      </c>
      <c r="L1474" t="str">
        <f t="shared" ref="L1474:L1537" si="95">"Q"&amp;INT((MONTH(A1474)-1)/3)+1&amp;"-"&amp;YEAR(A1474)</f>
        <v>Q1-2026</v>
      </c>
    </row>
    <row r="1475" spans="1:12">
      <c r="A1475" s="6">
        <v>46059</v>
      </c>
      <c r="B1475" t="s">
        <v>14</v>
      </c>
      <c r="C1475" t="s">
        <v>15</v>
      </c>
      <c r="D1475" s="2">
        <v>929.62453357815718</v>
      </c>
      <c r="E1475" s="2">
        <v>932.67407152332203</v>
      </c>
      <c r="F1475" s="2">
        <v>922.34491003912024</v>
      </c>
      <c r="G1475" s="2">
        <v>925.7879638671875</v>
      </c>
      <c r="H1475" s="3">
        <v>18120272</v>
      </c>
      <c r="I1475" s="4">
        <f t="shared" si="92"/>
        <v>-0.78</v>
      </c>
      <c r="J1475" s="2">
        <f t="shared" si="93"/>
        <v>6.89</v>
      </c>
      <c r="K1475" s="7">
        <f t="shared" si="94"/>
        <v>46054</v>
      </c>
      <c r="L1475" t="str">
        <f t="shared" si="95"/>
        <v>Q1-2026</v>
      </c>
    </row>
    <row r="1476" spans="1:12">
      <c r="A1476" s="6">
        <v>46059</v>
      </c>
      <c r="B1476" t="s">
        <v>16</v>
      </c>
      <c r="C1476" t="s">
        <v>17</v>
      </c>
      <c r="D1476" s="2">
        <v>1385.023530553912</v>
      </c>
      <c r="E1476" s="2">
        <v>1398.708210884651</v>
      </c>
      <c r="F1476" s="2">
        <v>1383.0402505668369</v>
      </c>
      <c r="G1476" s="2">
        <v>1394.344970703125</v>
      </c>
      <c r="H1476" s="3">
        <v>10851190</v>
      </c>
      <c r="I1476" s="4">
        <f t="shared" si="92"/>
        <v>-0.14000000000000001</v>
      </c>
      <c r="J1476" s="2">
        <f t="shared" si="93"/>
        <v>4.3600000000000003</v>
      </c>
      <c r="K1476" s="7">
        <f t="shared" si="94"/>
        <v>46054</v>
      </c>
      <c r="L1476" t="str">
        <f t="shared" si="95"/>
        <v>Q1-2026</v>
      </c>
    </row>
    <row r="1477" spans="1:12">
      <c r="A1477" s="6">
        <v>46059</v>
      </c>
      <c r="B1477" t="s">
        <v>18</v>
      </c>
      <c r="C1477" t="s">
        <v>19</v>
      </c>
      <c r="D1477" s="2">
        <v>230.29979806673381</v>
      </c>
      <c r="E1477" s="2">
        <v>230.29979806673381</v>
      </c>
      <c r="F1477" s="2">
        <v>226.0187047572413</v>
      </c>
      <c r="G1477" s="2">
        <v>228.11476135253909</v>
      </c>
      <c r="H1477" s="3">
        <v>12279085</v>
      </c>
      <c r="I1477" s="4">
        <f t="shared" si="92"/>
        <v>-1.86</v>
      </c>
      <c r="J1477" s="2">
        <f t="shared" si="93"/>
        <v>2.19</v>
      </c>
      <c r="K1477" s="7">
        <f t="shared" si="94"/>
        <v>46054</v>
      </c>
      <c r="L1477" t="str">
        <f t="shared" si="95"/>
        <v>Q1-2026</v>
      </c>
    </row>
    <row r="1478" spans="1:12">
      <c r="A1478" s="6">
        <v>46059</v>
      </c>
      <c r="B1478" t="s">
        <v>20</v>
      </c>
      <c r="C1478" t="s">
        <v>21</v>
      </c>
      <c r="D1478" s="2">
        <v>1565.7333074951041</v>
      </c>
      <c r="E1478" s="2">
        <v>1565.7333074951041</v>
      </c>
      <c r="F1478" s="2">
        <v>1528.9210676812229</v>
      </c>
      <c r="G1478" s="2">
        <v>1547.95849609375</v>
      </c>
      <c r="H1478" s="3">
        <v>3342992</v>
      </c>
      <c r="I1478" s="4">
        <f t="shared" si="92"/>
        <v>-2.35</v>
      </c>
      <c r="J1478" s="2">
        <f t="shared" si="93"/>
        <v>17.77</v>
      </c>
      <c r="K1478" s="7">
        <f t="shared" si="94"/>
        <v>46054</v>
      </c>
      <c r="L1478" t="str">
        <f t="shared" si="95"/>
        <v>Q1-2026</v>
      </c>
    </row>
    <row r="1479" spans="1:12">
      <c r="A1479" s="6">
        <v>46059</v>
      </c>
      <c r="B1479" t="s">
        <v>22</v>
      </c>
      <c r="C1479" t="s">
        <v>23</v>
      </c>
      <c r="D1479" s="2">
        <v>967.99949838517841</v>
      </c>
      <c r="E1479" s="2">
        <v>980.47280988584248</v>
      </c>
      <c r="F1479" s="2">
        <v>960.19742290257273</v>
      </c>
      <c r="G1479" s="2">
        <v>975.7021484375</v>
      </c>
      <c r="H1479" s="3">
        <v>13742927</v>
      </c>
      <c r="I1479" s="4">
        <f t="shared" si="92"/>
        <v>-0.81</v>
      </c>
      <c r="J1479" s="2">
        <f t="shared" si="93"/>
        <v>4.7699999999999996</v>
      </c>
      <c r="K1479" s="7">
        <f t="shared" si="94"/>
        <v>46054</v>
      </c>
      <c r="L1479" t="str">
        <f t="shared" si="95"/>
        <v>Q1-2026</v>
      </c>
    </row>
    <row r="1480" spans="1:12">
      <c r="A1480" s="6">
        <v>46059</v>
      </c>
      <c r="B1480" t="s">
        <v>24</v>
      </c>
      <c r="C1480" t="s">
        <v>25</v>
      </c>
      <c r="D1480" s="2">
        <v>14934.016777574259</v>
      </c>
      <c r="E1480" s="2">
        <v>14967.67870878863</v>
      </c>
      <c r="F1480" s="2">
        <v>14723.134679084251</v>
      </c>
      <c r="G1480" s="2">
        <v>14847.8818359375</v>
      </c>
      <c r="H1480" s="3">
        <v>276529</v>
      </c>
      <c r="I1480" s="4">
        <f t="shared" si="92"/>
        <v>-1.41</v>
      </c>
      <c r="J1480" s="2">
        <f t="shared" si="93"/>
        <v>119.8</v>
      </c>
      <c r="K1480" s="7">
        <f t="shared" si="94"/>
        <v>46054</v>
      </c>
      <c r="L1480" t="str">
        <f t="shared" si="95"/>
        <v>Q1-2026</v>
      </c>
    </row>
    <row r="1481" spans="1:12">
      <c r="A1481" s="6">
        <v>46059</v>
      </c>
      <c r="B1481" t="s">
        <v>26</v>
      </c>
      <c r="C1481" t="s">
        <v>27</v>
      </c>
      <c r="D1481" s="2">
        <v>361.99713514686761</v>
      </c>
      <c r="E1481" s="2">
        <v>378.65890898674991</v>
      </c>
      <c r="F1481" s="2">
        <v>358.0300432548471</v>
      </c>
      <c r="G1481" s="2">
        <v>366.46011352539063</v>
      </c>
      <c r="H1481" s="3">
        <v>23116970</v>
      </c>
      <c r="I1481" s="4">
        <f t="shared" si="92"/>
        <v>-1.1000000000000001</v>
      </c>
      <c r="J1481" s="2">
        <f t="shared" si="93"/>
        <v>12.2</v>
      </c>
      <c r="K1481" s="7">
        <f t="shared" si="94"/>
        <v>46054</v>
      </c>
      <c r="L1481" t="str">
        <f t="shared" si="95"/>
        <v>Q1-2026</v>
      </c>
    </row>
    <row r="1482" spans="1:12">
      <c r="A1482" s="6">
        <v>46059</v>
      </c>
      <c r="B1482" t="s">
        <v>28</v>
      </c>
      <c r="C1482" t="s">
        <v>29</v>
      </c>
      <c r="D1482" s="2">
        <v>1704.532757814758</v>
      </c>
      <c r="E1482" s="2">
        <v>1704.532757814758</v>
      </c>
      <c r="F1482" s="2">
        <v>1685.183444113075</v>
      </c>
      <c r="G1482" s="2">
        <v>1690.669067382812</v>
      </c>
      <c r="H1482" s="3">
        <v>1277116</v>
      </c>
      <c r="I1482" s="4">
        <f t="shared" si="92"/>
        <v>-1.1399999999999999</v>
      </c>
      <c r="J1482" s="2">
        <f t="shared" si="93"/>
        <v>13.86</v>
      </c>
      <c r="K1482" s="7">
        <f t="shared" si="94"/>
        <v>46054</v>
      </c>
      <c r="L1482" t="str">
        <f t="shared" si="95"/>
        <v>Q1-2026</v>
      </c>
    </row>
    <row r="1483" spans="1:12">
      <c r="A1483" s="6">
        <v>46059</v>
      </c>
      <c r="B1483" t="s">
        <v>30</v>
      </c>
      <c r="C1483" t="s">
        <v>31</v>
      </c>
      <c r="D1483" s="2">
        <v>2411.081385424528</v>
      </c>
      <c r="E1483" s="2">
        <v>2422.9781685762941</v>
      </c>
      <c r="F1483" s="2">
        <v>2365.5762866852929</v>
      </c>
      <c r="G1483" s="2">
        <v>2380.447265625</v>
      </c>
      <c r="H1483" s="3">
        <v>1043982</v>
      </c>
      <c r="I1483" s="4">
        <f t="shared" si="92"/>
        <v>-1.89</v>
      </c>
      <c r="J1483" s="2">
        <f t="shared" si="93"/>
        <v>42.53</v>
      </c>
      <c r="K1483" s="7">
        <f t="shared" si="94"/>
        <v>46054</v>
      </c>
      <c r="L1483" t="str">
        <f t="shared" si="95"/>
        <v>Q1-2026</v>
      </c>
    </row>
    <row r="1484" spans="1:12">
      <c r="A1484" s="6">
        <v>46059</v>
      </c>
      <c r="B1484" t="s">
        <v>32</v>
      </c>
      <c r="C1484" t="s">
        <v>33</v>
      </c>
      <c r="D1484" s="2">
        <v>2330.6930625452892</v>
      </c>
      <c r="E1484" s="2">
        <v>2404.5419995502298</v>
      </c>
      <c r="F1484" s="2">
        <v>2313.9633280974322</v>
      </c>
      <c r="G1484" s="2">
        <v>2399.790283203125</v>
      </c>
      <c r="H1484" s="3">
        <v>1421995</v>
      </c>
      <c r="I1484" s="4">
        <f t="shared" si="92"/>
        <v>-0.72</v>
      </c>
      <c r="J1484" s="2">
        <f t="shared" si="93"/>
        <v>4.75</v>
      </c>
      <c r="K1484" s="7">
        <f t="shared" si="94"/>
        <v>46054</v>
      </c>
      <c r="L1484" t="str">
        <f t="shared" si="95"/>
        <v>Q1-2026</v>
      </c>
    </row>
    <row r="1485" spans="1:12">
      <c r="A1485" s="6">
        <v>46059</v>
      </c>
      <c r="B1485" t="s">
        <v>34</v>
      </c>
      <c r="C1485" t="s">
        <v>35</v>
      </c>
      <c r="D1485" s="2">
        <v>4015.7763741904341</v>
      </c>
      <c r="E1485" s="2">
        <v>4038.553897397926</v>
      </c>
      <c r="F1485" s="2">
        <v>4003.19926842733</v>
      </c>
      <c r="G1485" s="2">
        <v>4028.749755859375</v>
      </c>
      <c r="H1485" s="3">
        <v>1630836</v>
      </c>
      <c r="I1485" s="4">
        <f t="shared" si="92"/>
        <v>-0.31</v>
      </c>
      <c r="J1485" s="2">
        <f t="shared" si="93"/>
        <v>9.8000000000000007</v>
      </c>
      <c r="K1485" s="7">
        <f t="shared" si="94"/>
        <v>46054</v>
      </c>
      <c r="L1485" t="str">
        <f t="shared" si="95"/>
        <v>Q1-2026</v>
      </c>
    </row>
    <row r="1486" spans="1:12">
      <c r="A1486" s="6">
        <v>46059</v>
      </c>
      <c r="B1486" t="s">
        <v>36</v>
      </c>
      <c r="C1486" t="s">
        <v>37</v>
      </c>
      <c r="D1486" s="2">
        <v>1323.978857614386</v>
      </c>
      <c r="E1486" s="2">
        <v>1345.3623895967639</v>
      </c>
      <c r="F1486" s="2">
        <v>1323.679040025941</v>
      </c>
      <c r="G1486" s="2">
        <v>1340.566040039062</v>
      </c>
      <c r="H1486" s="3">
        <v>5876574</v>
      </c>
      <c r="I1486" s="4">
        <f t="shared" si="92"/>
        <v>-0.02</v>
      </c>
      <c r="J1486" s="2">
        <f t="shared" si="93"/>
        <v>4.8</v>
      </c>
      <c r="K1486" s="7">
        <f t="shared" si="94"/>
        <v>46054</v>
      </c>
      <c r="L1486" t="str">
        <f t="shared" si="95"/>
        <v>Q1-2026</v>
      </c>
    </row>
    <row r="1487" spans="1:12">
      <c r="A1487" s="6">
        <v>46062</v>
      </c>
      <c r="B1487" t="s">
        <v>8</v>
      </c>
      <c r="C1487" t="s">
        <v>9</v>
      </c>
      <c r="D1487" s="2">
        <v>1451.289883506201</v>
      </c>
      <c r="E1487" s="2">
        <v>1459.1535498378751</v>
      </c>
      <c r="F1487" s="2">
        <v>1446.3128948796359</v>
      </c>
      <c r="G1487" s="2">
        <v>1454.873291015625</v>
      </c>
      <c r="H1487" s="3">
        <v>5775864</v>
      </c>
      <c r="I1487" s="4">
        <f t="shared" si="92"/>
        <v>-0.34</v>
      </c>
      <c r="J1487" s="2">
        <f t="shared" si="93"/>
        <v>4.28</v>
      </c>
      <c r="K1487" s="7">
        <f t="shared" si="94"/>
        <v>46054</v>
      </c>
      <c r="L1487" t="str">
        <f t="shared" si="95"/>
        <v>Q1-2026</v>
      </c>
    </row>
    <row r="1488" spans="1:12">
      <c r="A1488" s="6">
        <v>46062</v>
      </c>
      <c r="B1488" t="s">
        <v>10</v>
      </c>
      <c r="C1488" t="s">
        <v>11</v>
      </c>
      <c r="D1488" s="2">
        <v>2903.5941220720852</v>
      </c>
      <c r="E1488" s="2">
        <v>2921.1582630324201</v>
      </c>
      <c r="F1488" s="2">
        <v>2882.3991930324942</v>
      </c>
      <c r="G1488" s="2">
        <v>2892.8984375</v>
      </c>
      <c r="H1488" s="3">
        <v>2380318</v>
      </c>
      <c r="I1488" s="4">
        <f t="shared" si="92"/>
        <v>-0.73</v>
      </c>
      <c r="J1488" s="2">
        <f t="shared" si="93"/>
        <v>28.26</v>
      </c>
      <c r="K1488" s="7">
        <f t="shared" si="94"/>
        <v>46054</v>
      </c>
      <c r="L1488" t="str">
        <f t="shared" si="95"/>
        <v>Q1-2026</v>
      </c>
    </row>
    <row r="1489" spans="1:12">
      <c r="A1489" s="6">
        <v>46062</v>
      </c>
      <c r="B1489" t="s">
        <v>12</v>
      </c>
      <c r="C1489" t="s">
        <v>13</v>
      </c>
      <c r="D1489" s="2">
        <v>1489.8602864300619</v>
      </c>
      <c r="E1489" s="2">
        <v>1495.635342079803</v>
      </c>
      <c r="F1489" s="2">
        <v>1461.3766791394939</v>
      </c>
      <c r="G1489" s="2">
        <v>1465.487670898438</v>
      </c>
      <c r="H1489" s="3">
        <v>8294615</v>
      </c>
      <c r="I1489" s="4">
        <f t="shared" si="92"/>
        <v>-1.91</v>
      </c>
      <c r="J1489" s="2">
        <f t="shared" si="93"/>
        <v>30.15</v>
      </c>
      <c r="K1489" s="7">
        <f t="shared" si="94"/>
        <v>46054</v>
      </c>
      <c r="L1489" t="str">
        <f t="shared" si="95"/>
        <v>Q1-2026</v>
      </c>
    </row>
    <row r="1490" spans="1:12">
      <c r="A1490" s="6">
        <v>46062</v>
      </c>
      <c r="B1490" t="s">
        <v>14</v>
      </c>
      <c r="C1490" t="s">
        <v>15</v>
      </c>
      <c r="D1490" s="2">
        <v>929.62451510506969</v>
      </c>
      <c r="E1490" s="2">
        <v>934.54316333313886</v>
      </c>
      <c r="F1490" s="2">
        <v>920.13150000805922</v>
      </c>
      <c r="G1490" s="2">
        <v>922.0006103515625</v>
      </c>
      <c r="H1490" s="3">
        <v>23947829</v>
      </c>
      <c r="I1490" s="4">
        <f t="shared" si="92"/>
        <v>-1.02</v>
      </c>
      <c r="J1490" s="2">
        <f t="shared" si="93"/>
        <v>12.54</v>
      </c>
      <c r="K1490" s="7">
        <f t="shared" si="94"/>
        <v>46054</v>
      </c>
      <c r="L1490" t="str">
        <f t="shared" si="95"/>
        <v>Q1-2026</v>
      </c>
    </row>
    <row r="1491" spans="1:12">
      <c r="A1491" s="6">
        <v>46062</v>
      </c>
      <c r="B1491" t="s">
        <v>16</v>
      </c>
      <c r="C1491" t="s">
        <v>17</v>
      </c>
      <c r="D1491" s="2">
        <v>1401.683112368853</v>
      </c>
      <c r="E1491" s="2">
        <v>1402.178932359079</v>
      </c>
      <c r="F1491" s="2">
        <v>1377.18965327161</v>
      </c>
      <c r="G1491" s="2">
        <v>1384.626953125</v>
      </c>
      <c r="H1491" s="3">
        <v>7889742</v>
      </c>
      <c r="I1491" s="4">
        <f t="shared" si="92"/>
        <v>-1.75</v>
      </c>
      <c r="J1491" s="2">
        <f t="shared" si="93"/>
        <v>17.55</v>
      </c>
      <c r="K1491" s="7">
        <f t="shared" si="94"/>
        <v>46054</v>
      </c>
      <c r="L1491" t="str">
        <f t="shared" si="95"/>
        <v>Q1-2026</v>
      </c>
    </row>
    <row r="1492" spans="1:12">
      <c r="A1492" s="6">
        <v>46062</v>
      </c>
      <c r="B1492" t="s">
        <v>18</v>
      </c>
      <c r="C1492" t="s">
        <v>19</v>
      </c>
      <c r="D1492" s="2">
        <v>229.23199706912879</v>
      </c>
      <c r="E1492" s="2">
        <v>230.29978862509611</v>
      </c>
      <c r="F1492" s="2">
        <v>227.0172853196085</v>
      </c>
      <c r="G1492" s="2">
        <v>227.48197937011719</v>
      </c>
      <c r="H1492" s="3">
        <v>9112474</v>
      </c>
      <c r="I1492" s="4">
        <f t="shared" si="92"/>
        <v>-0.97</v>
      </c>
      <c r="J1492" s="2">
        <f t="shared" si="93"/>
        <v>2.82</v>
      </c>
      <c r="K1492" s="7">
        <f t="shared" si="94"/>
        <v>46054</v>
      </c>
      <c r="L1492" t="str">
        <f t="shared" si="95"/>
        <v>Q1-2026</v>
      </c>
    </row>
    <row r="1493" spans="1:12">
      <c r="A1493" s="6">
        <v>46062</v>
      </c>
      <c r="B1493" t="s">
        <v>20</v>
      </c>
      <c r="C1493" t="s">
        <v>21</v>
      </c>
      <c r="D1493" s="2">
        <v>1554.4660877702329</v>
      </c>
      <c r="E1493" s="2">
        <v>1573.406407845908</v>
      </c>
      <c r="F1493" s="2">
        <v>1548.638296977718</v>
      </c>
      <c r="G1493" s="2">
        <v>1556.020141601562</v>
      </c>
      <c r="H1493" s="3">
        <v>1863558</v>
      </c>
      <c r="I1493" s="4">
        <f t="shared" si="92"/>
        <v>-0.37</v>
      </c>
      <c r="J1493" s="2">
        <f t="shared" si="93"/>
        <v>17.39</v>
      </c>
      <c r="K1493" s="7">
        <f t="shared" si="94"/>
        <v>46054</v>
      </c>
      <c r="L1493" t="str">
        <f t="shared" si="95"/>
        <v>Q1-2026</v>
      </c>
    </row>
    <row r="1494" spans="1:12">
      <c r="A1494" s="6">
        <v>46062</v>
      </c>
      <c r="B1494" t="s">
        <v>22</v>
      </c>
      <c r="C1494" t="s">
        <v>23</v>
      </c>
      <c r="D1494" s="2">
        <v>981.96365442362855</v>
      </c>
      <c r="E1494" s="2">
        <v>981.96365442362855</v>
      </c>
      <c r="F1494" s="2">
        <v>965.6638286075663</v>
      </c>
      <c r="G1494" s="2">
        <v>977.143310546875</v>
      </c>
      <c r="H1494" s="3">
        <v>4852548</v>
      </c>
      <c r="I1494" s="4">
        <f t="shared" si="92"/>
        <v>-1.66</v>
      </c>
      <c r="J1494" s="2">
        <f t="shared" si="93"/>
        <v>4.82</v>
      </c>
      <c r="K1494" s="7">
        <f t="shared" si="94"/>
        <v>46054</v>
      </c>
      <c r="L1494" t="str">
        <f t="shared" si="95"/>
        <v>Q1-2026</v>
      </c>
    </row>
    <row r="1495" spans="1:12">
      <c r="A1495" s="6">
        <v>46062</v>
      </c>
      <c r="B1495" t="s">
        <v>24</v>
      </c>
      <c r="C1495" t="s">
        <v>25</v>
      </c>
      <c r="D1495" s="2">
        <v>14974.60964394915</v>
      </c>
      <c r="E1495" s="2">
        <v>14975.599700785109</v>
      </c>
      <c r="F1495" s="2">
        <v>14756.797140037161</v>
      </c>
      <c r="G1495" s="2">
        <v>14829.0712890625</v>
      </c>
      <c r="H1495" s="3">
        <v>200034</v>
      </c>
      <c r="I1495" s="4">
        <f t="shared" si="92"/>
        <v>-1.45</v>
      </c>
      <c r="J1495" s="2">
        <f t="shared" si="93"/>
        <v>146.53</v>
      </c>
      <c r="K1495" s="7">
        <f t="shared" si="94"/>
        <v>46054</v>
      </c>
      <c r="L1495" t="str">
        <f t="shared" si="95"/>
        <v>Q1-2026</v>
      </c>
    </row>
    <row r="1496" spans="1:12">
      <c r="A1496" s="6">
        <v>46062</v>
      </c>
      <c r="B1496" t="s">
        <v>26</v>
      </c>
      <c r="C1496" t="s">
        <v>27</v>
      </c>
      <c r="D1496" s="2">
        <v>367.25351098774001</v>
      </c>
      <c r="E1496" s="2">
        <v>376.77453735350639</v>
      </c>
      <c r="F1496" s="2">
        <v>366.55928808319447</v>
      </c>
      <c r="G1496" s="2">
        <v>374.29510498046881</v>
      </c>
      <c r="H1496" s="3">
        <v>8800284</v>
      </c>
      <c r="I1496" s="4">
        <f t="shared" si="92"/>
        <v>-0.19</v>
      </c>
      <c r="J1496" s="2">
        <f t="shared" si="93"/>
        <v>2.48</v>
      </c>
      <c r="K1496" s="7">
        <f t="shared" si="94"/>
        <v>46054</v>
      </c>
      <c r="L1496" t="str">
        <f t="shared" si="95"/>
        <v>Q1-2026</v>
      </c>
    </row>
    <row r="1497" spans="1:12">
      <c r="A1497" s="6">
        <v>46062</v>
      </c>
      <c r="B1497" t="s">
        <v>28</v>
      </c>
      <c r="C1497" t="s">
        <v>29</v>
      </c>
      <c r="D1497" s="2">
        <v>1702.2386513058059</v>
      </c>
      <c r="E1497" s="2">
        <v>1708.9212106107391</v>
      </c>
      <c r="F1497" s="2">
        <v>1691.566669719738</v>
      </c>
      <c r="G1497" s="2">
        <v>1700.144165039062</v>
      </c>
      <c r="H1497" s="3">
        <v>2647031</v>
      </c>
      <c r="I1497" s="4">
        <f t="shared" si="92"/>
        <v>-0.63</v>
      </c>
      <c r="J1497" s="2">
        <f t="shared" si="93"/>
        <v>8.7799999999999994</v>
      </c>
      <c r="K1497" s="7">
        <f t="shared" si="94"/>
        <v>46054</v>
      </c>
      <c r="L1497" t="str">
        <f t="shared" si="95"/>
        <v>Q1-2026</v>
      </c>
    </row>
    <row r="1498" spans="1:12">
      <c r="A1498" s="6">
        <v>46062</v>
      </c>
      <c r="B1498" t="s">
        <v>30</v>
      </c>
      <c r="C1498" t="s">
        <v>31</v>
      </c>
      <c r="D1498" s="2">
        <v>2383.3222888664241</v>
      </c>
      <c r="E1498" s="2">
        <v>2405.3312898812642</v>
      </c>
      <c r="F1498" s="2">
        <v>2376.1842671914319</v>
      </c>
      <c r="G1498" s="2">
        <v>2396.60693359375</v>
      </c>
      <c r="H1498" s="3">
        <v>669839</v>
      </c>
      <c r="I1498" s="4">
        <f t="shared" si="92"/>
        <v>-0.3</v>
      </c>
      <c r="J1498" s="2">
        <f t="shared" si="93"/>
        <v>8.7200000000000006</v>
      </c>
      <c r="K1498" s="7">
        <f t="shared" si="94"/>
        <v>46054</v>
      </c>
      <c r="L1498" t="str">
        <f t="shared" si="95"/>
        <v>Q1-2026</v>
      </c>
    </row>
    <row r="1499" spans="1:12">
      <c r="A1499" s="6">
        <v>46062</v>
      </c>
      <c r="B1499" t="s">
        <v>32</v>
      </c>
      <c r="C1499" t="s">
        <v>33</v>
      </c>
      <c r="D1499" s="2">
        <v>2400.58238066687</v>
      </c>
      <c r="E1499" s="2">
        <v>2414.441412967627</v>
      </c>
      <c r="F1499" s="2">
        <v>2377.8139704584828</v>
      </c>
      <c r="G1499" s="2">
        <v>2410.481689453125</v>
      </c>
      <c r="H1499" s="3">
        <v>958484</v>
      </c>
      <c r="I1499" s="4">
        <f t="shared" si="92"/>
        <v>-0.95</v>
      </c>
      <c r="J1499" s="2">
        <f t="shared" si="93"/>
        <v>3.96</v>
      </c>
      <c r="K1499" s="7">
        <f t="shared" si="94"/>
        <v>46054</v>
      </c>
      <c r="L1499" t="str">
        <f t="shared" si="95"/>
        <v>Q1-2026</v>
      </c>
    </row>
    <row r="1500" spans="1:12">
      <c r="A1500" s="6">
        <v>46062</v>
      </c>
      <c r="B1500" t="s">
        <v>34</v>
      </c>
      <c r="C1500" t="s">
        <v>35</v>
      </c>
      <c r="D1500" s="2">
        <v>4034.4936336236092</v>
      </c>
      <c r="E1500" s="2">
        <v>4084.8025424042899</v>
      </c>
      <c r="F1500" s="2">
        <v>4023.1048715286011</v>
      </c>
      <c r="G1500" s="2">
        <v>4073.809814453125</v>
      </c>
      <c r="H1500" s="3">
        <v>1830267</v>
      </c>
      <c r="I1500" s="4">
        <f t="shared" si="92"/>
        <v>-0.28000000000000003</v>
      </c>
      <c r="J1500" s="2">
        <f t="shared" si="93"/>
        <v>10.99</v>
      </c>
      <c r="K1500" s="7">
        <f t="shared" si="94"/>
        <v>46054</v>
      </c>
      <c r="L1500" t="str">
        <f t="shared" si="95"/>
        <v>Q1-2026</v>
      </c>
    </row>
    <row r="1501" spans="1:12">
      <c r="A1501" s="6">
        <v>46062</v>
      </c>
      <c r="B1501" t="s">
        <v>36</v>
      </c>
      <c r="C1501" t="s">
        <v>37</v>
      </c>
      <c r="D1501" s="2">
        <v>1348.9596813977639</v>
      </c>
      <c r="E1501" s="2">
        <v>1348.9596813977639</v>
      </c>
      <c r="F1501" s="2">
        <v>1329.674505310247</v>
      </c>
      <c r="G1501" s="2">
        <v>1340.366333007812</v>
      </c>
      <c r="H1501" s="3">
        <v>4077536</v>
      </c>
      <c r="I1501" s="4">
        <f t="shared" si="92"/>
        <v>-1.43</v>
      </c>
      <c r="J1501" s="2">
        <f t="shared" si="93"/>
        <v>8.59</v>
      </c>
      <c r="K1501" s="7">
        <f t="shared" si="94"/>
        <v>46054</v>
      </c>
      <c r="L1501" t="str">
        <f t="shared" si="95"/>
        <v>Q1-2026</v>
      </c>
    </row>
    <row r="1502" spans="1:12">
      <c r="A1502" s="6">
        <v>46063</v>
      </c>
      <c r="B1502" t="s">
        <v>8</v>
      </c>
      <c r="C1502" t="s">
        <v>9</v>
      </c>
      <c r="D1502" s="2">
        <v>1464.2299462371709</v>
      </c>
      <c r="E1502" s="2">
        <v>1464.2299462371709</v>
      </c>
      <c r="F1502" s="2">
        <v>1445.5164217743149</v>
      </c>
      <c r="G1502" s="2">
        <v>1451.787475585938</v>
      </c>
      <c r="H1502" s="3">
        <v>10259630</v>
      </c>
      <c r="I1502" s="4">
        <f t="shared" si="92"/>
        <v>-1.28</v>
      </c>
      <c r="J1502" s="2">
        <f t="shared" si="93"/>
        <v>12.44</v>
      </c>
      <c r="K1502" s="7">
        <f t="shared" si="94"/>
        <v>46054</v>
      </c>
      <c r="L1502" t="str">
        <f t="shared" si="95"/>
        <v>Q1-2026</v>
      </c>
    </row>
    <row r="1503" spans="1:12">
      <c r="A1503" s="6">
        <v>46063</v>
      </c>
      <c r="B1503" t="s">
        <v>10</v>
      </c>
      <c r="C1503" t="s">
        <v>11</v>
      </c>
      <c r="D1503" s="2">
        <v>2894.468444356794</v>
      </c>
      <c r="E1503" s="2">
        <v>2955.1092634739339</v>
      </c>
      <c r="F1503" s="2">
        <v>2888.286570253782</v>
      </c>
      <c r="G1503" s="2">
        <v>2928.61572265625</v>
      </c>
      <c r="H1503" s="3">
        <v>3547763</v>
      </c>
      <c r="I1503" s="4">
        <f t="shared" si="92"/>
        <v>-0.21</v>
      </c>
      <c r="J1503" s="2">
        <f t="shared" si="93"/>
        <v>26.49</v>
      </c>
      <c r="K1503" s="7">
        <f t="shared" si="94"/>
        <v>46054</v>
      </c>
      <c r="L1503" t="str">
        <f t="shared" si="95"/>
        <v>Q1-2026</v>
      </c>
    </row>
    <row r="1504" spans="1:12">
      <c r="A1504" s="6">
        <v>46063</v>
      </c>
      <c r="B1504" t="s">
        <v>12</v>
      </c>
      <c r="C1504" t="s">
        <v>13</v>
      </c>
      <c r="D1504" s="2">
        <v>1468.2284271414339</v>
      </c>
      <c r="E1504" s="2">
        <v>1483.7916723660801</v>
      </c>
      <c r="F1504" s="2">
        <v>1459.419056578585</v>
      </c>
      <c r="G1504" s="2">
        <v>1466.075073242188</v>
      </c>
      <c r="H1504" s="3">
        <v>8657000</v>
      </c>
      <c r="I1504" s="4">
        <f t="shared" si="92"/>
        <v>-0.6</v>
      </c>
      <c r="J1504" s="2">
        <f t="shared" si="93"/>
        <v>17.72</v>
      </c>
      <c r="K1504" s="7">
        <f t="shared" si="94"/>
        <v>46054</v>
      </c>
      <c r="L1504" t="str">
        <f t="shared" si="95"/>
        <v>Q1-2026</v>
      </c>
    </row>
    <row r="1505" spans="1:12">
      <c r="A1505" s="6">
        <v>46063</v>
      </c>
      <c r="B1505" t="s">
        <v>14</v>
      </c>
      <c r="C1505" t="s">
        <v>15</v>
      </c>
      <c r="D1505" s="2">
        <v>914.86857803669204</v>
      </c>
      <c r="E1505" s="2">
        <v>925.59125527998083</v>
      </c>
      <c r="F1505" s="2">
        <v>914.81940356242058</v>
      </c>
      <c r="G1505" s="2">
        <v>917.22955322265625</v>
      </c>
      <c r="H1505" s="3">
        <v>31525385</v>
      </c>
      <c r="I1505" s="4">
        <f t="shared" si="92"/>
        <v>-0.01</v>
      </c>
      <c r="J1505" s="2">
        <f t="shared" si="93"/>
        <v>8.36</v>
      </c>
      <c r="K1505" s="7">
        <f t="shared" si="94"/>
        <v>46054</v>
      </c>
      <c r="L1505" t="str">
        <f t="shared" si="95"/>
        <v>Q1-2026</v>
      </c>
    </row>
    <row r="1506" spans="1:12">
      <c r="A1506" s="6">
        <v>46063</v>
      </c>
      <c r="B1506" t="s">
        <v>16</v>
      </c>
      <c r="C1506" t="s">
        <v>17</v>
      </c>
      <c r="D1506" s="2">
        <v>1389.2875574724219</v>
      </c>
      <c r="E1506" s="2">
        <v>1397.7164969717189</v>
      </c>
      <c r="F1506" s="2">
        <v>1383.8335377964061</v>
      </c>
      <c r="G1506" s="2">
        <v>1394.741577148438</v>
      </c>
      <c r="H1506" s="3">
        <v>16497628</v>
      </c>
      <c r="I1506" s="4">
        <f t="shared" si="92"/>
        <v>-0.39</v>
      </c>
      <c r="J1506" s="2">
        <f t="shared" si="93"/>
        <v>2.97</v>
      </c>
      <c r="K1506" s="7">
        <f t="shared" si="94"/>
        <v>46054</v>
      </c>
      <c r="L1506" t="str">
        <f t="shared" si="95"/>
        <v>Q1-2026</v>
      </c>
    </row>
    <row r="1507" spans="1:12">
      <c r="A1507" s="6">
        <v>46063</v>
      </c>
      <c r="B1507" t="s">
        <v>18</v>
      </c>
      <c r="C1507" t="s">
        <v>19</v>
      </c>
      <c r="D1507" s="2">
        <v>227.3831120467396</v>
      </c>
      <c r="E1507" s="2">
        <v>230.23059654595471</v>
      </c>
      <c r="F1507" s="2">
        <v>224.63450440404901</v>
      </c>
      <c r="G1507" s="2">
        <v>228.8562927246094</v>
      </c>
      <c r="H1507" s="3">
        <v>12435622</v>
      </c>
      <c r="I1507" s="4">
        <f t="shared" si="92"/>
        <v>-1.21</v>
      </c>
      <c r="J1507" s="2">
        <f t="shared" si="93"/>
        <v>1.37</v>
      </c>
      <c r="K1507" s="7">
        <f t="shared" si="94"/>
        <v>46054</v>
      </c>
      <c r="L1507" t="str">
        <f t="shared" si="95"/>
        <v>Q1-2026</v>
      </c>
    </row>
    <row r="1508" spans="1:12">
      <c r="A1508" s="6">
        <v>46063</v>
      </c>
      <c r="B1508" t="s">
        <v>20</v>
      </c>
      <c r="C1508" t="s">
        <v>21</v>
      </c>
      <c r="D1508" s="2">
        <v>1549.2211687353799</v>
      </c>
      <c r="E1508" s="2">
        <v>1556.4088016328251</v>
      </c>
      <c r="F1508" s="2">
        <v>1522.8018959178021</v>
      </c>
      <c r="G1508" s="2">
        <v>1527.94970703125</v>
      </c>
      <c r="H1508" s="3">
        <v>3234785</v>
      </c>
      <c r="I1508" s="4">
        <f t="shared" si="92"/>
        <v>-1.71</v>
      </c>
      <c r="J1508" s="2">
        <f t="shared" si="93"/>
        <v>28.46</v>
      </c>
      <c r="K1508" s="7">
        <f t="shared" si="94"/>
        <v>46054</v>
      </c>
      <c r="L1508" t="str">
        <f t="shared" si="95"/>
        <v>Q1-2026</v>
      </c>
    </row>
    <row r="1509" spans="1:12">
      <c r="A1509" s="6">
        <v>46063</v>
      </c>
      <c r="B1509" t="s">
        <v>22</v>
      </c>
      <c r="C1509" t="s">
        <v>23</v>
      </c>
      <c r="D1509" s="2">
        <v>977.14332471135037</v>
      </c>
      <c r="E1509" s="2">
        <v>979.1311054171357</v>
      </c>
      <c r="F1509" s="2">
        <v>955.42678410329324</v>
      </c>
      <c r="G1509" s="2">
        <v>959.70050048828125</v>
      </c>
      <c r="H1509" s="3">
        <v>6166752</v>
      </c>
      <c r="I1509" s="4">
        <f t="shared" si="92"/>
        <v>-2.2200000000000002</v>
      </c>
      <c r="J1509" s="2">
        <f t="shared" si="93"/>
        <v>19.43</v>
      </c>
      <c r="K1509" s="7">
        <f t="shared" si="94"/>
        <v>46054</v>
      </c>
      <c r="L1509" t="str">
        <f t="shared" si="95"/>
        <v>Q1-2026</v>
      </c>
    </row>
    <row r="1510" spans="1:12">
      <c r="A1510" s="6">
        <v>46063</v>
      </c>
      <c r="B1510" t="s">
        <v>24</v>
      </c>
      <c r="C1510" t="s">
        <v>25</v>
      </c>
      <c r="D1510" s="2">
        <v>14849.862040075561</v>
      </c>
      <c r="E1510" s="2">
        <v>15196.381922336141</v>
      </c>
      <c r="F1510" s="2">
        <v>14834.02113117222</v>
      </c>
      <c r="G1510" s="2">
        <v>14995.400390625</v>
      </c>
      <c r="H1510" s="3">
        <v>360240</v>
      </c>
      <c r="I1510" s="4">
        <f t="shared" si="92"/>
        <v>-0.11</v>
      </c>
      <c r="J1510" s="2">
        <f t="shared" si="93"/>
        <v>200.98</v>
      </c>
      <c r="K1510" s="7">
        <f t="shared" si="94"/>
        <v>46054</v>
      </c>
      <c r="L1510" t="str">
        <f t="shared" si="95"/>
        <v>Q1-2026</v>
      </c>
    </row>
    <row r="1511" spans="1:12">
      <c r="A1511" s="6">
        <v>46063</v>
      </c>
      <c r="B1511" t="s">
        <v>26</v>
      </c>
      <c r="C1511" t="s">
        <v>27</v>
      </c>
      <c r="D1511" s="2">
        <v>374.89016544010428</v>
      </c>
      <c r="E1511" s="2">
        <v>379.35314360010562</v>
      </c>
      <c r="F1511" s="2">
        <v>373.65044928454842</v>
      </c>
      <c r="G1511" s="2">
        <v>376.22906494140619</v>
      </c>
      <c r="H1511" s="3">
        <v>8921719</v>
      </c>
      <c r="I1511" s="4">
        <f t="shared" si="92"/>
        <v>-0.33</v>
      </c>
      <c r="J1511" s="2">
        <f t="shared" si="93"/>
        <v>3.12</v>
      </c>
      <c r="K1511" s="7">
        <f t="shared" si="94"/>
        <v>46054</v>
      </c>
      <c r="L1511" t="str">
        <f t="shared" si="95"/>
        <v>Q1-2026</v>
      </c>
    </row>
    <row r="1512" spans="1:12">
      <c r="A1512" s="6">
        <v>46063</v>
      </c>
      <c r="B1512" t="s">
        <v>28</v>
      </c>
      <c r="C1512" t="s">
        <v>29</v>
      </c>
      <c r="D1512" s="2">
        <v>1705.1311593314749</v>
      </c>
      <c r="E1512" s="2">
        <v>1715.30457004807</v>
      </c>
      <c r="F1512" s="2">
        <v>1697.650763988931</v>
      </c>
      <c r="G1512" s="2">
        <v>1703.3359375</v>
      </c>
      <c r="H1512" s="3">
        <v>1869988</v>
      </c>
      <c r="I1512" s="4">
        <f t="shared" si="92"/>
        <v>-0.44</v>
      </c>
      <c r="J1512" s="2">
        <f t="shared" si="93"/>
        <v>11.97</v>
      </c>
      <c r="K1512" s="7">
        <f t="shared" si="94"/>
        <v>46054</v>
      </c>
      <c r="L1512" t="str">
        <f t="shared" si="95"/>
        <v>Q1-2026</v>
      </c>
    </row>
    <row r="1513" spans="1:12">
      <c r="A1513" s="6">
        <v>46063</v>
      </c>
      <c r="B1513" t="s">
        <v>30</v>
      </c>
      <c r="C1513" t="s">
        <v>31</v>
      </c>
      <c r="D1513" s="2">
        <v>2398.19339239382</v>
      </c>
      <c r="E1513" s="2">
        <v>2399.1847910678148</v>
      </c>
      <c r="F1513" s="2">
        <v>2366.3693981423048</v>
      </c>
      <c r="G1513" s="2">
        <v>2373.011962890625</v>
      </c>
      <c r="H1513" s="3">
        <v>1513620</v>
      </c>
      <c r="I1513" s="4">
        <f t="shared" si="92"/>
        <v>-1.33</v>
      </c>
      <c r="J1513" s="2">
        <f t="shared" si="93"/>
        <v>26.17</v>
      </c>
      <c r="K1513" s="7">
        <f t="shared" si="94"/>
        <v>46054</v>
      </c>
      <c r="L1513" t="str">
        <f t="shared" si="95"/>
        <v>Q1-2026</v>
      </c>
    </row>
    <row r="1514" spans="1:12">
      <c r="A1514" s="6">
        <v>46063</v>
      </c>
      <c r="B1514" t="s">
        <v>32</v>
      </c>
      <c r="C1514" t="s">
        <v>33</v>
      </c>
      <c r="D1514" s="2">
        <v>2410.4817200012822</v>
      </c>
      <c r="E1514" s="2">
        <v>2433.3492202602688</v>
      </c>
      <c r="F1514" s="2">
        <v>2405.631155307482</v>
      </c>
      <c r="G1514" s="2">
        <v>2428.89453125</v>
      </c>
      <c r="H1514" s="3">
        <v>792532</v>
      </c>
      <c r="I1514" s="4">
        <f t="shared" si="92"/>
        <v>-0.2</v>
      </c>
      <c r="J1514" s="2">
        <f t="shared" si="93"/>
        <v>4.45</v>
      </c>
      <c r="K1514" s="7">
        <f t="shared" si="94"/>
        <v>46054</v>
      </c>
      <c r="L1514" t="str">
        <f t="shared" si="95"/>
        <v>Q1-2026</v>
      </c>
    </row>
    <row r="1515" spans="1:12">
      <c r="A1515" s="6">
        <v>46063</v>
      </c>
      <c r="B1515" t="s">
        <v>34</v>
      </c>
      <c r="C1515" t="s">
        <v>35</v>
      </c>
      <c r="D1515" s="2">
        <v>4099.9543411939312</v>
      </c>
      <c r="E1515" s="2">
        <v>4134.2197567957373</v>
      </c>
      <c r="F1515" s="2">
        <v>4082.5244868965451</v>
      </c>
      <c r="G1515" s="2">
        <v>4128.673828125</v>
      </c>
      <c r="H1515" s="3">
        <v>1890409</v>
      </c>
      <c r="I1515" s="4">
        <f t="shared" si="92"/>
        <v>-0.43</v>
      </c>
      <c r="J1515" s="2">
        <f t="shared" si="93"/>
        <v>5.55</v>
      </c>
      <c r="K1515" s="7">
        <f t="shared" si="94"/>
        <v>46054</v>
      </c>
      <c r="L1515" t="str">
        <f t="shared" si="95"/>
        <v>Q1-2026</v>
      </c>
    </row>
    <row r="1516" spans="1:12">
      <c r="A1516" s="6">
        <v>46063</v>
      </c>
      <c r="B1516" t="s">
        <v>36</v>
      </c>
      <c r="C1516" t="s">
        <v>37</v>
      </c>
      <c r="D1516" s="2">
        <v>1351.5576029795991</v>
      </c>
      <c r="E1516" s="2">
        <v>1359.05182315209</v>
      </c>
      <c r="F1516" s="2">
        <v>1342.264843151454</v>
      </c>
      <c r="G1516" s="2">
        <v>1355.654418945312</v>
      </c>
      <c r="H1516" s="3">
        <v>5478998</v>
      </c>
      <c r="I1516" s="4">
        <f t="shared" si="92"/>
        <v>-0.69</v>
      </c>
      <c r="J1516" s="2">
        <f t="shared" si="93"/>
        <v>3.4</v>
      </c>
      <c r="K1516" s="7">
        <f t="shared" si="94"/>
        <v>46054</v>
      </c>
      <c r="L1516" t="str">
        <f t="shared" si="95"/>
        <v>Q1-2026</v>
      </c>
    </row>
    <row r="1517" spans="1:12">
      <c r="A1517" s="6">
        <v>46064</v>
      </c>
      <c r="B1517" t="s">
        <v>8</v>
      </c>
      <c r="C1517" t="s">
        <v>9</v>
      </c>
      <c r="D1517" s="2">
        <v>1452.8824569996059</v>
      </c>
      <c r="E1517" s="2">
        <v>1463.234617369774</v>
      </c>
      <c r="F1517" s="2">
        <v>1446.9100708062599</v>
      </c>
      <c r="G1517" s="2">
        <v>1461.940551757812</v>
      </c>
      <c r="H1517" s="3">
        <v>7106877</v>
      </c>
      <c r="I1517" s="4">
        <f t="shared" si="92"/>
        <v>-0.41</v>
      </c>
      <c r="J1517" s="2">
        <f t="shared" si="93"/>
        <v>1.29</v>
      </c>
      <c r="K1517" s="7">
        <f t="shared" si="94"/>
        <v>46054</v>
      </c>
      <c r="L1517" t="str">
        <f t="shared" si="95"/>
        <v>Q1-2026</v>
      </c>
    </row>
    <row r="1518" spans="1:12">
      <c r="A1518" s="6">
        <v>46064</v>
      </c>
      <c r="B1518" t="s">
        <v>10</v>
      </c>
      <c r="C1518" t="s">
        <v>11</v>
      </c>
      <c r="D1518" s="2">
        <v>2924.101908111068</v>
      </c>
      <c r="E1518" s="2">
        <v>2941.76426862986</v>
      </c>
      <c r="F1518" s="2">
        <v>2849.7236975697151</v>
      </c>
      <c r="G1518" s="2">
        <v>2855.21875</v>
      </c>
      <c r="H1518" s="3">
        <v>3363513</v>
      </c>
      <c r="I1518" s="4">
        <f t="shared" si="92"/>
        <v>-2.54</v>
      </c>
      <c r="J1518" s="2">
        <f t="shared" si="93"/>
        <v>86.55</v>
      </c>
      <c r="K1518" s="7">
        <f t="shared" si="94"/>
        <v>46054</v>
      </c>
      <c r="L1518" t="str">
        <f t="shared" si="95"/>
        <v>Q1-2026</v>
      </c>
    </row>
    <row r="1519" spans="1:12">
      <c r="A1519" s="6">
        <v>46064</v>
      </c>
      <c r="B1519" t="s">
        <v>12</v>
      </c>
      <c r="C1519" t="s">
        <v>13</v>
      </c>
      <c r="D1519" s="2">
        <v>1469.402956285207</v>
      </c>
      <c r="E1519" s="2">
        <v>1474.0034770295861</v>
      </c>
      <c r="F1519" s="2">
        <v>1437.8850339676251</v>
      </c>
      <c r="G1519" s="2">
        <v>1440.7236328125</v>
      </c>
      <c r="H1519" s="3">
        <v>7934411</v>
      </c>
      <c r="I1519" s="4">
        <f t="shared" si="92"/>
        <v>-2.14</v>
      </c>
      <c r="J1519" s="2">
        <f t="shared" si="93"/>
        <v>33.28</v>
      </c>
      <c r="K1519" s="7">
        <f t="shared" si="94"/>
        <v>46054</v>
      </c>
      <c r="L1519" t="str">
        <f t="shared" si="95"/>
        <v>Q1-2026</v>
      </c>
    </row>
    <row r="1520" spans="1:12">
      <c r="A1520" s="6">
        <v>46064</v>
      </c>
      <c r="B1520" t="s">
        <v>14</v>
      </c>
      <c r="C1520" t="s">
        <v>15</v>
      </c>
      <c r="D1520" s="2">
        <v>916.09824919092705</v>
      </c>
      <c r="E1520" s="2">
        <v>920.77096509284047</v>
      </c>
      <c r="F1520" s="2">
        <v>910.24504568432189</v>
      </c>
      <c r="G1520" s="2">
        <v>912.0157470703125</v>
      </c>
      <c r="H1520" s="3">
        <v>24869804</v>
      </c>
      <c r="I1520" s="4">
        <f t="shared" si="92"/>
        <v>-0.64</v>
      </c>
      <c r="J1520" s="2">
        <f t="shared" si="93"/>
        <v>8.76</v>
      </c>
      <c r="K1520" s="7">
        <f t="shared" si="94"/>
        <v>46054</v>
      </c>
      <c r="L1520" t="str">
        <f t="shared" si="95"/>
        <v>Q1-2026</v>
      </c>
    </row>
    <row r="1521" spans="1:12">
      <c r="A1521" s="6">
        <v>46064</v>
      </c>
      <c r="B1521" t="s">
        <v>16</v>
      </c>
      <c r="C1521" t="s">
        <v>17</v>
      </c>
      <c r="D1521" s="2">
        <v>1395.634151114645</v>
      </c>
      <c r="E1521" s="2">
        <v>1401.187310868494</v>
      </c>
      <c r="F1521" s="2">
        <v>1388.692671159883</v>
      </c>
      <c r="G1521" s="2">
        <v>1394.344970703125</v>
      </c>
      <c r="H1521" s="3">
        <v>8551341</v>
      </c>
      <c r="I1521" s="4">
        <f t="shared" si="92"/>
        <v>-0.5</v>
      </c>
      <c r="J1521" s="2">
        <f t="shared" si="93"/>
        <v>6.84</v>
      </c>
      <c r="K1521" s="7">
        <f t="shared" si="94"/>
        <v>46054</v>
      </c>
      <c r="L1521" t="str">
        <f t="shared" si="95"/>
        <v>Q1-2026</v>
      </c>
    </row>
    <row r="1522" spans="1:12">
      <c r="A1522" s="6">
        <v>46064</v>
      </c>
      <c r="B1522" t="s">
        <v>18</v>
      </c>
      <c r="C1522" t="s">
        <v>19</v>
      </c>
      <c r="D1522" s="2">
        <v>228.8562860725321</v>
      </c>
      <c r="E1522" s="2">
        <v>230.36900839714789</v>
      </c>
      <c r="F1522" s="2">
        <v>226.90852973023789</v>
      </c>
      <c r="G1522" s="2">
        <v>227.21502685546881</v>
      </c>
      <c r="H1522" s="3">
        <v>7874912</v>
      </c>
      <c r="I1522" s="4">
        <f t="shared" si="92"/>
        <v>-0.85</v>
      </c>
      <c r="J1522" s="2">
        <f t="shared" si="93"/>
        <v>3.15</v>
      </c>
      <c r="K1522" s="7">
        <f t="shared" si="94"/>
        <v>46054</v>
      </c>
      <c r="L1522" t="str">
        <f t="shared" si="95"/>
        <v>Q1-2026</v>
      </c>
    </row>
    <row r="1523" spans="1:12">
      <c r="A1523" s="6">
        <v>46064</v>
      </c>
      <c r="B1523" t="s">
        <v>20</v>
      </c>
      <c r="C1523" t="s">
        <v>21</v>
      </c>
      <c r="D1523" s="2">
        <v>1528.8238832033501</v>
      </c>
      <c r="E1523" s="2">
        <v>1532.806183455149</v>
      </c>
      <c r="F1523" s="2">
        <v>1501.724630556479</v>
      </c>
      <c r="G1523" s="2">
        <v>1507.066772460938</v>
      </c>
      <c r="H1523" s="3">
        <v>2944646</v>
      </c>
      <c r="I1523" s="4">
        <f t="shared" si="92"/>
        <v>-1.77</v>
      </c>
      <c r="J1523" s="2">
        <f t="shared" si="93"/>
        <v>25.74</v>
      </c>
      <c r="K1523" s="7">
        <f t="shared" si="94"/>
        <v>46054</v>
      </c>
      <c r="L1523" t="str">
        <f t="shared" si="95"/>
        <v>Q1-2026</v>
      </c>
    </row>
    <row r="1524" spans="1:12">
      <c r="A1524" s="6">
        <v>46064</v>
      </c>
      <c r="B1524" t="s">
        <v>22</v>
      </c>
      <c r="C1524" t="s">
        <v>23</v>
      </c>
      <c r="D1524" s="2">
        <v>959.40236620085318</v>
      </c>
      <c r="E1524" s="2">
        <v>968.54616977706905</v>
      </c>
      <c r="F1524" s="2">
        <v>955.52623013834886</v>
      </c>
      <c r="G1524" s="2">
        <v>963.03009033203125</v>
      </c>
      <c r="H1524" s="3">
        <v>3597342</v>
      </c>
      <c r="I1524" s="4">
        <f t="shared" si="92"/>
        <v>-0.4</v>
      </c>
      <c r="J1524" s="2">
        <f t="shared" si="93"/>
        <v>5.52</v>
      </c>
      <c r="K1524" s="7">
        <f t="shared" si="94"/>
        <v>46054</v>
      </c>
      <c r="L1524" t="str">
        <f t="shared" si="95"/>
        <v>Q1-2026</v>
      </c>
    </row>
    <row r="1525" spans="1:12">
      <c r="A1525" s="6">
        <v>46064</v>
      </c>
      <c r="B1525" t="s">
        <v>24</v>
      </c>
      <c r="C1525" t="s">
        <v>25</v>
      </c>
      <c r="D1525" s="2">
        <v>15029.06267488402</v>
      </c>
      <c r="E1525" s="2">
        <v>15278.556995969049</v>
      </c>
      <c r="F1525" s="2">
        <v>15023.1223339058</v>
      </c>
      <c r="G1525" s="2">
        <v>15258.755859375</v>
      </c>
      <c r="H1525" s="3">
        <v>360742</v>
      </c>
      <c r="I1525" s="4">
        <f t="shared" si="92"/>
        <v>-0.04</v>
      </c>
      <c r="J1525" s="2">
        <f t="shared" si="93"/>
        <v>19.8</v>
      </c>
      <c r="K1525" s="7">
        <f t="shared" si="94"/>
        <v>46054</v>
      </c>
      <c r="L1525" t="str">
        <f t="shared" si="95"/>
        <v>Q1-2026</v>
      </c>
    </row>
    <row r="1526" spans="1:12">
      <c r="A1526" s="6">
        <v>46064</v>
      </c>
      <c r="B1526" t="s">
        <v>26</v>
      </c>
      <c r="C1526" t="s">
        <v>27</v>
      </c>
      <c r="D1526" s="2">
        <v>379.35315210794988</v>
      </c>
      <c r="E1526" s="2">
        <v>384.16325695268569</v>
      </c>
      <c r="F1526" s="2">
        <v>378.95644898257649</v>
      </c>
      <c r="G1526" s="2">
        <v>381.53506469726563</v>
      </c>
      <c r="H1526" s="3">
        <v>10933658</v>
      </c>
      <c r="I1526" s="4">
        <f t="shared" si="92"/>
        <v>-0.1</v>
      </c>
      <c r="J1526" s="2">
        <f t="shared" si="93"/>
        <v>2.63</v>
      </c>
      <c r="K1526" s="7">
        <f t="shared" si="94"/>
        <v>46054</v>
      </c>
      <c r="L1526" t="str">
        <f t="shared" si="95"/>
        <v>Q1-2026</v>
      </c>
    </row>
    <row r="1527" spans="1:12">
      <c r="A1527" s="6">
        <v>46064</v>
      </c>
      <c r="B1527" t="s">
        <v>28</v>
      </c>
      <c r="C1527" t="s">
        <v>29</v>
      </c>
      <c r="D1527" s="2">
        <v>1710.517027100238</v>
      </c>
      <c r="E1527" s="2">
        <v>1712.212534636524</v>
      </c>
      <c r="F1527" s="2">
        <v>1698.0497018298281</v>
      </c>
      <c r="G1527" s="2">
        <v>1706.627197265625</v>
      </c>
      <c r="H1527" s="3">
        <v>1175501</v>
      </c>
      <c r="I1527" s="4">
        <f t="shared" si="92"/>
        <v>-0.73</v>
      </c>
      <c r="J1527" s="2">
        <f t="shared" si="93"/>
        <v>5.59</v>
      </c>
      <c r="K1527" s="7">
        <f t="shared" si="94"/>
        <v>46054</v>
      </c>
      <c r="L1527" t="str">
        <f t="shared" si="95"/>
        <v>Q1-2026</v>
      </c>
    </row>
    <row r="1528" spans="1:12">
      <c r="A1528" s="6">
        <v>46064</v>
      </c>
      <c r="B1528" t="s">
        <v>30</v>
      </c>
      <c r="C1528" t="s">
        <v>31</v>
      </c>
      <c r="D1528" s="2">
        <v>2378.3652334566032</v>
      </c>
      <c r="E1528" s="2">
        <v>2385.007555646283</v>
      </c>
      <c r="F1528" s="2">
        <v>2355.8605337199001</v>
      </c>
      <c r="G1528" s="2">
        <v>2371.921142578125</v>
      </c>
      <c r="H1528" s="3">
        <v>3177710</v>
      </c>
      <c r="I1528" s="4">
        <f t="shared" si="92"/>
        <v>-0.95</v>
      </c>
      <c r="J1528" s="2">
        <f t="shared" si="93"/>
        <v>13.09</v>
      </c>
      <c r="K1528" s="7">
        <f t="shared" si="94"/>
        <v>46054</v>
      </c>
      <c r="L1528" t="str">
        <f t="shared" si="95"/>
        <v>Q1-2026</v>
      </c>
    </row>
    <row r="1529" spans="1:12">
      <c r="A1529" s="6">
        <v>46064</v>
      </c>
      <c r="B1529" t="s">
        <v>32</v>
      </c>
      <c r="C1529" t="s">
        <v>33</v>
      </c>
      <c r="D1529" s="2">
        <v>2435.2298831546832</v>
      </c>
      <c r="E1529" s="2">
        <v>2445.7232468038119</v>
      </c>
      <c r="F1529" s="2">
        <v>2422.3607821461419</v>
      </c>
      <c r="G1529" s="2">
        <v>2438.1005859375</v>
      </c>
      <c r="H1529" s="3">
        <v>1137856</v>
      </c>
      <c r="I1529" s="4">
        <f t="shared" si="92"/>
        <v>-0.53</v>
      </c>
      <c r="J1529" s="2">
        <f t="shared" si="93"/>
        <v>7.62</v>
      </c>
      <c r="K1529" s="7">
        <f t="shared" si="94"/>
        <v>46054</v>
      </c>
      <c r="L1529" t="str">
        <f t="shared" si="95"/>
        <v>Q1-2026</v>
      </c>
    </row>
    <row r="1530" spans="1:12">
      <c r="A1530" s="6">
        <v>46064</v>
      </c>
      <c r="B1530" t="s">
        <v>34</v>
      </c>
      <c r="C1530" t="s">
        <v>35</v>
      </c>
      <c r="D1530" s="2">
        <v>4132.5358763542199</v>
      </c>
      <c r="E1530" s="2">
        <v>4147.1930076310946</v>
      </c>
      <c r="F1530" s="2">
        <v>4100.2511160460617</v>
      </c>
      <c r="G1530" s="2">
        <v>4130.06005859375</v>
      </c>
      <c r="H1530" s="3">
        <v>1689489</v>
      </c>
      <c r="I1530" s="4">
        <f t="shared" si="92"/>
        <v>-0.78</v>
      </c>
      <c r="J1530" s="2">
        <f t="shared" si="93"/>
        <v>17.13</v>
      </c>
      <c r="K1530" s="7">
        <f t="shared" si="94"/>
        <v>46054</v>
      </c>
      <c r="L1530" t="str">
        <f t="shared" si="95"/>
        <v>Q1-2026</v>
      </c>
    </row>
    <row r="1531" spans="1:12">
      <c r="A1531" s="6">
        <v>46064</v>
      </c>
      <c r="B1531" t="s">
        <v>36</v>
      </c>
      <c r="C1531" t="s">
        <v>37</v>
      </c>
      <c r="D1531" s="2">
        <v>1356.953546779846</v>
      </c>
      <c r="E1531" s="2">
        <v>1358.952005611628</v>
      </c>
      <c r="F1531" s="2">
        <v>1343.7637672805849</v>
      </c>
      <c r="G1531" s="2">
        <v>1346.261840820312</v>
      </c>
      <c r="H1531" s="3">
        <v>3866272</v>
      </c>
      <c r="I1531" s="4">
        <f t="shared" si="92"/>
        <v>-0.97</v>
      </c>
      <c r="J1531" s="2">
        <f t="shared" si="93"/>
        <v>12.69</v>
      </c>
      <c r="K1531" s="7">
        <f t="shared" si="94"/>
        <v>46054</v>
      </c>
      <c r="L1531" t="str">
        <f t="shared" si="95"/>
        <v>Q1-2026</v>
      </c>
    </row>
    <row r="1532" spans="1:12">
      <c r="A1532" s="6">
        <v>46065</v>
      </c>
      <c r="B1532" t="s">
        <v>8</v>
      </c>
      <c r="C1532" t="s">
        <v>9</v>
      </c>
      <c r="D1532" s="2">
        <v>1463.23455571302</v>
      </c>
      <c r="E1532" s="2">
        <v>1466.220748683862</v>
      </c>
      <c r="F1532" s="2">
        <v>1438.847313117803</v>
      </c>
      <c r="G1532" s="2">
        <v>1442.231689453125</v>
      </c>
      <c r="H1532" s="3">
        <v>11135399</v>
      </c>
      <c r="I1532" s="4">
        <f t="shared" si="92"/>
        <v>-1.67</v>
      </c>
      <c r="J1532" s="2">
        <f t="shared" si="93"/>
        <v>23.99</v>
      </c>
      <c r="K1532" s="7">
        <f t="shared" si="94"/>
        <v>46054</v>
      </c>
      <c r="L1532" t="str">
        <f t="shared" si="95"/>
        <v>Q1-2026</v>
      </c>
    </row>
    <row r="1533" spans="1:12">
      <c r="A1533" s="6">
        <v>46065</v>
      </c>
      <c r="B1533" t="s">
        <v>10</v>
      </c>
      <c r="C1533" t="s">
        <v>11</v>
      </c>
      <c r="D1533" s="2">
        <v>2815.9690535680861</v>
      </c>
      <c r="E1533" s="2">
        <v>2825.9776765938032</v>
      </c>
      <c r="F1533" s="2">
        <v>2688.603761759382</v>
      </c>
      <c r="G1533" s="2">
        <v>2698.514404296875</v>
      </c>
      <c r="H1533" s="3">
        <v>10612156</v>
      </c>
      <c r="I1533" s="4">
        <f t="shared" si="92"/>
        <v>-4.5199999999999996</v>
      </c>
      <c r="J1533" s="2">
        <f t="shared" si="93"/>
        <v>127.46</v>
      </c>
      <c r="K1533" s="7">
        <f t="shared" si="94"/>
        <v>46054</v>
      </c>
      <c r="L1533" t="str">
        <f t="shared" si="95"/>
        <v>Q1-2026</v>
      </c>
    </row>
    <row r="1534" spans="1:12">
      <c r="A1534" s="6">
        <v>46065</v>
      </c>
      <c r="B1534" t="s">
        <v>12</v>
      </c>
      <c r="C1534" t="s">
        <v>13</v>
      </c>
      <c r="D1534" s="2">
        <v>1398.634423311009</v>
      </c>
      <c r="E1534" s="2">
        <v>1405.290320488539</v>
      </c>
      <c r="F1534" s="2">
        <v>1351.259562174479</v>
      </c>
      <c r="G1534" s="2">
        <v>1356.64306640625</v>
      </c>
      <c r="H1534" s="3">
        <v>26048896</v>
      </c>
      <c r="I1534" s="4">
        <f t="shared" si="92"/>
        <v>-3.39</v>
      </c>
      <c r="J1534" s="2">
        <f t="shared" si="93"/>
        <v>48.65</v>
      </c>
      <c r="K1534" s="7">
        <f t="shared" si="94"/>
        <v>46054</v>
      </c>
      <c r="L1534" t="str">
        <f t="shared" si="95"/>
        <v>Q1-2026</v>
      </c>
    </row>
    <row r="1535" spans="1:12">
      <c r="A1535" s="6">
        <v>46065</v>
      </c>
      <c r="B1535" t="s">
        <v>14</v>
      </c>
      <c r="C1535" t="s">
        <v>15</v>
      </c>
      <c r="D1535" s="2">
        <v>911.91741497608916</v>
      </c>
      <c r="E1535" s="2">
        <v>913.49135845004059</v>
      </c>
      <c r="F1535" s="2">
        <v>903.55571268127062</v>
      </c>
      <c r="G1535" s="2">
        <v>905.62152099609375</v>
      </c>
      <c r="H1535" s="3">
        <v>33872203</v>
      </c>
      <c r="I1535" s="4">
        <f t="shared" si="92"/>
        <v>-0.92</v>
      </c>
      <c r="J1535" s="2">
        <f t="shared" si="93"/>
        <v>7.87</v>
      </c>
      <c r="K1535" s="7">
        <f t="shared" si="94"/>
        <v>46054</v>
      </c>
      <c r="L1535" t="str">
        <f t="shared" si="95"/>
        <v>Q1-2026</v>
      </c>
    </row>
    <row r="1536" spans="1:12">
      <c r="A1536" s="6">
        <v>46065</v>
      </c>
      <c r="B1536" t="s">
        <v>16</v>
      </c>
      <c r="C1536" t="s">
        <v>17</v>
      </c>
      <c r="D1536" s="2">
        <v>1394.3449463736549</v>
      </c>
      <c r="E1536" s="2">
        <v>1421.0200859443289</v>
      </c>
      <c r="F1536" s="2">
        <v>1393.551707022548</v>
      </c>
      <c r="G1536" s="2">
        <v>1418.045166015625</v>
      </c>
      <c r="H1536" s="3">
        <v>19646265</v>
      </c>
      <c r="I1536" s="4">
        <f t="shared" si="92"/>
        <v>-0.06</v>
      </c>
      <c r="J1536" s="2">
        <f t="shared" si="93"/>
        <v>2.97</v>
      </c>
      <c r="K1536" s="7">
        <f t="shared" si="94"/>
        <v>46054</v>
      </c>
      <c r="L1536" t="str">
        <f t="shared" si="95"/>
        <v>Q1-2026</v>
      </c>
    </row>
    <row r="1537" spans="1:12">
      <c r="A1537" s="6">
        <v>46065</v>
      </c>
      <c r="B1537" t="s">
        <v>18</v>
      </c>
      <c r="C1537" t="s">
        <v>19</v>
      </c>
      <c r="D1537" s="2">
        <v>223.64579895262361</v>
      </c>
      <c r="E1537" s="2">
        <v>223.70511903267629</v>
      </c>
      <c r="F1537" s="2">
        <v>216.03274858721429</v>
      </c>
      <c r="G1537" s="2">
        <v>216.606201171875</v>
      </c>
      <c r="H1537" s="3">
        <v>40899346</v>
      </c>
      <c r="I1537" s="4">
        <f t="shared" si="92"/>
        <v>-3.4</v>
      </c>
      <c r="J1537" s="2">
        <f t="shared" si="93"/>
        <v>7.1</v>
      </c>
      <c r="K1537" s="7">
        <f t="shared" si="94"/>
        <v>46054</v>
      </c>
      <c r="L1537" t="str">
        <f t="shared" si="95"/>
        <v>Q1-2026</v>
      </c>
    </row>
    <row r="1538" spans="1:12">
      <c r="A1538" s="6">
        <v>46065</v>
      </c>
      <c r="B1538" t="s">
        <v>20</v>
      </c>
      <c r="C1538" t="s">
        <v>21</v>
      </c>
      <c r="D1538" s="2">
        <v>1485.1154816104349</v>
      </c>
      <c r="E1538" s="2">
        <v>1490.943272905178</v>
      </c>
      <c r="F1538" s="2">
        <v>1427.323217937563</v>
      </c>
      <c r="G1538" s="2">
        <v>1433.733764648438</v>
      </c>
      <c r="H1538" s="3">
        <v>5397659</v>
      </c>
      <c r="I1538" s="4">
        <f t="shared" ref="I1538:I1601" si="96">ROUND(((F1538-D1538)/D1538)*100, 2)</f>
        <v>-3.89</v>
      </c>
      <c r="J1538" s="2">
        <f t="shared" ref="J1538:J1601" si="97">ROUND(E1538-G1538, 2)</f>
        <v>57.21</v>
      </c>
      <c r="K1538" s="7">
        <f t="shared" ref="K1538:K1601" si="98">DATE(YEAR(A1538),MONTH(A1538),1)</f>
        <v>46054</v>
      </c>
      <c r="L1538" t="str">
        <f t="shared" ref="L1538:L1601" si="99">"Q"&amp;INT((MONTH(A1538)-1)/3)+1&amp;"-"&amp;YEAR(A1538)</f>
        <v>Q1-2026</v>
      </c>
    </row>
    <row r="1539" spans="1:12">
      <c r="A1539" s="6">
        <v>46065</v>
      </c>
      <c r="B1539" t="s">
        <v>22</v>
      </c>
      <c r="C1539" t="s">
        <v>23</v>
      </c>
      <c r="D1539" s="2">
        <v>962.3840381852973</v>
      </c>
      <c r="E1539" s="2">
        <v>995.87815596239147</v>
      </c>
      <c r="F1539" s="2">
        <v>959.10421207954869</v>
      </c>
      <c r="G1539" s="2">
        <v>992.995849609375</v>
      </c>
      <c r="H1539" s="3">
        <v>10346853</v>
      </c>
      <c r="I1539" s="4">
        <f t="shared" si="96"/>
        <v>-0.34</v>
      </c>
      <c r="J1539" s="2">
        <f t="shared" si="97"/>
        <v>2.88</v>
      </c>
      <c r="K1539" s="7">
        <f t="shared" si="98"/>
        <v>46054</v>
      </c>
      <c r="L1539" t="str">
        <f t="shared" si="99"/>
        <v>Q1-2026</v>
      </c>
    </row>
    <row r="1540" spans="1:12">
      <c r="A1540" s="6">
        <v>46065</v>
      </c>
      <c r="B1540" t="s">
        <v>24</v>
      </c>
      <c r="C1540" t="s">
        <v>25</v>
      </c>
      <c r="D1540" s="2">
        <v>15305.287904528561</v>
      </c>
      <c r="E1540" s="2">
        <v>15305.287904528561</v>
      </c>
      <c r="F1540" s="2">
        <v>15113.216887420171</v>
      </c>
      <c r="G1540" s="2">
        <v>15173.6103515625</v>
      </c>
      <c r="H1540" s="3">
        <v>201895</v>
      </c>
      <c r="I1540" s="4">
        <f t="shared" si="96"/>
        <v>-1.25</v>
      </c>
      <c r="J1540" s="2">
        <f t="shared" si="97"/>
        <v>131.68</v>
      </c>
      <c r="K1540" s="7">
        <f t="shared" si="98"/>
        <v>46054</v>
      </c>
      <c r="L1540" t="str">
        <f t="shared" si="99"/>
        <v>Q1-2026</v>
      </c>
    </row>
    <row r="1541" spans="1:12">
      <c r="A1541" s="6">
        <v>46065</v>
      </c>
      <c r="B1541" t="s">
        <v>26</v>
      </c>
      <c r="C1541" t="s">
        <v>27</v>
      </c>
      <c r="D1541" s="2">
        <v>381.83258508431032</v>
      </c>
      <c r="E1541" s="2">
        <v>383.71694763272342</v>
      </c>
      <c r="F1541" s="2">
        <v>377.02248023189458</v>
      </c>
      <c r="G1541" s="2">
        <v>380.29534912109381</v>
      </c>
      <c r="H1541" s="3">
        <v>8324442</v>
      </c>
      <c r="I1541" s="4">
        <f t="shared" si="96"/>
        <v>-1.26</v>
      </c>
      <c r="J1541" s="2">
        <f t="shared" si="97"/>
        <v>3.42</v>
      </c>
      <c r="K1541" s="7">
        <f t="shared" si="98"/>
        <v>46054</v>
      </c>
      <c r="L1541" t="str">
        <f t="shared" si="99"/>
        <v>Q1-2026</v>
      </c>
    </row>
    <row r="1542" spans="1:12">
      <c r="A1542" s="6">
        <v>46065</v>
      </c>
      <c r="B1542" t="s">
        <v>28</v>
      </c>
      <c r="C1542" t="s">
        <v>29</v>
      </c>
      <c r="D1542" s="2">
        <v>1710.3176441438629</v>
      </c>
      <c r="E1542" s="2">
        <v>1714.5066168457879</v>
      </c>
      <c r="F1542" s="2">
        <v>1696.7530964874411</v>
      </c>
      <c r="G1542" s="2">
        <v>1710.417358398438</v>
      </c>
      <c r="H1542" s="3">
        <v>1359444</v>
      </c>
      <c r="I1542" s="4">
        <f t="shared" si="96"/>
        <v>-0.79</v>
      </c>
      <c r="J1542" s="2">
        <f t="shared" si="97"/>
        <v>4.09</v>
      </c>
      <c r="K1542" s="7">
        <f t="shared" si="98"/>
        <v>46054</v>
      </c>
      <c r="L1542" t="str">
        <f t="shared" si="99"/>
        <v>Q1-2026</v>
      </c>
    </row>
    <row r="1543" spans="1:12">
      <c r="A1543" s="6">
        <v>46065</v>
      </c>
      <c r="B1543" t="s">
        <v>30</v>
      </c>
      <c r="C1543" t="s">
        <v>31</v>
      </c>
      <c r="D1543" s="2">
        <v>2377.373874755302</v>
      </c>
      <c r="E1543" s="2">
        <v>2393.1370158909122</v>
      </c>
      <c r="F1543" s="2">
        <v>2356.5545038754599</v>
      </c>
      <c r="G1543" s="2">
        <v>2389.766357421875</v>
      </c>
      <c r="H1543" s="3">
        <v>607767</v>
      </c>
      <c r="I1543" s="4">
        <f t="shared" si="96"/>
        <v>-0.88</v>
      </c>
      <c r="J1543" s="2">
        <f t="shared" si="97"/>
        <v>3.37</v>
      </c>
      <c r="K1543" s="7">
        <f t="shared" si="98"/>
        <v>46054</v>
      </c>
      <c r="L1543" t="str">
        <f t="shared" si="99"/>
        <v>Q1-2026</v>
      </c>
    </row>
    <row r="1544" spans="1:12">
      <c r="A1544" s="6">
        <v>46065</v>
      </c>
      <c r="B1544" t="s">
        <v>32</v>
      </c>
      <c r="C1544" t="s">
        <v>33</v>
      </c>
      <c r="D1544" s="2">
        <v>2450.0788110107151</v>
      </c>
      <c r="E1544" s="2">
        <v>2454.632589514214</v>
      </c>
      <c r="F1544" s="2">
        <v>2326.4365466754712</v>
      </c>
      <c r="G1544" s="2">
        <v>2385.436279296875</v>
      </c>
      <c r="H1544" s="3">
        <v>4656164</v>
      </c>
      <c r="I1544" s="4">
        <f t="shared" si="96"/>
        <v>-5.05</v>
      </c>
      <c r="J1544" s="2">
        <f t="shared" si="97"/>
        <v>69.2</v>
      </c>
      <c r="K1544" s="7">
        <f t="shared" si="98"/>
        <v>46054</v>
      </c>
      <c r="L1544" t="str">
        <f t="shared" si="99"/>
        <v>Q1-2026</v>
      </c>
    </row>
    <row r="1545" spans="1:12">
      <c r="A1545" s="6">
        <v>46065</v>
      </c>
      <c r="B1545" t="s">
        <v>34</v>
      </c>
      <c r="C1545" t="s">
        <v>35</v>
      </c>
      <c r="D1545" s="2">
        <v>4147.3908104715347</v>
      </c>
      <c r="E1545" s="2">
        <v>4158.3835381126864</v>
      </c>
      <c r="F1545" s="2">
        <v>4120.6519784808124</v>
      </c>
      <c r="G1545" s="2">
        <v>4145.41015625</v>
      </c>
      <c r="H1545" s="3">
        <v>2006458</v>
      </c>
      <c r="I1545" s="4">
        <f t="shared" si="96"/>
        <v>-0.64</v>
      </c>
      <c r="J1545" s="2">
        <f t="shared" si="97"/>
        <v>12.97</v>
      </c>
      <c r="K1545" s="7">
        <f t="shared" si="98"/>
        <v>46054</v>
      </c>
      <c r="L1545" t="str">
        <f t="shared" si="99"/>
        <v>Q1-2026</v>
      </c>
    </row>
    <row r="1546" spans="1:12">
      <c r="A1546" s="6">
        <v>46065</v>
      </c>
      <c r="B1546" t="s">
        <v>36</v>
      </c>
      <c r="C1546" t="s">
        <v>37</v>
      </c>
      <c r="D1546" s="2">
        <v>1346.861343947998</v>
      </c>
      <c r="E1546" s="2">
        <v>1356.653718964355</v>
      </c>
      <c r="F1546" s="2">
        <v>1335.1702866842279</v>
      </c>
      <c r="G1546" s="2">
        <v>1338.967407226562</v>
      </c>
      <c r="H1546" s="3">
        <v>4152620</v>
      </c>
      <c r="I1546" s="4">
        <f t="shared" si="96"/>
        <v>-0.87</v>
      </c>
      <c r="J1546" s="2">
        <f t="shared" si="97"/>
        <v>17.690000000000001</v>
      </c>
      <c r="K1546" s="7">
        <f t="shared" si="98"/>
        <v>46054</v>
      </c>
      <c r="L1546" t="str">
        <f t="shared" si="99"/>
        <v>Q1-2026</v>
      </c>
    </row>
    <row r="1547" spans="1:12">
      <c r="A1547" s="6">
        <v>46066</v>
      </c>
      <c r="B1547" t="s">
        <v>8</v>
      </c>
      <c r="C1547" t="s">
        <v>9</v>
      </c>
      <c r="D1547" s="2">
        <v>1438.847352645196</v>
      </c>
      <c r="E1547" s="2">
        <v>1444.0233720001161</v>
      </c>
      <c r="F1547" s="2">
        <v>1409.78178886725</v>
      </c>
      <c r="G1547" s="2">
        <v>1413.066528320312</v>
      </c>
      <c r="H1547" s="3">
        <v>10755693</v>
      </c>
      <c r="I1547" s="4">
        <f t="shared" si="96"/>
        <v>-2.02</v>
      </c>
      <c r="J1547" s="2">
        <f t="shared" si="97"/>
        <v>30.96</v>
      </c>
      <c r="K1547" s="7">
        <f t="shared" si="98"/>
        <v>46054</v>
      </c>
      <c r="L1547" t="str">
        <f t="shared" si="99"/>
        <v>Q1-2026</v>
      </c>
    </row>
    <row r="1548" spans="1:12">
      <c r="A1548" s="6">
        <v>46066</v>
      </c>
      <c r="B1548" t="s">
        <v>10</v>
      </c>
      <c r="C1548" t="s">
        <v>11</v>
      </c>
      <c r="D1548" s="2">
        <v>2536.5113141072061</v>
      </c>
      <c r="E1548" s="2">
        <v>2662.1103269527462</v>
      </c>
      <c r="F1548" s="2">
        <v>2536.5113141072061</v>
      </c>
      <c r="G1548" s="2">
        <v>2641.700439453125</v>
      </c>
      <c r="H1548" s="3">
        <v>11168735</v>
      </c>
      <c r="I1548" s="4">
        <f t="shared" si="96"/>
        <v>0</v>
      </c>
      <c r="J1548" s="2">
        <f t="shared" si="97"/>
        <v>20.41</v>
      </c>
      <c r="K1548" s="7">
        <f t="shared" si="98"/>
        <v>46054</v>
      </c>
      <c r="L1548" t="str">
        <f t="shared" si="99"/>
        <v>Q1-2026</v>
      </c>
    </row>
    <row r="1549" spans="1:12">
      <c r="A1549" s="6">
        <v>46066</v>
      </c>
      <c r="B1549" t="s">
        <v>12</v>
      </c>
      <c r="C1549" t="s">
        <v>13</v>
      </c>
      <c r="D1549" s="2">
        <v>1266.493817560756</v>
      </c>
      <c r="E1549" s="2">
        <v>1348.127338939395</v>
      </c>
      <c r="F1549" s="2">
        <v>1254.3564391221671</v>
      </c>
      <c r="G1549" s="2">
        <v>1340.100952148438</v>
      </c>
      <c r="H1549" s="3">
        <v>45785709</v>
      </c>
      <c r="I1549" s="4">
        <f t="shared" si="96"/>
        <v>-0.96</v>
      </c>
      <c r="J1549" s="2">
        <f t="shared" si="97"/>
        <v>8.0299999999999994</v>
      </c>
      <c r="K1549" s="7">
        <f t="shared" si="98"/>
        <v>46054</v>
      </c>
      <c r="L1549" t="str">
        <f t="shared" si="99"/>
        <v>Q1-2026</v>
      </c>
    </row>
    <row r="1550" spans="1:12">
      <c r="A1550" s="6">
        <v>46066</v>
      </c>
      <c r="B1550" t="s">
        <v>14</v>
      </c>
      <c r="C1550" t="s">
        <v>15</v>
      </c>
      <c r="D1550" s="2">
        <v>898.14515292820863</v>
      </c>
      <c r="E1550" s="2">
        <v>913.09785532491696</v>
      </c>
      <c r="F1550" s="2">
        <v>886.34039735850592</v>
      </c>
      <c r="G1550" s="2">
        <v>889.1932373046875</v>
      </c>
      <c r="H1550" s="3">
        <v>50188359</v>
      </c>
      <c r="I1550" s="4">
        <f t="shared" si="96"/>
        <v>-1.31</v>
      </c>
      <c r="J1550" s="2">
        <f t="shared" si="97"/>
        <v>23.9</v>
      </c>
      <c r="K1550" s="7">
        <f t="shared" si="98"/>
        <v>46054</v>
      </c>
      <c r="L1550" t="str">
        <f t="shared" si="99"/>
        <v>Q1-2026</v>
      </c>
    </row>
    <row r="1551" spans="1:12">
      <c r="A1551" s="6">
        <v>46066</v>
      </c>
      <c r="B1551" t="s">
        <v>16</v>
      </c>
      <c r="C1551" t="s">
        <v>17</v>
      </c>
      <c r="D1551" s="2">
        <v>1413.3845464564511</v>
      </c>
      <c r="E1551" s="2">
        <v>1422.4084462850301</v>
      </c>
      <c r="F1551" s="2">
        <v>1398.906505554771</v>
      </c>
      <c r="G1551" s="2">
        <v>1402.77392578125</v>
      </c>
      <c r="H1551" s="3">
        <v>12228083</v>
      </c>
      <c r="I1551" s="4">
        <f t="shared" si="96"/>
        <v>-1.02</v>
      </c>
      <c r="J1551" s="2">
        <f t="shared" si="97"/>
        <v>19.63</v>
      </c>
      <c r="K1551" s="7">
        <f t="shared" si="98"/>
        <v>46054</v>
      </c>
      <c r="L1551" t="str">
        <f t="shared" si="99"/>
        <v>Q1-2026</v>
      </c>
    </row>
    <row r="1552" spans="1:12">
      <c r="A1552" s="6">
        <v>46066</v>
      </c>
      <c r="B1552" t="s">
        <v>18</v>
      </c>
      <c r="C1552" t="s">
        <v>19</v>
      </c>
      <c r="D1552" s="2">
        <v>208.2713725669781</v>
      </c>
      <c r="E1552" s="2">
        <v>214.035543080168</v>
      </c>
      <c r="F1552" s="2">
        <v>206.64989175146499</v>
      </c>
      <c r="G1552" s="2">
        <v>211.67253112792969</v>
      </c>
      <c r="H1552" s="3">
        <v>23721186</v>
      </c>
      <c r="I1552" s="4">
        <f t="shared" si="96"/>
        <v>-0.78</v>
      </c>
      <c r="J1552" s="2">
        <f t="shared" si="97"/>
        <v>2.36</v>
      </c>
      <c r="K1552" s="7">
        <f t="shared" si="98"/>
        <v>46054</v>
      </c>
      <c r="L1552" t="str">
        <f t="shared" si="99"/>
        <v>Q1-2026</v>
      </c>
    </row>
    <row r="1553" spans="1:12">
      <c r="A1553" s="6">
        <v>46066</v>
      </c>
      <c r="B1553" t="s">
        <v>20</v>
      </c>
      <c r="C1553" t="s">
        <v>21</v>
      </c>
      <c r="D1553" s="2">
        <v>1382.1578280610399</v>
      </c>
      <c r="E1553" s="2">
        <v>1434.4137371530001</v>
      </c>
      <c r="F1553" s="2">
        <v>1355.932767374007</v>
      </c>
      <c r="G1553" s="2">
        <v>1413.43359375</v>
      </c>
      <c r="H1553" s="3">
        <v>7214938</v>
      </c>
      <c r="I1553" s="4">
        <f t="shared" si="96"/>
        <v>-1.9</v>
      </c>
      <c r="J1553" s="2">
        <f t="shared" si="97"/>
        <v>20.98</v>
      </c>
      <c r="K1553" s="7">
        <f t="shared" si="98"/>
        <v>46054</v>
      </c>
      <c r="L1553" t="str">
        <f t="shared" si="99"/>
        <v>Q1-2026</v>
      </c>
    </row>
    <row r="1554" spans="1:12">
      <c r="A1554" s="6">
        <v>46066</v>
      </c>
      <c r="B1554" t="s">
        <v>22</v>
      </c>
      <c r="C1554" t="s">
        <v>23</v>
      </c>
      <c r="D1554" s="2">
        <v>988.92089784188977</v>
      </c>
      <c r="E1554" s="2">
        <v>1025.694840776714</v>
      </c>
      <c r="F1554" s="2">
        <v>986.73432694034159</v>
      </c>
      <c r="G1554" s="2">
        <v>1018.489135742188</v>
      </c>
      <c r="H1554" s="3">
        <v>21613987</v>
      </c>
      <c r="I1554" s="4">
        <f t="shared" si="96"/>
        <v>-0.22</v>
      </c>
      <c r="J1554" s="2">
        <f t="shared" si="97"/>
        <v>7.21</v>
      </c>
      <c r="K1554" s="7">
        <f t="shared" si="98"/>
        <v>46054</v>
      </c>
      <c r="L1554" t="str">
        <f t="shared" si="99"/>
        <v>Q1-2026</v>
      </c>
    </row>
    <row r="1555" spans="1:12">
      <c r="A1555" s="6">
        <v>46066</v>
      </c>
      <c r="B1555" t="s">
        <v>24</v>
      </c>
      <c r="C1555" t="s">
        <v>25</v>
      </c>
      <c r="D1555" s="2">
        <v>15156.780186337121</v>
      </c>
      <c r="E1555" s="2">
        <v>15280.5372915231</v>
      </c>
      <c r="F1555" s="2">
        <v>15038.96342220007</v>
      </c>
      <c r="G1555" s="2">
        <v>15085.49609375</v>
      </c>
      <c r="H1555" s="3">
        <v>208645</v>
      </c>
      <c r="I1555" s="4">
        <f t="shared" si="96"/>
        <v>-0.78</v>
      </c>
      <c r="J1555" s="2">
        <f t="shared" si="97"/>
        <v>195.04</v>
      </c>
      <c r="K1555" s="7">
        <f t="shared" si="98"/>
        <v>46054</v>
      </c>
      <c r="L1555" t="str">
        <f t="shared" si="99"/>
        <v>Q1-2026</v>
      </c>
    </row>
    <row r="1556" spans="1:12">
      <c r="A1556" s="6">
        <v>46066</v>
      </c>
      <c r="B1556" t="s">
        <v>26</v>
      </c>
      <c r="C1556" t="s">
        <v>27</v>
      </c>
      <c r="D1556" s="2">
        <v>375.8819573657596</v>
      </c>
      <c r="E1556" s="2">
        <v>384.31202764968822</v>
      </c>
      <c r="F1556" s="2">
        <v>371.31979562939051</v>
      </c>
      <c r="G1556" s="2">
        <v>377.12167358398438</v>
      </c>
      <c r="H1556" s="3">
        <v>15565868</v>
      </c>
      <c r="I1556" s="4">
        <f t="shared" si="96"/>
        <v>-1.21</v>
      </c>
      <c r="J1556" s="2">
        <f t="shared" si="97"/>
        <v>7.19</v>
      </c>
      <c r="K1556" s="7">
        <f t="shared" si="98"/>
        <v>46054</v>
      </c>
      <c r="L1556" t="str">
        <f t="shared" si="99"/>
        <v>Q1-2026</v>
      </c>
    </row>
    <row r="1557" spans="1:12">
      <c r="A1557" s="6">
        <v>46066</v>
      </c>
      <c r="B1557" t="s">
        <v>28</v>
      </c>
      <c r="C1557" t="s">
        <v>29</v>
      </c>
      <c r="D1557" s="2">
        <v>1710.417284984564</v>
      </c>
      <c r="E1557" s="2">
        <v>1714.506543256397</v>
      </c>
      <c r="F1557" s="2">
        <v>1690.170300374765</v>
      </c>
      <c r="G1557" s="2">
        <v>1693.062744140625</v>
      </c>
      <c r="H1557" s="3">
        <v>1148165</v>
      </c>
      <c r="I1557" s="4">
        <f t="shared" si="96"/>
        <v>-1.18</v>
      </c>
      <c r="J1557" s="2">
        <f t="shared" si="97"/>
        <v>21.44</v>
      </c>
      <c r="K1557" s="7">
        <f t="shared" si="98"/>
        <v>46054</v>
      </c>
      <c r="L1557" t="str">
        <f t="shared" si="99"/>
        <v>Q1-2026</v>
      </c>
    </row>
    <row r="1558" spans="1:12">
      <c r="A1558" s="6">
        <v>46066</v>
      </c>
      <c r="B1558" t="s">
        <v>30</v>
      </c>
      <c r="C1558" t="s">
        <v>31</v>
      </c>
      <c r="D1558" s="2">
        <v>2388.1800966660048</v>
      </c>
      <c r="E1558" s="2">
        <v>2391.0552979579561</v>
      </c>
      <c r="F1558" s="2">
        <v>2339.8000364723521</v>
      </c>
      <c r="G1558" s="2">
        <v>2346.045654296875</v>
      </c>
      <c r="H1558" s="3">
        <v>675635</v>
      </c>
      <c r="I1558" s="4">
        <f t="shared" si="96"/>
        <v>-2.0299999999999998</v>
      </c>
      <c r="J1558" s="2">
        <f t="shared" si="97"/>
        <v>45.01</v>
      </c>
      <c r="K1558" s="7">
        <f t="shared" si="98"/>
        <v>46054</v>
      </c>
      <c r="L1558" t="str">
        <f t="shared" si="99"/>
        <v>Q1-2026</v>
      </c>
    </row>
    <row r="1559" spans="1:12">
      <c r="A1559" s="6">
        <v>46066</v>
      </c>
      <c r="B1559" t="s">
        <v>32</v>
      </c>
      <c r="C1559" t="s">
        <v>33</v>
      </c>
      <c r="D1559" s="2">
        <v>2375.8340174149839</v>
      </c>
      <c r="E1559" s="2">
        <v>2375.8340174149839</v>
      </c>
      <c r="F1559" s="2">
        <v>2277.1379609446699</v>
      </c>
      <c r="G1559" s="2">
        <v>2281.988525390625</v>
      </c>
      <c r="H1559" s="3">
        <v>2791519</v>
      </c>
      <c r="I1559" s="4">
        <f t="shared" si="96"/>
        <v>-4.1500000000000004</v>
      </c>
      <c r="J1559" s="2">
        <f t="shared" si="97"/>
        <v>93.85</v>
      </c>
      <c r="K1559" s="7">
        <f t="shared" si="98"/>
        <v>46054</v>
      </c>
      <c r="L1559" t="str">
        <f t="shared" si="99"/>
        <v>Q1-2026</v>
      </c>
    </row>
    <row r="1560" spans="1:12">
      <c r="A1560" s="6">
        <v>46066</v>
      </c>
      <c r="B1560" t="s">
        <v>34</v>
      </c>
      <c r="C1560" t="s">
        <v>35</v>
      </c>
      <c r="D1560" s="2">
        <v>4133.7246260394531</v>
      </c>
      <c r="E1560" s="2">
        <v>4158.3836751988474</v>
      </c>
      <c r="F1560" s="2">
        <v>4094.1115403028598</v>
      </c>
      <c r="G1560" s="2">
        <v>4133.5263671875</v>
      </c>
      <c r="H1560" s="3">
        <v>2234376</v>
      </c>
      <c r="I1560" s="4">
        <f t="shared" si="96"/>
        <v>-0.96</v>
      </c>
      <c r="J1560" s="2">
        <f t="shared" si="97"/>
        <v>24.86</v>
      </c>
      <c r="K1560" s="7">
        <f t="shared" si="98"/>
        <v>46054</v>
      </c>
      <c r="L1560" t="str">
        <f t="shared" si="99"/>
        <v>Q1-2026</v>
      </c>
    </row>
    <row r="1561" spans="1:12">
      <c r="A1561" s="6">
        <v>46066</v>
      </c>
      <c r="B1561" t="s">
        <v>36</v>
      </c>
      <c r="C1561" t="s">
        <v>37</v>
      </c>
      <c r="D1561" s="2">
        <v>1340.266379604237</v>
      </c>
      <c r="E1561" s="2">
        <v>1345.4623234479261</v>
      </c>
      <c r="F1561" s="2">
        <v>1315.085726729754</v>
      </c>
      <c r="G1561" s="2">
        <v>1331.273315429688</v>
      </c>
      <c r="H1561" s="3">
        <v>4624549</v>
      </c>
      <c r="I1561" s="4">
        <f t="shared" si="96"/>
        <v>-1.88</v>
      </c>
      <c r="J1561" s="2">
        <f t="shared" si="97"/>
        <v>14.19</v>
      </c>
      <c r="K1561" s="7">
        <f t="shared" si="98"/>
        <v>46054</v>
      </c>
      <c r="L1561" t="str">
        <f t="shared" si="99"/>
        <v>Q1-2026</v>
      </c>
    </row>
    <row r="1562" spans="1:12">
      <c r="A1562" s="6">
        <v>46069</v>
      </c>
      <c r="B1562" t="s">
        <v>8</v>
      </c>
      <c r="C1562" t="s">
        <v>9</v>
      </c>
      <c r="D1562" s="2">
        <v>1413.5642015872461</v>
      </c>
      <c r="E1562" s="2">
        <v>1432.974456079771</v>
      </c>
      <c r="F1562" s="2">
        <v>1402.813979696489</v>
      </c>
      <c r="G1562" s="2">
        <v>1430.485961914062</v>
      </c>
      <c r="H1562" s="3">
        <v>5896514</v>
      </c>
      <c r="I1562" s="4">
        <f t="shared" si="96"/>
        <v>-0.76</v>
      </c>
      <c r="J1562" s="2">
        <f t="shared" si="97"/>
        <v>2.4900000000000002</v>
      </c>
      <c r="K1562" s="7">
        <f t="shared" si="98"/>
        <v>46054</v>
      </c>
      <c r="L1562" t="str">
        <f t="shared" si="99"/>
        <v>Q1-2026</v>
      </c>
    </row>
    <row r="1563" spans="1:12">
      <c r="A1563" s="6">
        <v>46069</v>
      </c>
      <c r="B1563" t="s">
        <v>10</v>
      </c>
      <c r="C1563" t="s">
        <v>11</v>
      </c>
      <c r="D1563" s="2">
        <v>2649.3540277067941</v>
      </c>
      <c r="E1563" s="2">
        <v>2668.782671822195</v>
      </c>
      <c r="F1563" s="2">
        <v>2620.8980029647578</v>
      </c>
      <c r="G1563" s="2">
        <v>2655.830322265625</v>
      </c>
      <c r="H1563" s="3">
        <v>2918730</v>
      </c>
      <c r="I1563" s="4">
        <f t="shared" si="96"/>
        <v>-1.07</v>
      </c>
      <c r="J1563" s="2">
        <f t="shared" si="97"/>
        <v>12.95</v>
      </c>
      <c r="K1563" s="7">
        <f t="shared" si="98"/>
        <v>46054</v>
      </c>
      <c r="L1563" t="str">
        <f t="shared" si="99"/>
        <v>Q1-2026</v>
      </c>
    </row>
    <row r="1564" spans="1:12">
      <c r="A1564" s="6">
        <v>46069</v>
      </c>
      <c r="B1564" t="s">
        <v>12</v>
      </c>
      <c r="C1564" t="s">
        <v>13</v>
      </c>
      <c r="D1564" s="2">
        <v>1344.6035807140281</v>
      </c>
      <c r="E1564" s="2">
        <v>1346.8549121546939</v>
      </c>
      <c r="F1564" s="2">
        <v>1309.9534845210951</v>
      </c>
      <c r="G1564" s="2">
        <v>1336.675170898438</v>
      </c>
      <c r="H1564" s="3">
        <v>14621891</v>
      </c>
      <c r="I1564" s="4">
        <f t="shared" si="96"/>
        <v>-2.58</v>
      </c>
      <c r="J1564" s="2">
        <f t="shared" si="97"/>
        <v>10.18</v>
      </c>
      <c r="K1564" s="7">
        <f t="shared" si="98"/>
        <v>46054</v>
      </c>
      <c r="L1564" t="str">
        <f t="shared" si="99"/>
        <v>Q1-2026</v>
      </c>
    </row>
    <row r="1565" spans="1:12">
      <c r="A1565" s="6">
        <v>46069</v>
      </c>
      <c r="B1565" t="s">
        <v>14</v>
      </c>
      <c r="C1565" t="s">
        <v>15</v>
      </c>
      <c r="D1565" s="2">
        <v>889.1932346170704</v>
      </c>
      <c r="E1565" s="2">
        <v>914.37668907281477</v>
      </c>
      <c r="F1565" s="2">
        <v>887.42247325329379</v>
      </c>
      <c r="G1565" s="2">
        <v>910.73687744140625</v>
      </c>
      <c r="H1565" s="3">
        <v>18806989</v>
      </c>
      <c r="I1565" s="4">
        <f t="shared" si="96"/>
        <v>-0.2</v>
      </c>
      <c r="J1565" s="2">
        <f t="shared" si="97"/>
        <v>3.64</v>
      </c>
      <c r="K1565" s="7">
        <f t="shared" si="98"/>
        <v>46054</v>
      </c>
      <c r="L1565" t="str">
        <f t="shared" si="99"/>
        <v>Q1-2026</v>
      </c>
    </row>
    <row r="1566" spans="1:12">
      <c r="A1566" s="6">
        <v>46069</v>
      </c>
      <c r="B1566" t="s">
        <v>16</v>
      </c>
      <c r="C1566" t="s">
        <v>17</v>
      </c>
      <c r="D1566" s="2">
        <v>1392.262510672289</v>
      </c>
      <c r="E1566" s="2">
        <v>1402.1789103209519</v>
      </c>
      <c r="F1566" s="2">
        <v>1388.791770795257</v>
      </c>
      <c r="G1566" s="2">
        <v>1399.798950195312</v>
      </c>
      <c r="H1566" s="3">
        <v>5000042</v>
      </c>
      <c r="I1566" s="4">
        <f t="shared" si="96"/>
        <v>-0.25</v>
      </c>
      <c r="J1566" s="2">
        <f t="shared" si="97"/>
        <v>2.38</v>
      </c>
      <c r="K1566" s="7">
        <f t="shared" si="98"/>
        <v>46054</v>
      </c>
      <c r="L1566" t="str">
        <f t="shared" si="99"/>
        <v>Q1-2026</v>
      </c>
    </row>
    <row r="1567" spans="1:12">
      <c r="A1567" s="6">
        <v>46069</v>
      </c>
      <c r="B1567" t="s">
        <v>18</v>
      </c>
      <c r="C1567" t="s">
        <v>19</v>
      </c>
      <c r="D1567" s="2">
        <v>212.196541903493</v>
      </c>
      <c r="E1567" s="2">
        <v>214.46069205360621</v>
      </c>
      <c r="F1567" s="2">
        <v>207.73747350293789</v>
      </c>
      <c r="G1567" s="2">
        <v>210.8518981933594</v>
      </c>
      <c r="H1567" s="3">
        <v>20754327</v>
      </c>
      <c r="I1567" s="4">
        <f t="shared" si="96"/>
        <v>-2.1</v>
      </c>
      <c r="J1567" s="2">
        <f t="shared" si="97"/>
        <v>3.61</v>
      </c>
      <c r="K1567" s="7">
        <f t="shared" si="98"/>
        <v>46054</v>
      </c>
      <c r="L1567" t="str">
        <f t="shared" si="99"/>
        <v>Q1-2026</v>
      </c>
    </row>
    <row r="1568" spans="1:12">
      <c r="A1568" s="6">
        <v>46069</v>
      </c>
      <c r="B1568" t="s">
        <v>20</v>
      </c>
      <c r="C1568" t="s">
        <v>21</v>
      </c>
      <c r="D1568" s="2">
        <v>1409.451272872413</v>
      </c>
      <c r="E1568" s="2">
        <v>1424.8949432094989</v>
      </c>
      <c r="F1568" s="2">
        <v>1405.274760334323</v>
      </c>
      <c r="G1568" s="2">
        <v>1419.84423828125</v>
      </c>
      <c r="H1568" s="3">
        <v>2388700</v>
      </c>
      <c r="I1568" s="4">
        <f t="shared" si="96"/>
        <v>-0.3</v>
      </c>
      <c r="J1568" s="2">
        <f t="shared" si="97"/>
        <v>5.05</v>
      </c>
      <c r="K1568" s="7">
        <f t="shared" si="98"/>
        <v>46054</v>
      </c>
      <c r="L1568" t="str">
        <f t="shared" si="99"/>
        <v>Q1-2026</v>
      </c>
    </row>
    <row r="1569" spans="1:12">
      <c r="A1569" s="6">
        <v>46069</v>
      </c>
      <c r="B1569" t="s">
        <v>22</v>
      </c>
      <c r="C1569" t="s">
        <v>23</v>
      </c>
      <c r="D1569" s="2">
        <v>1016.799497305203</v>
      </c>
      <c r="E1569" s="2">
        <v>1023.011372574742</v>
      </c>
      <c r="F1569" s="2">
        <v>997.17016314617479</v>
      </c>
      <c r="G1569" s="2">
        <v>1006.562438964844</v>
      </c>
      <c r="H1569" s="3">
        <v>4460636</v>
      </c>
      <c r="I1569" s="4">
        <f t="shared" si="96"/>
        <v>-1.93</v>
      </c>
      <c r="J1569" s="2">
        <f t="shared" si="97"/>
        <v>16.45</v>
      </c>
      <c r="K1569" s="7">
        <f t="shared" si="98"/>
        <v>46054</v>
      </c>
      <c r="L1569" t="str">
        <f t="shared" si="99"/>
        <v>Q1-2026</v>
      </c>
    </row>
    <row r="1570" spans="1:12">
      <c r="A1570" s="6">
        <v>46069</v>
      </c>
      <c r="B1570" t="s">
        <v>24</v>
      </c>
      <c r="C1570" t="s">
        <v>25</v>
      </c>
      <c r="D1570" s="2">
        <v>15085.49528925871</v>
      </c>
      <c r="E1570" s="2">
        <v>15146.878810157439</v>
      </c>
      <c r="F1570" s="2">
        <v>14811.249558791769</v>
      </c>
      <c r="G1570" s="2">
        <v>14901.3447265625</v>
      </c>
      <c r="H1570" s="3">
        <v>210175</v>
      </c>
      <c r="I1570" s="4">
        <f t="shared" si="96"/>
        <v>-1.82</v>
      </c>
      <c r="J1570" s="2">
        <f t="shared" si="97"/>
        <v>245.53</v>
      </c>
      <c r="K1570" s="7">
        <f t="shared" si="98"/>
        <v>46054</v>
      </c>
      <c r="L1570" t="str">
        <f t="shared" si="99"/>
        <v>Q1-2026</v>
      </c>
    </row>
    <row r="1571" spans="1:12">
      <c r="A1571" s="6">
        <v>46069</v>
      </c>
      <c r="B1571" t="s">
        <v>26</v>
      </c>
      <c r="C1571" t="s">
        <v>27</v>
      </c>
      <c r="D1571" s="2">
        <v>375.18768124015247</v>
      </c>
      <c r="E1571" s="2">
        <v>376.47700418819011</v>
      </c>
      <c r="F1571" s="2">
        <v>372.01402607542138</v>
      </c>
      <c r="G1571" s="2">
        <v>374.14633178710938</v>
      </c>
      <c r="H1571" s="3">
        <v>5004467</v>
      </c>
      <c r="I1571" s="4">
        <f t="shared" si="96"/>
        <v>-0.85</v>
      </c>
      <c r="J1571" s="2">
        <f t="shared" si="97"/>
        <v>2.33</v>
      </c>
      <c r="K1571" s="7">
        <f t="shared" si="98"/>
        <v>46054</v>
      </c>
      <c r="L1571" t="str">
        <f t="shared" si="99"/>
        <v>Q1-2026</v>
      </c>
    </row>
    <row r="1572" spans="1:12">
      <c r="A1572" s="6">
        <v>46069</v>
      </c>
      <c r="B1572" t="s">
        <v>28</v>
      </c>
      <c r="C1572" t="s">
        <v>29</v>
      </c>
      <c r="D1572" s="2">
        <v>1693.0627735724561</v>
      </c>
      <c r="E1572" s="2">
        <v>1710.51702897011</v>
      </c>
      <c r="F1572" s="2">
        <v>1688.9735152295359</v>
      </c>
      <c r="G1572" s="2">
        <v>1696.054931640625</v>
      </c>
      <c r="H1572" s="3">
        <v>1247403</v>
      </c>
      <c r="I1572" s="4">
        <f t="shared" si="96"/>
        <v>-0.24</v>
      </c>
      <c r="J1572" s="2">
        <f t="shared" si="97"/>
        <v>14.46</v>
      </c>
      <c r="K1572" s="7">
        <f t="shared" si="98"/>
        <v>46054</v>
      </c>
      <c r="L1572" t="str">
        <f t="shared" si="99"/>
        <v>Q1-2026</v>
      </c>
    </row>
    <row r="1573" spans="1:12">
      <c r="A1573" s="6">
        <v>46069</v>
      </c>
      <c r="B1573" t="s">
        <v>30</v>
      </c>
      <c r="C1573" t="s">
        <v>31</v>
      </c>
      <c r="D1573" s="2">
        <v>2339.7008289395249</v>
      </c>
      <c r="E1573" s="2">
        <v>2384.413005156297</v>
      </c>
      <c r="F1573" s="2">
        <v>2336.5284016474061</v>
      </c>
      <c r="G1573" s="2">
        <v>2376.580810546875</v>
      </c>
      <c r="H1573" s="3">
        <v>683108</v>
      </c>
      <c r="I1573" s="4">
        <f t="shared" si="96"/>
        <v>-0.14000000000000001</v>
      </c>
      <c r="J1573" s="2">
        <f t="shared" si="97"/>
        <v>7.83</v>
      </c>
      <c r="K1573" s="7">
        <f t="shared" si="98"/>
        <v>46054</v>
      </c>
      <c r="L1573" t="str">
        <f t="shared" si="99"/>
        <v>Q1-2026</v>
      </c>
    </row>
    <row r="1574" spans="1:12">
      <c r="A1574" s="6">
        <v>46069</v>
      </c>
      <c r="B1574" t="s">
        <v>32</v>
      </c>
      <c r="C1574" t="s">
        <v>33</v>
      </c>
      <c r="D1574" s="2">
        <v>2284.8595085309048</v>
      </c>
      <c r="E1574" s="2">
        <v>2303.5691050619539</v>
      </c>
      <c r="F1574" s="2">
        <v>2265.0608913838319</v>
      </c>
      <c r="G1574" s="2">
        <v>2295.649658203125</v>
      </c>
      <c r="H1574" s="3">
        <v>2036833</v>
      </c>
      <c r="I1574" s="4">
        <f t="shared" si="96"/>
        <v>-0.87</v>
      </c>
      <c r="J1574" s="2">
        <f t="shared" si="97"/>
        <v>7.92</v>
      </c>
      <c r="K1574" s="7">
        <f t="shared" si="98"/>
        <v>46054</v>
      </c>
      <c r="L1574" t="str">
        <f t="shared" si="99"/>
        <v>Q1-2026</v>
      </c>
    </row>
    <row r="1575" spans="1:12">
      <c r="A1575" s="6">
        <v>46069</v>
      </c>
      <c r="B1575" t="s">
        <v>34</v>
      </c>
      <c r="C1575" t="s">
        <v>35</v>
      </c>
      <c r="D1575" s="2">
        <v>4129.6640708675477</v>
      </c>
      <c r="E1575" s="2">
        <v>4165.3158470189219</v>
      </c>
      <c r="F1575" s="2">
        <v>4095.299526542819</v>
      </c>
      <c r="G1575" s="2">
        <v>4160.859375</v>
      </c>
      <c r="H1575" s="3">
        <v>852552</v>
      </c>
      <c r="I1575" s="4">
        <f t="shared" si="96"/>
        <v>-0.83</v>
      </c>
      <c r="J1575" s="2">
        <f t="shared" si="97"/>
        <v>4.46</v>
      </c>
      <c r="K1575" s="7">
        <f t="shared" si="98"/>
        <v>46054</v>
      </c>
      <c r="L1575" t="str">
        <f t="shared" si="99"/>
        <v>Q1-2026</v>
      </c>
    </row>
    <row r="1576" spans="1:12">
      <c r="A1576" s="6">
        <v>46069</v>
      </c>
      <c r="B1576" t="s">
        <v>36</v>
      </c>
      <c r="C1576" t="s">
        <v>37</v>
      </c>
      <c r="D1576" s="2">
        <v>1322.979679872572</v>
      </c>
      <c r="E1576" s="2">
        <v>1360.850497218855</v>
      </c>
      <c r="F1576" s="2">
        <v>1322.979679872572</v>
      </c>
      <c r="G1576" s="2">
        <v>1357.253295898438</v>
      </c>
      <c r="H1576" s="3">
        <v>5082167</v>
      </c>
      <c r="I1576" s="4">
        <f t="shared" si="96"/>
        <v>0</v>
      </c>
      <c r="J1576" s="2">
        <f t="shared" si="97"/>
        <v>3.6</v>
      </c>
      <c r="K1576" s="7">
        <f t="shared" si="98"/>
        <v>46054</v>
      </c>
      <c r="L1576" t="str">
        <f t="shared" si="99"/>
        <v>Q1-2026</v>
      </c>
    </row>
    <row r="1577" spans="1:12">
      <c r="A1577" s="6">
        <v>46070</v>
      </c>
      <c r="B1577" t="s">
        <v>8</v>
      </c>
      <c r="C1577" t="s">
        <v>9</v>
      </c>
      <c r="D1577" s="2">
        <v>1424.513624806284</v>
      </c>
      <c r="E1577" s="2">
        <v>1425.210476101701</v>
      </c>
      <c r="F1577" s="2">
        <v>1412.0711535507121</v>
      </c>
      <c r="G1577" s="2">
        <v>1416.450927734375</v>
      </c>
      <c r="H1577" s="3">
        <v>10731630</v>
      </c>
      <c r="I1577" s="4">
        <f t="shared" si="96"/>
        <v>-0.87</v>
      </c>
      <c r="J1577" s="2">
        <f t="shared" si="97"/>
        <v>8.76</v>
      </c>
      <c r="K1577" s="7">
        <f t="shared" si="98"/>
        <v>46054</v>
      </c>
      <c r="L1577" t="str">
        <f t="shared" si="99"/>
        <v>Q1-2026</v>
      </c>
    </row>
    <row r="1578" spans="1:12">
      <c r="A1578" s="6">
        <v>46070</v>
      </c>
      <c r="B1578" t="s">
        <v>10</v>
      </c>
      <c r="C1578" t="s">
        <v>11</v>
      </c>
      <c r="D1578" s="2">
        <v>2665.053846962438</v>
      </c>
      <c r="E1578" s="2">
        <v>2708.2285042769981</v>
      </c>
      <c r="F1578" s="2">
        <v>2644.6439610469729</v>
      </c>
      <c r="G1578" s="2">
        <v>2666.427490234375</v>
      </c>
      <c r="H1578" s="3">
        <v>4209118</v>
      </c>
      <c r="I1578" s="4">
        <f t="shared" si="96"/>
        <v>-0.77</v>
      </c>
      <c r="J1578" s="2">
        <f t="shared" si="97"/>
        <v>41.8</v>
      </c>
      <c r="K1578" s="7">
        <f t="shared" si="98"/>
        <v>46054</v>
      </c>
      <c r="L1578" t="str">
        <f t="shared" si="99"/>
        <v>Q1-2026</v>
      </c>
    </row>
    <row r="1579" spans="1:12">
      <c r="A1579" s="6">
        <v>46070</v>
      </c>
      <c r="B1579" t="s">
        <v>12</v>
      </c>
      <c r="C1579" t="s">
        <v>13</v>
      </c>
      <c r="D1579" s="2">
        <v>1340.98199568121</v>
      </c>
      <c r="E1579" s="2">
        <v>1400.6899531531469</v>
      </c>
      <c r="F1579" s="2">
        <v>1338.04553875636</v>
      </c>
      <c r="G1579" s="2">
        <v>1361.73291015625</v>
      </c>
      <c r="H1579" s="3">
        <v>25347684</v>
      </c>
      <c r="I1579" s="4">
        <f t="shared" si="96"/>
        <v>-0.22</v>
      </c>
      <c r="J1579" s="2">
        <f t="shared" si="97"/>
        <v>38.96</v>
      </c>
      <c r="K1579" s="7">
        <f t="shared" si="98"/>
        <v>46054</v>
      </c>
      <c r="L1579" t="str">
        <f t="shared" si="99"/>
        <v>Q1-2026</v>
      </c>
    </row>
    <row r="1580" spans="1:12">
      <c r="A1580" s="6">
        <v>46070</v>
      </c>
      <c r="B1580" t="s">
        <v>14</v>
      </c>
      <c r="C1580" t="s">
        <v>15</v>
      </c>
      <c r="D1580" s="2">
        <v>907.98246773896108</v>
      </c>
      <c r="E1580" s="2">
        <v>912.99946494148321</v>
      </c>
      <c r="F1580" s="2">
        <v>903.6540332583628</v>
      </c>
      <c r="G1580" s="2">
        <v>910.6385498046875</v>
      </c>
      <c r="H1580" s="3">
        <v>22599629</v>
      </c>
      <c r="I1580" s="4">
        <f t="shared" si="96"/>
        <v>-0.48</v>
      </c>
      <c r="J1580" s="2">
        <f t="shared" si="97"/>
        <v>2.36</v>
      </c>
      <c r="K1580" s="7">
        <f t="shared" si="98"/>
        <v>46054</v>
      </c>
      <c r="L1580" t="str">
        <f t="shared" si="99"/>
        <v>Q1-2026</v>
      </c>
    </row>
    <row r="1581" spans="1:12">
      <c r="A1581" s="6">
        <v>46070</v>
      </c>
      <c r="B1581" t="s">
        <v>16</v>
      </c>
      <c r="C1581" t="s">
        <v>17</v>
      </c>
      <c r="D1581" s="2">
        <v>1394.444095969094</v>
      </c>
      <c r="E1581" s="2">
        <v>1401.7822560548041</v>
      </c>
      <c r="F1581" s="2">
        <v>1381.9494563906169</v>
      </c>
      <c r="G1581" s="2">
        <v>1395.733276367188</v>
      </c>
      <c r="H1581" s="3">
        <v>11756187</v>
      </c>
      <c r="I1581" s="4">
        <f t="shared" si="96"/>
        <v>-0.9</v>
      </c>
      <c r="J1581" s="2">
        <f t="shared" si="97"/>
        <v>6.05</v>
      </c>
      <c r="K1581" s="7">
        <f t="shared" si="98"/>
        <v>46054</v>
      </c>
      <c r="L1581" t="str">
        <f t="shared" si="99"/>
        <v>Q1-2026</v>
      </c>
    </row>
    <row r="1582" spans="1:12">
      <c r="A1582" s="6">
        <v>46070</v>
      </c>
      <c r="B1582" t="s">
        <v>18</v>
      </c>
      <c r="C1582" t="s">
        <v>19</v>
      </c>
      <c r="D1582" s="2">
        <v>210.85190209079789</v>
      </c>
      <c r="E1582" s="2">
        <v>216.91268809220369</v>
      </c>
      <c r="F1582" s="2">
        <v>209.8631939058503</v>
      </c>
      <c r="G1582" s="2">
        <v>213.25447082519531</v>
      </c>
      <c r="H1582" s="3">
        <v>26941553</v>
      </c>
      <c r="I1582" s="4">
        <f t="shared" si="96"/>
        <v>-0.47</v>
      </c>
      <c r="J1582" s="2">
        <f t="shared" si="97"/>
        <v>3.66</v>
      </c>
      <c r="K1582" s="7">
        <f t="shared" si="98"/>
        <v>46054</v>
      </c>
      <c r="L1582" t="str">
        <f t="shared" si="99"/>
        <v>Q1-2026</v>
      </c>
    </row>
    <row r="1583" spans="1:12">
      <c r="A1583" s="6">
        <v>46070</v>
      </c>
      <c r="B1583" t="s">
        <v>20</v>
      </c>
      <c r="C1583" t="s">
        <v>21</v>
      </c>
      <c r="D1583" s="2">
        <v>1421.9811114590241</v>
      </c>
      <c r="E1583" s="2">
        <v>1467.340707410161</v>
      </c>
      <c r="F1583" s="2">
        <v>1416.1533200186179</v>
      </c>
      <c r="G1583" s="2">
        <v>1440.047241210938</v>
      </c>
      <c r="H1583" s="3">
        <v>2840341</v>
      </c>
      <c r="I1583" s="4">
        <f t="shared" si="96"/>
        <v>-0.41</v>
      </c>
      <c r="J1583" s="2">
        <f t="shared" si="97"/>
        <v>27.29</v>
      </c>
      <c r="K1583" s="7">
        <f t="shared" si="98"/>
        <v>46054</v>
      </c>
      <c r="L1583" t="str">
        <f t="shared" si="99"/>
        <v>Q1-2026</v>
      </c>
    </row>
    <row r="1584" spans="1:12">
      <c r="A1584" s="6">
        <v>46070</v>
      </c>
      <c r="B1584" t="s">
        <v>22</v>
      </c>
      <c r="C1584" t="s">
        <v>23</v>
      </c>
      <c r="D1584" s="2">
        <v>1006.562447708012</v>
      </c>
      <c r="E1584" s="2">
        <v>1010.140428687987</v>
      </c>
      <c r="F1584" s="2">
        <v>997.86590718226967</v>
      </c>
      <c r="G1584" s="2">
        <v>1007.953918457031</v>
      </c>
      <c r="H1584" s="3">
        <v>2913899</v>
      </c>
      <c r="I1584" s="4">
        <f t="shared" si="96"/>
        <v>-0.86</v>
      </c>
      <c r="J1584" s="2">
        <f t="shared" si="97"/>
        <v>2.19</v>
      </c>
      <c r="K1584" s="7">
        <f t="shared" si="98"/>
        <v>46054</v>
      </c>
      <c r="L1584" t="str">
        <f t="shared" si="99"/>
        <v>Q1-2026</v>
      </c>
    </row>
    <row r="1585" spans="1:12">
      <c r="A1585" s="6">
        <v>46070</v>
      </c>
      <c r="B1585" t="s">
        <v>24</v>
      </c>
      <c r="C1585" t="s">
        <v>25</v>
      </c>
      <c r="D1585" s="2">
        <v>14881.54385826533</v>
      </c>
      <c r="E1585" s="2">
        <v>15059.754083432499</v>
      </c>
      <c r="F1585" s="2">
        <v>14811.249825004939</v>
      </c>
      <c r="G1585" s="2">
        <v>15028.072265625</v>
      </c>
      <c r="H1585" s="3">
        <v>166765</v>
      </c>
      <c r="I1585" s="4">
        <f t="shared" si="96"/>
        <v>-0.47</v>
      </c>
      <c r="J1585" s="2">
        <f t="shared" si="97"/>
        <v>31.68</v>
      </c>
      <c r="K1585" s="7">
        <f t="shared" si="98"/>
        <v>46054</v>
      </c>
      <c r="L1585" t="str">
        <f t="shared" si="99"/>
        <v>Q1-2026</v>
      </c>
    </row>
    <row r="1586" spans="1:12">
      <c r="A1586" s="6">
        <v>46070</v>
      </c>
      <c r="B1586" t="s">
        <v>26</v>
      </c>
      <c r="C1586" t="s">
        <v>27</v>
      </c>
      <c r="D1586" s="2">
        <v>373.00581933100278</v>
      </c>
      <c r="E1586" s="2">
        <v>380.44411659126013</v>
      </c>
      <c r="F1586" s="2">
        <v>370.47678010261001</v>
      </c>
      <c r="G1586" s="2">
        <v>379.70028686523438</v>
      </c>
      <c r="H1586" s="3">
        <v>7843059</v>
      </c>
      <c r="I1586" s="4">
        <f t="shared" si="96"/>
        <v>-0.68</v>
      </c>
      <c r="J1586" s="2">
        <f t="shared" si="97"/>
        <v>0.74</v>
      </c>
      <c r="K1586" s="7">
        <f t="shared" si="98"/>
        <v>46054</v>
      </c>
      <c r="L1586" t="str">
        <f t="shared" si="99"/>
        <v>Q1-2026</v>
      </c>
    </row>
    <row r="1587" spans="1:12">
      <c r="A1587" s="6">
        <v>46070</v>
      </c>
      <c r="B1587" t="s">
        <v>28</v>
      </c>
      <c r="C1587" t="s">
        <v>29</v>
      </c>
      <c r="D1587" s="2">
        <v>1691.566750836012</v>
      </c>
      <c r="E1587" s="2">
        <v>1714.5066301221141</v>
      </c>
      <c r="F1587" s="2">
        <v>1689.4722644688311</v>
      </c>
      <c r="G1587" s="2">
        <v>1712.611572265625</v>
      </c>
      <c r="H1587" s="3">
        <v>1053855</v>
      </c>
      <c r="I1587" s="4">
        <f t="shared" si="96"/>
        <v>-0.12</v>
      </c>
      <c r="J1587" s="2">
        <f t="shared" si="97"/>
        <v>1.9</v>
      </c>
      <c r="K1587" s="7">
        <f t="shared" si="98"/>
        <v>46054</v>
      </c>
      <c r="L1587" t="str">
        <f t="shared" si="99"/>
        <v>Q1-2026</v>
      </c>
    </row>
    <row r="1588" spans="1:12">
      <c r="A1588" s="6">
        <v>46070</v>
      </c>
      <c r="B1588" t="s">
        <v>30</v>
      </c>
      <c r="C1588" t="s">
        <v>31</v>
      </c>
      <c r="D1588" s="2">
        <v>2378.860904894932</v>
      </c>
      <c r="E1588" s="2">
        <v>2431.3057932292968</v>
      </c>
      <c r="F1588" s="2">
        <v>2378.860904894932</v>
      </c>
      <c r="G1588" s="2">
        <v>2416.434814453125</v>
      </c>
      <c r="H1588" s="3">
        <v>1004356</v>
      </c>
      <c r="I1588" s="4">
        <f t="shared" si="96"/>
        <v>0</v>
      </c>
      <c r="J1588" s="2">
        <f t="shared" si="97"/>
        <v>14.87</v>
      </c>
      <c r="K1588" s="7">
        <f t="shared" si="98"/>
        <v>46054</v>
      </c>
      <c r="L1588" t="str">
        <f t="shared" si="99"/>
        <v>Q1-2026</v>
      </c>
    </row>
    <row r="1589" spans="1:12">
      <c r="A1589" s="6">
        <v>46070</v>
      </c>
      <c r="B1589" t="s">
        <v>32</v>
      </c>
      <c r="C1589" t="s">
        <v>33</v>
      </c>
      <c r="D1589" s="2">
        <v>2286.047297375419</v>
      </c>
      <c r="E1589" s="2">
        <v>2302.579093779329</v>
      </c>
      <c r="F1589" s="2">
        <v>2280.2065605116368</v>
      </c>
      <c r="G1589" s="2">
        <v>2289.01708984375</v>
      </c>
      <c r="H1589" s="3">
        <v>1233244</v>
      </c>
      <c r="I1589" s="4">
        <f t="shared" si="96"/>
        <v>-0.26</v>
      </c>
      <c r="J1589" s="2">
        <f t="shared" si="97"/>
        <v>13.56</v>
      </c>
      <c r="K1589" s="7">
        <f t="shared" si="98"/>
        <v>46054</v>
      </c>
      <c r="L1589" t="str">
        <f t="shared" si="99"/>
        <v>Q1-2026</v>
      </c>
    </row>
    <row r="1590" spans="1:12">
      <c r="A1590" s="6">
        <v>46070</v>
      </c>
      <c r="B1590" t="s">
        <v>34</v>
      </c>
      <c r="C1590" t="s">
        <v>35</v>
      </c>
      <c r="D1590" s="2">
        <v>4169.3763446765579</v>
      </c>
      <c r="E1590" s="2">
        <v>4245.5324042245147</v>
      </c>
      <c r="F1590" s="2">
        <v>4149.5698020862874</v>
      </c>
      <c r="G1590" s="2">
        <v>4238.40185546875</v>
      </c>
      <c r="H1590" s="3">
        <v>1763048</v>
      </c>
      <c r="I1590" s="4">
        <f t="shared" si="96"/>
        <v>-0.48</v>
      </c>
      <c r="J1590" s="2">
        <f t="shared" si="97"/>
        <v>7.13</v>
      </c>
      <c r="K1590" s="7">
        <f t="shared" si="98"/>
        <v>46054</v>
      </c>
      <c r="L1590" t="str">
        <f t="shared" si="99"/>
        <v>Q1-2026</v>
      </c>
    </row>
    <row r="1591" spans="1:12">
      <c r="A1591" s="6">
        <v>46070</v>
      </c>
      <c r="B1591" t="s">
        <v>36</v>
      </c>
      <c r="C1591" t="s">
        <v>37</v>
      </c>
      <c r="D1591" s="2">
        <v>1357.253302622823</v>
      </c>
      <c r="E1591" s="2">
        <v>1359.8512745906489</v>
      </c>
      <c r="F1591" s="2">
        <v>1349.35936620131</v>
      </c>
      <c r="G1591" s="2">
        <v>1356.154052734375</v>
      </c>
      <c r="H1591" s="3">
        <v>4513065</v>
      </c>
      <c r="I1591" s="4">
        <f t="shared" si="96"/>
        <v>-0.57999999999999996</v>
      </c>
      <c r="J1591" s="2">
        <f t="shared" si="97"/>
        <v>3.7</v>
      </c>
      <c r="K1591" s="7">
        <f t="shared" si="98"/>
        <v>46054</v>
      </c>
      <c r="L1591" t="str">
        <f t="shared" si="99"/>
        <v>Q1-2026</v>
      </c>
    </row>
    <row r="1592" spans="1:12">
      <c r="A1592" s="6">
        <v>46071</v>
      </c>
      <c r="B1592" t="s">
        <v>8</v>
      </c>
      <c r="C1592" t="s">
        <v>9</v>
      </c>
      <c r="D1592" s="2">
        <v>1420.4325123887011</v>
      </c>
      <c r="E1592" s="2">
        <v>1435.4629932986811</v>
      </c>
      <c r="F1592" s="2">
        <v>1412.668361755422</v>
      </c>
      <c r="G1592" s="2">
        <v>1434.666748046875</v>
      </c>
      <c r="H1592" s="3">
        <v>5521096</v>
      </c>
      <c r="I1592" s="4">
        <f t="shared" si="96"/>
        <v>-0.55000000000000004</v>
      </c>
      <c r="J1592" s="2">
        <f t="shared" si="97"/>
        <v>0.8</v>
      </c>
      <c r="K1592" s="7">
        <f t="shared" si="98"/>
        <v>46054</v>
      </c>
      <c r="L1592" t="str">
        <f t="shared" si="99"/>
        <v>Q1-2026</v>
      </c>
    </row>
    <row r="1593" spans="1:12">
      <c r="A1593" s="6">
        <v>46071</v>
      </c>
      <c r="B1593" t="s">
        <v>10</v>
      </c>
      <c r="C1593" t="s">
        <v>11</v>
      </c>
      <c r="D1593" s="2">
        <v>2678.7913077273611</v>
      </c>
      <c r="E1593" s="2">
        <v>2678.7913077273611</v>
      </c>
      <c r="F1593" s="2">
        <v>2607.455044990576</v>
      </c>
      <c r="G1593" s="2">
        <v>2644.349609375</v>
      </c>
      <c r="H1593" s="3">
        <v>2950820</v>
      </c>
      <c r="I1593" s="4">
        <f t="shared" si="96"/>
        <v>-2.66</v>
      </c>
      <c r="J1593" s="2">
        <f t="shared" si="97"/>
        <v>34.44</v>
      </c>
      <c r="K1593" s="7">
        <f t="shared" si="98"/>
        <v>46054</v>
      </c>
      <c r="L1593" t="str">
        <f t="shared" si="99"/>
        <v>Q1-2026</v>
      </c>
    </row>
    <row r="1594" spans="1:12">
      <c r="A1594" s="6">
        <v>46071</v>
      </c>
      <c r="B1594" t="s">
        <v>12</v>
      </c>
      <c r="C1594" t="s">
        <v>13</v>
      </c>
      <c r="D1594" s="2">
        <v>1361.4392729027979</v>
      </c>
      <c r="E1594" s="2">
        <v>1371.325320193542</v>
      </c>
      <c r="F1594" s="2">
        <v>1316.805153615715</v>
      </c>
      <c r="G1594" s="2">
        <v>1344.603515625</v>
      </c>
      <c r="H1594" s="3">
        <v>20241373</v>
      </c>
      <c r="I1594" s="4">
        <f t="shared" si="96"/>
        <v>-3.28</v>
      </c>
      <c r="J1594" s="2">
        <f t="shared" si="97"/>
        <v>26.72</v>
      </c>
      <c r="K1594" s="7">
        <f t="shared" si="98"/>
        <v>46054</v>
      </c>
      <c r="L1594" t="str">
        <f t="shared" si="99"/>
        <v>Q1-2026</v>
      </c>
    </row>
    <row r="1595" spans="1:12">
      <c r="A1595" s="6">
        <v>46071</v>
      </c>
      <c r="B1595" t="s">
        <v>14</v>
      </c>
      <c r="C1595" t="s">
        <v>15</v>
      </c>
      <c r="D1595" s="2">
        <v>908.17925167288729</v>
      </c>
      <c r="E1595" s="2">
        <v>910.44181792619747</v>
      </c>
      <c r="F1595" s="2">
        <v>904.58861432765332</v>
      </c>
      <c r="G1595" s="2">
        <v>909.65484619140625</v>
      </c>
      <c r="H1595" s="3">
        <v>12738702</v>
      </c>
      <c r="I1595" s="4">
        <f t="shared" si="96"/>
        <v>-0.4</v>
      </c>
      <c r="J1595" s="2">
        <f t="shared" si="97"/>
        <v>0.79</v>
      </c>
      <c r="K1595" s="7">
        <f t="shared" si="98"/>
        <v>46054</v>
      </c>
      <c r="L1595" t="str">
        <f t="shared" si="99"/>
        <v>Q1-2026</v>
      </c>
    </row>
    <row r="1596" spans="1:12">
      <c r="A1596" s="6">
        <v>46071</v>
      </c>
      <c r="B1596" t="s">
        <v>16</v>
      </c>
      <c r="C1596" t="s">
        <v>17</v>
      </c>
      <c r="D1596" s="2">
        <v>1398.311508331635</v>
      </c>
      <c r="E1596" s="2">
        <v>1400.4931889124359</v>
      </c>
      <c r="F1596" s="2">
        <v>1387.20518900142</v>
      </c>
      <c r="G1596" s="2">
        <v>1396.427368164062</v>
      </c>
      <c r="H1596" s="3">
        <v>4758071</v>
      </c>
      <c r="I1596" s="4">
        <f t="shared" si="96"/>
        <v>-0.79</v>
      </c>
      <c r="J1596" s="2">
        <f t="shared" si="97"/>
        <v>4.07</v>
      </c>
      <c r="K1596" s="7">
        <f t="shared" si="98"/>
        <v>46054</v>
      </c>
      <c r="L1596" t="str">
        <f t="shared" si="99"/>
        <v>Q1-2026</v>
      </c>
    </row>
    <row r="1597" spans="1:12">
      <c r="A1597" s="6">
        <v>46071</v>
      </c>
      <c r="B1597" t="s">
        <v>18</v>
      </c>
      <c r="C1597" t="s">
        <v>19</v>
      </c>
      <c r="D1597" s="2">
        <v>213.75871154399289</v>
      </c>
      <c r="E1597" s="2">
        <v>213.9564501682872</v>
      </c>
      <c r="F1597" s="2">
        <v>207.8857823748628</v>
      </c>
      <c r="G1597" s="2">
        <v>209.55670166015619</v>
      </c>
      <c r="H1597" s="3">
        <v>22679760</v>
      </c>
      <c r="I1597" s="4">
        <f t="shared" si="96"/>
        <v>-2.75</v>
      </c>
      <c r="J1597" s="2">
        <f t="shared" si="97"/>
        <v>4.4000000000000004</v>
      </c>
      <c r="K1597" s="7">
        <f t="shared" si="98"/>
        <v>46054</v>
      </c>
      <c r="L1597" t="str">
        <f t="shared" si="99"/>
        <v>Q1-2026</v>
      </c>
    </row>
    <row r="1598" spans="1:12">
      <c r="A1598" s="6">
        <v>46071</v>
      </c>
      <c r="B1598" t="s">
        <v>20</v>
      </c>
      <c r="C1598" t="s">
        <v>21</v>
      </c>
      <c r="D1598" s="2">
        <v>1440.630010724775</v>
      </c>
      <c r="E1598" s="2">
        <v>1440.630010724775</v>
      </c>
      <c r="F1598" s="2">
        <v>1401.9723982655439</v>
      </c>
      <c r="G1598" s="2">
        <v>1425.089233398438</v>
      </c>
      <c r="H1598" s="3">
        <v>2036245</v>
      </c>
      <c r="I1598" s="4">
        <f t="shared" si="96"/>
        <v>-2.68</v>
      </c>
      <c r="J1598" s="2">
        <f t="shared" si="97"/>
        <v>15.54</v>
      </c>
      <c r="K1598" s="7">
        <f t="shared" si="98"/>
        <v>46054</v>
      </c>
      <c r="L1598" t="str">
        <f t="shared" si="99"/>
        <v>Q1-2026</v>
      </c>
    </row>
    <row r="1599" spans="1:12">
      <c r="A1599" s="6">
        <v>46071</v>
      </c>
      <c r="B1599" t="s">
        <v>22</v>
      </c>
      <c r="C1599" t="s">
        <v>23</v>
      </c>
      <c r="D1599" s="2">
        <v>1008.3514361946239</v>
      </c>
      <c r="E1599" s="2">
        <v>1019.433277130915</v>
      </c>
      <c r="F1599" s="2">
        <v>1000.897258615941</v>
      </c>
      <c r="G1599" s="2">
        <v>1017.544921875</v>
      </c>
      <c r="H1599" s="3">
        <v>4929647</v>
      </c>
      <c r="I1599" s="4">
        <f t="shared" si="96"/>
        <v>-0.74</v>
      </c>
      <c r="J1599" s="2">
        <f t="shared" si="97"/>
        <v>1.89</v>
      </c>
      <c r="K1599" s="7">
        <f t="shared" si="98"/>
        <v>46054</v>
      </c>
      <c r="L1599" t="str">
        <f t="shared" si="99"/>
        <v>Q1-2026</v>
      </c>
    </row>
    <row r="1600" spans="1:12">
      <c r="A1600" s="6">
        <v>46071</v>
      </c>
      <c r="B1600" t="s">
        <v>24</v>
      </c>
      <c r="C1600" t="s">
        <v>25</v>
      </c>
      <c r="D1600" s="2">
        <v>15056.7841799451</v>
      </c>
      <c r="E1600" s="2">
        <v>15087.475941490229</v>
      </c>
      <c r="F1600" s="2">
        <v>14924.116565524229</v>
      </c>
      <c r="G1600" s="2">
        <v>15013.2216796875</v>
      </c>
      <c r="H1600" s="3">
        <v>280772</v>
      </c>
      <c r="I1600" s="4">
        <f t="shared" si="96"/>
        <v>-0.88</v>
      </c>
      <c r="J1600" s="2">
        <f t="shared" si="97"/>
        <v>74.25</v>
      </c>
      <c r="K1600" s="7">
        <f t="shared" si="98"/>
        <v>46054</v>
      </c>
      <c r="L1600" t="str">
        <f t="shared" si="99"/>
        <v>Q1-2026</v>
      </c>
    </row>
    <row r="1601" spans="1:12">
      <c r="A1601" s="6">
        <v>46071</v>
      </c>
      <c r="B1601" t="s">
        <v>26</v>
      </c>
      <c r="C1601" t="s">
        <v>27</v>
      </c>
      <c r="D1601" s="2">
        <v>379.70028686523438</v>
      </c>
      <c r="E1601" s="2">
        <v>382.32847917722353</v>
      </c>
      <c r="F1601" s="2">
        <v>375.88195488500048</v>
      </c>
      <c r="G1601" s="2">
        <v>379.70028686523438</v>
      </c>
      <c r="H1601" s="3">
        <v>4796850</v>
      </c>
      <c r="I1601" s="4">
        <f t="shared" si="96"/>
        <v>-1.01</v>
      </c>
      <c r="J1601" s="2">
        <f t="shared" si="97"/>
        <v>2.63</v>
      </c>
      <c r="K1601" s="7">
        <f t="shared" si="98"/>
        <v>46054</v>
      </c>
      <c r="L1601" t="str">
        <f t="shared" si="99"/>
        <v>Q1-2026</v>
      </c>
    </row>
    <row r="1602" spans="1:12">
      <c r="A1602" s="6">
        <v>46071</v>
      </c>
      <c r="B1602" t="s">
        <v>28</v>
      </c>
      <c r="C1602" t="s">
        <v>29</v>
      </c>
      <c r="D1602" s="2">
        <v>1715.902912023826</v>
      </c>
      <c r="E1602" s="2">
        <v>1726.0762006020341</v>
      </c>
      <c r="F1602" s="2">
        <v>1712.6114894978759</v>
      </c>
      <c r="G1602" s="2">
        <v>1719.892456054688</v>
      </c>
      <c r="H1602" s="3">
        <v>1262429</v>
      </c>
      <c r="I1602" s="4">
        <f t="shared" ref="I1602:I1665" si="100">ROUND(((F1602-D1602)/D1602)*100, 2)</f>
        <v>-0.19</v>
      </c>
      <c r="J1602" s="2">
        <f t="shared" ref="J1602:J1665" si="101">ROUND(E1602-G1602, 2)</f>
        <v>6.18</v>
      </c>
      <c r="K1602" s="7">
        <f t="shared" ref="K1602:K1665" si="102">DATE(YEAR(A1602),MONTH(A1602),1)</f>
        <v>46054</v>
      </c>
      <c r="L1602" t="str">
        <f t="shared" ref="L1602:L1665" si="103">"Q"&amp;INT((MONTH(A1602)-1)/3)+1&amp;"-"&amp;YEAR(A1602)</f>
        <v>Q1-2026</v>
      </c>
    </row>
    <row r="1603" spans="1:12">
      <c r="A1603" s="6">
        <v>46071</v>
      </c>
      <c r="B1603" t="s">
        <v>30</v>
      </c>
      <c r="C1603" t="s">
        <v>31</v>
      </c>
      <c r="D1603" s="2">
        <v>2419.0126162907768</v>
      </c>
      <c r="E1603" s="2">
        <v>2427.1420365111599</v>
      </c>
      <c r="F1603" s="2">
        <v>2395.71474887978</v>
      </c>
      <c r="G1603" s="2">
        <v>2411.1806640625</v>
      </c>
      <c r="H1603" s="3">
        <v>551809</v>
      </c>
      <c r="I1603" s="4">
        <f t="shared" si="100"/>
        <v>-0.96</v>
      </c>
      <c r="J1603" s="2">
        <f t="shared" si="101"/>
        <v>15.96</v>
      </c>
      <c r="K1603" s="7">
        <f t="shared" si="102"/>
        <v>46054</v>
      </c>
      <c r="L1603" t="str">
        <f t="shared" si="103"/>
        <v>Q1-2026</v>
      </c>
    </row>
    <row r="1604" spans="1:12">
      <c r="A1604" s="6">
        <v>46071</v>
      </c>
      <c r="B1604" t="s">
        <v>32</v>
      </c>
      <c r="C1604" t="s">
        <v>33</v>
      </c>
      <c r="D1604" s="2">
        <v>2289.3143418344698</v>
      </c>
      <c r="E1604" s="2">
        <v>2305.4500224815529</v>
      </c>
      <c r="F1604" s="2">
        <v>2282.7807010907568</v>
      </c>
      <c r="G1604" s="2">
        <v>2300.1044921875</v>
      </c>
      <c r="H1604" s="3">
        <v>830787</v>
      </c>
      <c r="I1604" s="4">
        <f t="shared" si="100"/>
        <v>-0.28999999999999998</v>
      </c>
      <c r="J1604" s="2">
        <f t="shared" si="101"/>
        <v>5.35</v>
      </c>
      <c r="K1604" s="7">
        <f t="shared" si="102"/>
        <v>46054</v>
      </c>
      <c r="L1604" t="str">
        <f t="shared" si="103"/>
        <v>Q1-2026</v>
      </c>
    </row>
    <row r="1605" spans="1:12">
      <c r="A1605" s="6">
        <v>46071</v>
      </c>
      <c r="B1605" t="s">
        <v>34</v>
      </c>
      <c r="C1605" t="s">
        <v>35</v>
      </c>
      <c r="D1605" s="2">
        <v>4248.9986676927656</v>
      </c>
      <c r="E1605" s="2">
        <v>4293.0682261853253</v>
      </c>
      <c r="F1605" s="2">
        <v>4219.8831459845987</v>
      </c>
      <c r="G1605" s="2">
        <v>4284.05615234375</v>
      </c>
      <c r="H1605" s="3">
        <v>2042626</v>
      </c>
      <c r="I1605" s="4">
        <f t="shared" si="100"/>
        <v>-0.69</v>
      </c>
      <c r="J1605" s="2">
        <f t="shared" si="101"/>
        <v>9.01</v>
      </c>
      <c r="K1605" s="7">
        <f t="shared" si="102"/>
        <v>46054</v>
      </c>
      <c r="L1605" t="str">
        <f t="shared" si="103"/>
        <v>Q1-2026</v>
      </c>
    </row>
    <row r="1606" spans="1:12">
      <c r="A1606" s="6">
        <v>46071</v>
      </c>
      <c r="B1606" t="s">
        <v>36</v>
      </c>
      <c r="C1606" t="s">
        <v>37</v>
      </c>
      <c r="D1606" s="2">
        <v>1361.949631590556</v>
      </c>
      <c r="E1606" s="2">
        <v>1377.4376868287461</v>
      </c>
      <c r="F1606" s="2">
        <v>1352.7567701751591</v>
      </c>
      <c r="G1606" s="2">
        <v>1375.938842773438</v>
      </c>
      <c r="H1606" s="3">
        <v>5556076</v>
      </c>
      <c r="I1606" s="4">
        <f t="shared" si="100"/>
        <v>-0.67</v>
      </c>
      <c r="J1606" s="2">
        <f t="shared" si="101"/>
        <v>1.5</v>
      </c>
      <c r="K1606" s="7">
        <f t="shared" si="102"/>
        <v>46054</v>
      </c>
      <c r="L1606" t="str">
        <f t="shared" si="103"/>
        <v>Q1-2026</v>
      </c>
    </row>
    <row r="1607" spans="1:12">
      <c r="A1607" s="6">
        <v>46072</v>
      </c>
      <c r="B1607" t="s">
        <v>8</v>
      </c>
      <c r="C1607" t="s">
        <v>9</v>
      </c>
      <c r="D1607" s="2">
        <v>1436.3588845536151</v>
      </c>
      <c r="E1607" s="2">
        <v>1436.3588845536151</v>
      </c>
      <c r="F1607" s="2">
        <v>1393.5567833507009</v>
      </c>
      <c r="G1607" s="2">
        <v>1403.013061523438</v>
      </c>
      <c r="H1607" s="3">
        <v>11884664</v>
      </c>
      <c r="I1607" s="4">
        <f t="shared" si="100"/>
        <v>-2.98</v>
      </c>
      <c r="J1607" s="2">
        <f t="shared" si="101"/>
        <v>33.35</v>
      </c>
      <c r="K1607" s="7">
        <f t="shared" si="102"/>
        <v>46054</v>
      </c>
      <c r="L1607" t="str">
        <f t="shared" si="103"/>
        <v>Q1-2026</v>
      </c>
    </row>
    <row r="1608" spans="1:12">
      <c r="A1608" s="6">
        <v>46072</v>
      </c>
      <c r="B1608" t="s">
        <v>10</v>
      </c>
      <c r="C1608" t="s">
        <v>11</v>
      </c>
      <c r="D1608" s="2">
        <v>2657.2039438116431</v>
      </c>
      <c r="E1608" s="2">
        <v>2697.1404544345551</v>
      </c>
      <c r="F1608" s="2">
        <v>2616.5806115438331</v>
      </c>
      <c r="G1608" s="2">
        <v>2627.66845703125</v>
      </c>
      <c r="H1608" s="3">
        <v>3238849</v>
      </c>
      <c r="I1608" s="4">
        <f t="shared" si="100"/>
        <v>-1.53</v>
      </c>
      <c r="J1608" s="2">
        <f t="shared" si="101"/>
        <v>69.47</v>
      </c>
      <c r="K1608" s="7">
        <f t="shared" si="102"/>
        <v>46054</v>
      </c>
      <c r="L1608" t="str">
        <f t="shared" si="103"/>
        <v>Q1-2026</v>
      </c>
    </row>
    <row r="1609" spans="1:12">
      <c r="A1609" s="6">
        <v>46072</v>
      </c>
      <c r="B1609" t="s">
        <v>12</v>
      </c>
      <c r="C1609" t="s">
        <v>13</v>
      </c>
      <c r="D1609" s="2">
        <v>1355.6643110050511</v>
      </c>
      <c r="E1609" s="2">
        <v>1372.304233956015</v>
      </c>
      <c r="F1609" s="2">
        <v>1334.326009074035</v>
      </c>
      <c r="G1609" s="2">
        <v>1341.471435546875</v>
      </c>
      <c r="H1609" s="3">
        <v>14574228</v>
      </c>
      <c r="I1609" s="4">
        <f t="shared" si="100"/>
        <v>-1.57</v>
      </c>
      <c r="J1609" s="2">
        <f t="shared" si="101"/>
        <v>30.83</v>
      </c>
      <c r="K1609" s="7">
        <f t="shared" si="102"/>
        <v>46054</v>
      </c>
      <c r="L1609" t="str">
        <f t="shared" si="103"/>
        <v>Q1-2026</v>
      </c>
    </row>
    <row r="1610" spans="1:12">
      <c r="A1610" s="6">
        <v>46072</v>
      </c>
      <c r="B1610" t="s">
        <v>14</v>
      </c>
      <c r="C1610" t="s">
        <v>15</v>
      </c>
      <c r="D1610" s="2">
        <v>913.88488273263658</v>
      </c>
      <c r="E1610" s="2">
        <v>914.0816406792112</v>
      </c>
      <c r="F1610" s="2">
        <v>897.60416835868193</v>
      </c>
      <c r="G1610" s="2">
        <v>900.702880859375</v>
      </c>
      <c r="H1610" s="3">
        <v>21209234</v>
      </c>
      <c r="I1610" s="4">
        <f t="shared" si="100"/>
        <v>-1.78</v>
      </c>
      <c r="J1610" s="2">
        <f t="shared" si="101"/>
        <v>13.38</v>
      </c>
      <c r="K1610" s="7">
        <f t="shared" si="102"/>
        <v>46054</v>
      </c>
      <c r="L1610" t="str">
        <f t="shared" si="103"/>
        <v>Q1-2026</v>
      </c>
    </row>
    <row r="1611" spans="1:12">
      <c r="A1611" s="6">
        <v>46072</v>
      </c>
      <c r="B1611" t="s">
        <v>16</v>
      </c>
      <c r="C1611" t="s">
        <v>17</v>
      </c>
      <c r="D1611" s="2">
        <v>1396.724957084657</v>
      </c>
      <c r="E1611" s="2">
        <v>1400.493237550673</v>
      </c>
      <c r="F1611" s="2">
        <v>1373.2231372171059</v>
      </c>
      <c r="G1611" s="2">
        <v>1377.189697265625</v>
      </c>
      <c r="H1611" s="3">
        <v>14323091</v>
      </c>
      <c r="I1611" s="4">
        <f t="shared" si="100"/>
        <v>-1.68</v>
      </c>
      <c r="J1611" s="2">
        <f t="shared" si="101"/>
        <v>23.3</v>
      </c>
      <c r="K1611" s="7">
        <f t="shared" si="102"/>
        <v>46054</v>
      </c>
      <c r="L1611" t="str">
        <f t="shared" si="103"/>
        <v>Q1-2026</v>
      </c>
    </row>
    <row r="1612" spans="1:12">
      <c r="A1612" s="6">
        <v>46072</v>
      </c>
      <c r="B1612" t="s">
        <v>18</v>
      </c>
      <c r="C1612" t="s">
        <v>19</v>
      </c>
      <c r="D1612" s="2">
        <v>211.58354712325851</v>
      </c>
      <c r="E1612" s="2">
        <v>213.00728929344021</v>
      </c>
      <c r="F1612" s="2">
        <v>208.02419169780421</v>
      </c>
      <c r="G1612" s="2">
        <v>208.82505798339841</v>
      </c>
      <c r="H1612" s="3">
        <v>14151588</v>
      </c>
      <c r="I1612" s="4">
        <f t="shared" si="100"/>
        <v>-1.68</v>
      </c>
      <c r="J1612" s="2">
        <f t="shared" si="101"/>
        <v>4.18</v>
      </c>
      <c r="K1612" s="7">
        <f t="shared" si="102"/>
        <v>46054</v>
      </c>
      <c r="L1612" t="str">
        <f t="shared" si="103"/>
        <v>Q1-2026</v>
      </c>
    </row>
    <row r="1613" spans="1:12">
      <c r="A1613" s="6">
        <v>46072</v>
      </c>
      <c r="B1613" t="s">
        <v>20</v>
      </c>
      <c r="C1613" t="s">
        <v>21</v>
      </c>
      <c r="D1613" s="2">
        <v>1427.80878911285</v>
      </c>
      <c r="E1613" s="2">
        <v>1458.6961287121801</v>
      </c>
      <c r="F1613" s="2">
        <v>1401.583729720981</v>
      </c>
      <c r="G1613" s="2">
        <v>1408.771362304688</v>
      </c>
      <c r="H1613" s="3">
        <v>2397127</v>
      </c>
      <c r="I1613" s="4">
        <f t="shared" si="100"/>
        <v>-1.84</v>
      </c>
      <c r="J1613" s="2">
        <f t="shared" si="101"/>
        <v>49.92</v>
      </c>
      <c r="K1613" s="7">
        <f t="shared" si="102"/>
        <v>46054</v>
      </c>
      <c r="L1613" t="str">
        <f t="shared" si="103"/>
        <v>Q1-2026</v>
      </c>
    </row>
    <row r="1614" spans="1:12">
      <c r="A1614" s="6">
        <v>46072</v>
      </c>
      <c r="B1614" t="s">
        <v>22</v>
      </c>
      <c r="C1614" t="s">
        <v>23</v>
      </c>
      <c r="D1614" s="2">
        <v>1017.743731796499</v>
      </c>
      <c r="E1614" s="2">
        <v>1018.24067697804</v>
      </c>
      <c r="F1614" s="2">
        <v>1000.847595624096</v>
      </c>
      <c r="G1614" s="2">
        <v>1010.836181640625</v>
      </c>
      <c r="H1614" s="3">
        <v>9866245</v>
      </c>
      <c r="I1614" s="4">
        <f t="shared" si="100"/>
        <v>-1.66</v>
      </c>
      <c r="J1614" s="2">
        <f t="shared" si="101"/>
        <v>7.4</v>
      </c>
      <c r="K1614" s="7">
        <f t="shared" si="102"/>
        <v>46054</v>
      </c>
      <c r="L1614" t="str">
        <f t="shared" si="103"/>
        <v>Q1-2026</v>
      </c>
    </row>
    <row r="1615" spans="1:12">
      <c r="A1615" s="6">
        <v>46072</v>
      </c>
      <c r="B1615" t="s">
        <v>24</v>
      </c>
      <c r="C1615" t="s">
        <v>25</v>
      </c>
      <c r="D1615" s="2">
        <v>15012.231172781911</v>
      </c>
      <c r="E1615" s="2">
        <v>15127.07776092691</v>
      </c>
      <c r="F1615" s="2">
        <v>14705.31356653233</v>
      </c>
      <c r="G1615" s="2">
        <v>14754.81640625</v>
      </c>
      <c r="H1615" s="3">
        <v>152788</v>
      </c>
      <c r="I1615" s="4">
        <f t="shared" si="100"/>
        <v>-2.04</v>
      </c>
      <c r="J1615" s="2">
        <f t="shared" si="101"/>
        <v>372.26</v>
      </c>
      <c r="K1615" s="7">
        <f t="shared" si="102"/>
        <v>46054</v>
      </c>
      <c r="L1615" t="str">
        <f t="shared" si="103"/>
        <v>Q1-2026</v>
      </c>
    </row>
    <row r="1616" spans="1:12">
      <c r="A1616" s="6">
        <v>46072</v>
      </c>
      <c r="B1616" t="s">
        <v>26</v>
      </c>
      <c r="C1616" t="s">
        <v>27</v>
      </c>
      <c r="D1616" s="2">
        <v>378.80768112824882</v>
      </c>
      <c r="E1616" s="2">
        <v>383.61775560532919</v>
      </c>
      <c r="F1616" s="2">
        <v>370.92307426127888</v>
      </c>
      <c r="G1616" s="2">
        <v>372.60910034179688</v>
      </c>
      <c r="H1616" s="3">
        <v>6910527</v>
      </c>
      <c r="I1616" s="4">
        <f t="shared" si="100"/>
        <v>-2.08</v>
      </c>
      <c r="J1616" s="2">
        <f t="shared" si="101"/>
        <v>11.01</v>
      </c>
      <c r="K1616" s="7">
        <f t="shared" si="102"/>
        <v>46054</v>
      </c>
      <c r="L1616" t="str">
        <f t="shared" si="103"/>
        <v>Q1-2026</v>
      </c>
    </row>
    <row r="1617" spans="1:12">
      <c r="A1617" s="6">
        <v>46072</v>
      </c>
      <c r="B1617" t="s">
        <v>28</v>
      </c>
      <c r="C1617" t="s">
        <v>29</v>
      </c>
      <c r="D1617" s="2">
        <v>1717.698188746426</v>
      </c>
      <c r="E1617" s="2">
        <v>1722.48569043713</v>
      </c>
      <c r="F1617" s="2">
        <v>1705.530127763458</v>
      </c>
      <c r="G1617" s="2">
        <v>1708.921264648438</v>
      </c>
      <c r="H1617" s="3">
        <v>1143429</v>
      </c>
      <c r="I1617" s="4">
        <f t="shared" si="100"/>
        <v>-0.71</v>
      </c>
      <c r="J1617" s="2">
        <f t="shared" si="101"/>
        <v>13.56</v>
      </c>
      <c r="K1617" s="7">
        <f t="shared" si="102"/>
        <v>46054</v>
      </c>
      <c r="L1617" t="str">
        <f t="shared" si="103"/>
        <v>Q1-2026</v>
      </c>
    </row>
    <row r="1618" spans="1:12">
      <c r="A1618" s="6">
        <v>46072</v>
      </c>
      <c r="B1618" t="s">
        <v>30</v>
      </c>
      <c r="C1618" t="s">
        <v>31</v>
      </c>
      <c r="D1618" s="2">
        <v>2399.1847078158048</v>
      </c>
      <c r="E1618" s="2">
        <v>2407.1158969325511</v>
      </c>
      <c r="F1618" s="2">
        <v>2370.5333839478321</v>
      </c>
      <c r="G1618" s="2">
        <v>2380.14990234375</v>
      </c>
      <c r="H1618" s="3">
        <v>971600</v>
      </c>
      <c r="I1618" s="4">
        <f t="shared" si="100"/>
        <v>-1.19</v>
      </c>
      <c r="J1618" s="2">
        <f t="shared" si="101"/>
        <v>26.97</v>
      </c>
      <c r="K1618" s="7">
        <f t="shared" si="102"/>
        <v>46054</v>
      </c>
      <c r="L1618" t="str">
        <f t="shared" si="103"/>
        <v>Q1-2026</v>
      </c>
    </row>
    <row r="1619" spans="1:12">
      <c r="A1619" s="6">
        <v>46072</v>
      </c>
      <c r="B1619" t="s">
        <v>32</v>
      </c>
      <c r="C1619" t="s">
        <v>33</v>
      </c>
      <c r="D1619" s="2">
        <v>2312.4783943638472</v>
      </c>
      <c r="E1619" s="2">
        <v>2313.8642008382221</v>
      </c>
      <c r="F1619" s="2">
        <v>2252.686669538672</v>
      </c>
      <c r="G1619" s="2">
        <v>2256.349365234375</v>
      </c>
      <c r="H1619" s="3">
        <v>940180</v>
      </c>
      <c r="I1619" s="4">
        <f t="shared" si="100"/>
        <v>-2.59</v>
      </c>
      <c r="J1619" s="2">
        <f t="shared" si="101"/>
        <v>57.51</v>
      </c>
      <c r="K1619" s="7">
        <f t="shared" si="102"/>
        <v>46054</v>
      </c>
      <c r="L1619" t="str">
        <f t="shared" si="103"/>
        <v>Q1-2026</v>
      </c>
    </row>
    <row r="1620" spans="1:12">
      <c r="A1620" s="6">
        <v>46072</v>
      </c>
      <c r="B1620" t="s">
        <v>34</v>
      </c>
      <c r="C1620" t="s">
        <v>35</v>
      </c>
      <c r="D1620" s="2">
        <v>4284.2542279896479</v>
      </c>
      <c r="E1620" s="2">
        <v>4292.0777154848292</v>
      </c>
      <c r="F1620" s="2">
        <v>4220.675033797088</v>
      </c>
      <c r="G1620" s="2">
        <v>4239.09521484375</v>
      </c>
      <c r="H1620" s="3">
        <v>2007080</v>
      </c>
      <c r="I1620" s="4">
        <f t="shared" si="100"/>
        <v>-1.48</v>
      </c>
      <c r="J1620" s="2">
        <f t="shared" si="101"/>
        <v>52.98</v>
      </c>
      <c r="K1620" s="7">
        <f t="shared" si="102"/>
        <v>46054</v>
      </c>
      <c r="L1620" t="str">
        <f t="shared" si="103"/>
        <v>Q1-2026</v>
      </c>
    </row>
    <row r="1621" spans="1:12">
      <c r="A1621" s="6">
        <v>46072</v>
      </c>
      <c r="B1621" t="s">
        <v>36</v>
      </c>
      <c r="C1621" t="s">
        <v>37</v>
      </c>
      <c r="D1621" s="2">
        <v>1380.035685472965</v>
      </c>
      <c r="E1621" s="2">
        <v>1381.734448620899</v>
      </c>
      <c r="F1621" s="2">
        <v>1349.9589052436161</v>
      </c>
      <c r="G1621" s="2">
        <v>1355.554565429688</v>
      </c>
      <c r="H1621" s="3">
        <v>2744704</v>
      </c>
      <c r="I1621" s="4">
        <f t="shared" si="100"/>
        <v>-2.1800000000000002</v>
      </c>
      <c r="J1621" s="2">
        <f t="shared" si="101"/>
        <v>26.18</v>
      </c>
      <c r="K1621" s="7">
        <f t="shared" si="102"/>
        <v>46054</v>
      </c>
      <c r="L1621" t="str">
        <f t="shared" si="103"/>
        <v>Q1-2026</v>
      </c>
    </row>
    <row r="1622" spans="1:12">
      <c r="A1622" s="6">
        <v>46073</v>
      </c>
      <c r="B1622" t="s">
        <v>8</v>
      </c>
      <c r="C1622" t="s">
        <v>9</v>
      </c>
      <c r="D1622" s="2">
        <v>1403.0130919418889</v>
      </c>
      <c r="E1622" s="2">
        <v>1420.830735502733</v>
      </c>
      <c r="F1622" s="2">
        <v>1399.6287153786741</v>
      </c>
      <c r="G1622" s="2">
        <v>1412.867553710938</v>
      </c>
      <c r="H1622" s="3">
        <v>8177670</v>
      </c>
      <c r="I1622" s="4">
        <f t="shared" si="100"/>
        <v>-0.24</v>
      </c>
      <c r="J1622" s="2">
        <f t="shared" si="101"/>
        <v>7.96</v>
      </c>
      <c r="K1622" s="7">
        <f t="shared" si="102"/>
        <v>46054</v>
      </c>
      <c r="L1622" t="str">
        <f t="shared" si="103"/>
        <v>Q1-2026</v>
      </c>
    </row>
    <row r="1623" spans="1:12">
      <c r="A1623" s="6">
        <v>46073</v>
      </c>
      <c r="B1623" t="s">
        <v>10</v>
      </c>
      <c r="C1623" t="s">
        <v>11</v>
      </c>
      <c r="D1623" s="2">
        <v>2616.9731842483761</v>
      </c>
      <c r="E1623" s="2">
        <v>2651.905505554349</v>
      </c>
      <c r="F1623" s="2">
        <v>2597.8389596166389</v>
      </c>
      <c r="G1623" s="2">
        <v>2635.81298828125</v>
      </c>
      <c r="H1623" s="3">
        <v>2293482</v>
      </c>
      <c r="I1623" s="4">
        <f t="shared" si="100"/>
        <v>-0.73</v>
      </c>
      <c r="J1623" s="2">
        <f t="shared" si="101"/>
        <v>16.09</v>
      </c>
      <c r="K1623" s="7">
        <f t="shared" si="102"/>
        <v>46054</v>
      </c>
      <c r="L1623" t="str">
        <f t="shared" si="103"/>
        <v>Q1-2026</v>
      </c>
    </row>
    <row r="1624" spans="1:12">
      <c r="A1624" s="6">
        <v>46073</v>
      </c>
      <c r="B1624" t="s">
        <v>12</v>
      </c>
      <c r="C1624" t="s">
        <v>13</v>
      </c>
      <c r="D1624" s="2">
        <v>1330.4106332686281</v>
      </c>
      <c r="E1624" s="2">
        <v>1336.0878308198501</v>
      </c>
      <c r="F1624" s="2">
        <v>1309.8554358713991</v>
      </c>
      <c r="G1624" s="2">
        <v>1324.537719726562</v>
      </c>
      <c r="H1624" s="3">
        <v>12633552</v>
      </c>
      <c r="I1624" s="4">
        <f t="shared" si="100"/>
        <v>-1.55</v>
      </c>
      <c r="J1624" s="2">
        <f t="shared" si="101"/>
        <v>11.55</v>
      </c>
      <c r="K1624" s="7">
        <f t="shared" si="102"/>
        <v>46054</v>
      </c>
      <c r="L1624" t="str">
        <f t="shared" si="103"/>
        <v>Q1-2026</v>
      </c>
    </row>
    <row r="1625" spans="1:12">
      <c r="A1625" s="6">
        <v>46073</v>
      </c>
      <c r="B1625" t="s">
        <v>14</v>
      </c>
      <c r="C1625" t="s">
        <v>15</v>
      </c>
      <c r="D1625" s="2">
        <v>896.17770879700129</v>
      </c>
      <c r="E1625" s="2">
        <v>902.91623286497145</v>
      </c>
      <c r="F1625" s="2">
        <v>893.62003573055381</v>
      </c>
      <c r="G1625" s="2">
        <v>897.01385498046875</v>
      </c>
      <c r="H1625" s="3">
        <v>22654907</v>
      </c>
      <c r="I1625" s="4">
        <f t="shared" si="100"/>
        <v>-0.28999999999999998</v>
      </c>
      <c r="J1625" s="2">
        <f t="shared" si="101"/>
        <v>5.9</v>
      </c>
      <c r="K1625" s="7">
        <f t="shared" si="102"/>
        <v>46054</v>
      </c>
      <c r="L1625" t="str">
        <f t="shared" si="103"/>
        <v>Q1-2026</v>
      </c>
    </row>
    <row r="1626" spans="1:12">
      <c r="A1626" s="6">
        <v>46073</v>
      </c>
      <c r="B1626" t="s">
        <v>16</v>
      </c>
      <c r="C1626" t="s">
        <v>17</v>
      </c>
      <c r="D1626" s="2">
        <v>1376.8920792080071</v>
      </c>
      <c r="E1626" s="2">
        <v>1391.964958122594</v>
      </c>
      <c r="F1626" s="2">
        <v>1372.4296994050289</v>
      </c>
      <c r="G1626" s="2">
        <v>1382.841918945312</v>
      </c>
      <c r="H1626" s="3">
        <v>10337877</v>
      </c>
      <c r="I1626" s="4">
        <f t="shared" si="100"/>
        <v>-0.32</v>
      </c>
      <c r="J1626" s="2">
        <f t="shared" si="101"/>
        <v>9.1199999999999992</v>
      </c>
      <c r="K1626" s="7">
        <f t="shared" si="102"/>
        <v>46054</v>
      </c>
      <c r="L1626" t="str">
        <f t="shared" si="103"/>
        <v>Q1-2026</v>
      </c>
    </row>
    <row r="1627" spans="1:12">
      <c r="A1627" s="6">
        <v>46073</v>
      </c>
      <c r="B1627" t="s">
        <v>18</v>
      </c>
      <c r="C1627" t="s">
        <v>19</v>
      </c>
      <c r="D1627" s="2">
        <v>207.33211373068801</v>
      </c>
      <c r="E1627" s="2">
        <v>209.56660399572439</v>
      </c>
      <c r="F1627" s="2">
        <v>205.8984898081454</v>
      </c>
      <c r="G1627" s="2">
        <v>207.49031066894531</v>
      </c>
      <c r="H1627" s="3">
        <v>17690420</v>
      </c>
      <c r="I1627" s="4">
        <f t="shared" si="100"/>
        <v>-0.69</v>
      </c>
      <c r="J1627" s="2">
        <f t="shared" si="101"/>
        <v>2.08</v>
      </c>
      <c r="K1627" s="7">
        <f t="shared" si="102"/>
        <v>46054</v>
      </c>
      <c r="L1627" t="str">
        <f t="shared" si="103"/>
        <v>Q1-2026</v>
      </c>
    </row>
    <row r="1628" spans="1:12">
      <c r="A1628" s="6">
        <v>46073</v>
      </c>
      <c r="B1628" t="s">
        <v>20</v>
      </c>
      <c r="C1628" t="s">
        <v>21</v>
      </c>
      <c r="D1628" s="2">
        <v>1401.5838264016541</v>
      </c>
      <c r="E1628" s="2">
        <v>1413.2394091575929</v>
      </c>
      <c r="F1628" s="2">
        <v>1389.9282436457149</v>
      </c>
      <c r="G1628" s="2">
        <v>1395.270385742188</v>
      </c>
      <c r="H1628" s="3">
        <v>2392491</v>
      </c>
      <c r="I1628" s="4">
        <f t="shared" si="100"/>
        <v>-0.83</v>
      </c>
      <c r="J1628" s="2">
        <f t="shared" si="101"/>
        <v>17.97</v>
      </c>
      <c r="K1628" s="7">
        <f t="shared" si="102"/>
        <v>46054</v>
      </c>
      <c r="L1628" t="str">
        <f t="shared" si="103"/>
        <v>Q1-2026</v>
      </c>
    </row>
    <row r="1629" spans="1:12">
      <c r="A1629" s="6">
        <v>46073</v>
      </c>
      <c r="B1629" t="s">
        <v>22</v>
      </c>
      <c r="C1629" t="s">
        <v>23</v>
      </c>
      <c r="D1629" s="2">
        <v>1009.693202901576</v>
      </c>
      <c r="E1629" s="2">
        <v>1030.266684047707</v>
      </c>
      <c r="F1629" s="2">
        <v>1002.586862830737</v>
      </c>
      <c r="G1629" s="2">
        <v>1023.90576171875</v>
      </c>
      <c r="H1629" s="3">
        <v>6922705</v>
      </c>
      <c r="I1629" s="4">
        <f t="shared" si="100"/>
        <v>-0.7</v>
      </c>
      <c r="J1629" s="2">
        <f t="shared" si="101"/>
        <v>6.36</v>
      </c>
      <c r="K1629" s="7">
        <f t="shared" si="102"/>
        <v>46054</v>
      </c>
      <c r="L1629" t="str">
        <f t="shared" si="103"/>
        <v>Q1-2026</v>
      </c>
    </row>
    <row r="1630" spans="1:12">
      <c r="A1630" s="6">
        <v>46073</v>
      </c>
      <c r="B1630" t="s">
        <v>24</v>
      </c>
      <c r="C1630" t="s">
        <v>25</v>
      </c>
      <c r="D1630" s="2">
        <v>14754.8168497034</v>
      </c>
      <c r="E1630" s="2">
        <v>14927.086737098451</v>
      </c>
      <c r="F1630" s="2">
        <v>14700.363724377379</v>
      </c>
      <c r="G1630" s="2">
        <v>14828.0810546875</v>
      </c>
      <c r="H1630" s="3">
        <v>515847</v>
      </c>
      <c r="I1630" s="4">
        <f t="shared" si="100"/>
        <v>-0.37</v>
      </c>
      <c r="J1630" s="2">
        <f t="shared" si="101"/>
        <v>99.01</v>
      </c>
      <c r="K1630" s="7">
        <f t="shared" si="102"/>
        <v>46054</v>
      </c>
      <c r="L1630" t="str">
        <f t="shared" si="103"/>
        <v>Q1-2026</v>
      </c>
    </row>
    <row r="1631" spans="1:12">
      <c r="A1631" s="6">
        <v>46073</v>
      </c>
      <c r="B1631" t="s">
        <v>26</v>
      </c>
      <c r="C1631" t="s">
        <v>27</v>
      </c>
      <c r="D1631" s="2">
        <v>372.60910160577902</v>
      </c>
      <c r="E1631" s="2">
        <v>376.57619332256559</v>
      </c>
      <c r="F1631" s="2">
        <v>371.41896198413991</v>
      </c>
      <c r="G1631" s="2">
        <v>374.89016723632813</v>
      </c>
      <c r="H1631" s="3">
        <v>6324165</v>
      </c>
      <c r="I1631" s="4">
        <f t="shared" si="100"/>
        <v>-0.32</v>
      </c>
      <c r="J1631" s="2">
        <f t="shared" si="101"/>
        <v>1.69</v>
      </c>
      <c r="K1631" s="7">
        <f t="shared" si="102"/>
        <v>46054</v>
      </c>
      <c r="L1631" t="str">
        <f t="shared" si="103"/>
        <v>Q1-2026</v>
      </c>
    </row>
    <row r="1632" spans="1:12">
      <c r="A1632" s="6">
        <v>46073</v>
      </c>
      <c r="B1632" t="s">
        <v>28</v>
      </c>
      <c r="C1632" t="s">
        <v>29</v>
      </c>
      <c r="D1632" s="2">
        <v>1705.629787443869</v>
      </c>
      <c r="E1632" s="2">
        <v>1722.4856353245029</v>
      </c>
      <c r="F1632" s="2">
        <v>1703.635015428438</v>
      </c>
      <c r="G1632" s="2">
        <v>1719.892456054688</v>
      </c>
      <c r="H1632" s="3">
        <v>1203988</v>
      </c>
      <c r="I1632" s="4">
        <f t="shared" si="100"/>
        <v>-0.12</v>
      </c>
      <c r="J1632" s="2">
        <f t="shared" si="101"/>
        <v>2.59</v>
      </c>
      <c r="K1632" s="7">
        <f t="shared" si="102"/>
        <v>46054</v>
      </c>
      <c r="L1632" t="str">
        <f t="shared" si="103"/>
        <v>Q1-2026</v>
      </c>
    </row>
    <row r="1633" spans="1:12">
      <c r="A1633" s="6">
        <v>46073</v>
      </c>
      <c r="B1633" t="s">
        <v>30</v>
      </c>
      <c r="C1633" t="s">
        <v>31</v>
      </c>
      <c r="D1633" s="2">
        <v>2357.7441514901502</v>
      </c>
      <c r="E1633" s="2">
        <v>2414.749572184016</v>
      </c>
      <c r="F1633" s="2">
        <v>2355.6623596109548</v>
      </c>
      <c r="G1633" s="2">
        <v>2407.215087890625</v>
      </c>
      <c r="H1633" s="3">
        <v>790329</v>
      </c>
      <c r="I1633" s="4">
        <f t="shared" si="100"/>
        <v>-0.09</v>
      </c>
      <c r="J1633" s="2">
        <f t="shared" si="101"/>
        <v>7.53</v>
      </c>
      <c r="K1633" s="7">
        <f t="shared" si="102"/>
        <v>46054</v>
      </c>
      <c r="L1633" t="str">
        <f t="shared" si="103"/>
        <v>Q1-2026</v>
      </c>
    </row>
    <row r="1634" spans="1:12">
      <c r="A1634" s="6">
        <v>46073</v>
      </c>
      <c r="B1634" t="s">
        <v>32</v>
      </c>
      <c r="C1634" t="s">
        <v>33</v>
      </c>
      <c r="D1634" s="2">
        <v>2261.9921068054318</v>
      </c>
      <c r="E1634" s="2">
        <v>2307.7268660551381</v>
      </c>
      <c r="F1634" s="2">
        <v>2255.3596181110061</v>
      </c>
      <c r="G1634" s="2">
        <v>2291.195068359375</v>
      </c>
      <c r="H1634" s="3">
        <v>1716316</v>
      </c>
      <c r="I1634" s="4">
        <f t="shared" si="100"/>
        <v>-0.28999999999999998</v>
      </c>
      <c r="J1634" s="2">
        <f t="shared" si="101"/>
        <v>16.53</v>
      </c>
      <c r="K1634" s="7">
        <f t="shared" si="102"/>
        <v>46054</v>
      </c>
      <c r="L1634" t="str">
        <f t="shared" si="103"/>
        <v>Q1-2026</v>
      </c>
    </row>
    <row r="1635" spans="1:12">
      <c r="A1635" s="6">
        <v>46073</v>
      </c>
      <c r="B1635" t="s">
        <v>34</v>
      </c>
      <c r="C1635" t="s">
        <v>35</v>
      </c>
      <c r="D1635" s="2">
        <v>4225.8249233816014</v>
      </c>
      <c r="E1635" s="2">
        <v>4347.5360289379587</v>
      </c>
      <c r="F1635" s="2">
        <v>4225.8249233816014</v>
      </c>
      <c r="G1635" s="2">
        <v>4338.22705078125</v>
      </c>
      <c r="H1635" s="3">
        <v>2542442</v>
      </c>
      <c r="I1635" s="4">
        <f t="shared" si="100"/>
        <v>0</v>
      </c>
      <c r="J1635" s="2">
        <f t="shared" si="101"/>
        <v>9.31</v>
      </c>
      <c r="K1635" s="7">
        <f t="shared" si="102"/>
        <v>46054</v>
      </c>
      <c r="L1635" t="str">
        <f t="shared" si="103"/>
        <v>Q1-2026</v>
      </c>
    </row>
    <row r="1636" spans="1:12">
      <c r="A1636" s="6">
        <v>46073</v>
      </c>
      <c r="B1636" t="s">
        <v>36</v>
      </c>
      <c r="C1636" t="s">
        <v>37</v>
      </c>
      <c r="D1636" s="2">
        <v>1349.9588884545201</v>
      </c>
      <c r="E1636" s="2">
        <v>1375.4392375704269</v>
      </c>
      <c r="F1636" s="2">
        <v>1349.9588884545201</v>
      </c>
      <c r="G1636" s="2">
        <v>1367.24560546875</v>
      </c>
      <c r="H1636" s="3">
        <v>3791536</v>
      </c>
      <c r="I1636" s="4">
        <f t="shared" si="100"/>
        <v>0</v>
      </c>
      <c r="J1636" s="2">
        <f t="shared" si="101"/>
        <v>8.19</v>
      </c>
      <c r="K1636" s="7">
        <f t="shared" si="102"/>
        <v>46054</v>
      </c>
      <c r="L1636" t="str">
        <f t="shared" si="103"/>
        <v>Q1-2026</v>
      </c>
    </row>
    <row r="1637" spans="1:12">
      <c r="A1637" s="6">
        <v>46076</v>
      </c>
      <c r="B1637" t="s">
        <v>8</v>
      </c>
      <c r="C1637" t="s">
        <v>9</v>
      </c>
      <c r="D1637" s="2">
        <v>1418.441663469587</v>
      </c>
      <c r="E1637" s="2">
        <v>1428.296124591182</v>
      </c>
      <c r="F1637" s="2">
        <v>1411.772547760535</v>
      </c>
      <c r="G1637" s="2">
        <v>1421.427856445312</v>
      </c>
      <c r="H1637" s="3">
        <v>7758856</v>
      </c>
      <c r="I1637" s="4">
        <f t="shared" si="100"/>
        <v>-0.47</v>
      </c>
      <c r="J1637" s="2">
        <f t="shared" si="101"/>
        <v>6.87</v>
      </c>
      <c r="K1637" s="7">
        <f t="shared" si="102"/>
        <v>46054</v>
      </c>
      <c r="L1637" t="str">
        <f t="shared" si="103"/>
        <v>Q1-2026</v>
      </c>
    </row>
    <row r="1638" spans="1:12">
      <c r="A1638" s="6">
        <v>46076</v>
      </c>
      <c r="B1638" t="s">
        <v>10</v>
      </c>
      <c r="C1638" t="s">
        <v>11</v>
      </c>
      <c r="D1638" s="2">
        <v>2635.6166345485021</v>
      </c>
      <c r="E1638" s="2">
        <v>2653.2789947204578</v>
      </c>
      <c r="F1638" s="2">
        <v>2610.3005370564811</v>
      </c>
      <c r="G1638" s="2">
        <v>2626.0986328125</v>
      </c>
      <c r="H1638" s="3">
        <v>4699596</v>
      </c>
      <c r="I1638" s="4">
        <f t="shared" si="100"/>
        <v>-0.96</v>
      </c>
      <c r="J1638" s="2">
        <f t="shared" si="101"/>
        <v>27.18</v>
      </c>
      <c r="K1638" s="7">
        <f t="shared" si="102"/>
        <v>46054</v>
      </c>
      <c r="L1638" t="str">
        <f t="shared" si="103"/>
        <v>Q1-2026</v>
      </c>
    </row>
    <row r="1639" spans="1:12">
      <c r="A1639" s="6">
        <v>46076</v>
      </c>
      <c r="B1639" t="s">
        <v>12</v>
      </c>
      <c r="C1639" t="s">
        <v>13</v>
      </c>
      <c r="D1639" s="2">
        <v>1323.363267272834</v>
      </c>
      <c r="E1639" s="2">
        <v>1323.363267272834</v>
      </c>
      <c r="F1639" s="2">
        <v>1290.0834217940801</v>
      </c>
      <c r="G1639" s="2">
        <v>1299.382202148438</v>
      </c>
      <c r="H1639" s="3">
        <v>12887826</v>
      </c>
      <c r="I1639" s="4">
        <f t="shared" si="100"/>
        <v>-2.5099999999999998</v>
      </c>
      <c r="J1639" s="2">
        <f t="shared" si="101"/>
        <v>23.98</v>
      </c>
      <c r="K1639" s="7">
        <f t="shared" si="102"/>
        <v>46054</v>
      </c>
      <c r="L1639" t="str">
        <f t="shared" si="103"/>
        <v>Q1-2026</v>
      </c>
    </row>
    <row r="1640" spans="1:12">
      <c r="A1640" s="6">
        <v>46076</v>
      </c>
      <c r="B1640" t="s">
        <v>14</v>
      </c>
      <c r="C1640" t="s">
        <v>15</v>
      </c>
      <c r="D1640" s="2">
        <v>901.58823627954621</v>
      </c>
      <c r="E1640" s="2">
        <v>910.58938671423186</v>
      </c>
      <c r="F1640" s="2">
        <v>900.35857420060529</v>
      </c>
      <c r="G1640" s="2">
        <v>908.57269287109375</v>
      </c>
      <c r="H1640" s="3">
        <v>23270122</v>
      </c>
      <c r="I1640" s="4">
        <f t="shared" si="100"/>
        <v>-0.14000000000000001</v>
      </c>
      <c r="J1640" s="2">
        <f t="shared" si="101"/>
        <v>2.02</v>
      </c>
      <c r="K1640" s="7">
        <f t="shared" si="102"/>
        <v>46054</v>
      </c>
      <c r="L1640" t="str">
        <f t="shared" si="103"/>
        <v>Q1-2026</v>
      </c>
    </row>
    <row r="1641" spans="1:12">
      <c r="A1641" s="6">
        <v>46076</v>
      </c>
      <c r="B1641" t="s">
        <v>16</v>
      </c>
      <c r="C1641" t="s">
        <v>17</v>
      </c>
      <c r="D1641" s="2">
        <v>1388.2960095988401</v>
      </c>
      <c r="E1641" s="2">
        <v>1396.5266700756699</v>
      </c>
      <c r="F1641" s="2">
        <v>1383.6353499865379</v>
      </c>
      <c r="G1641" s="2">
        <v>1387.701049804688</v>
      </c>
      <c r="H1641" s="3">
        <v>10728445</v>
      </c>
      <c r="I1641" s="4">
        <f t="shared" si="100"/>
        <v>-0.34</v>
      </c>
      <c r="J1641" s="2">
        <f t="shared" si="101"/>
        <v>8.83</v>
      </c>
      <c r="K1641" s="7">
        <f t="shared" si="102"/>
        <v>46054</v>
      </c>
      <c r="L1641" t="str">
        <f t="shared" si="103"/>
        <v>Q1-2026</v>
      </c>
    </row>
    <row r="1642" spans="1:12">
      <c r="A1642" s="6">
        <v>46076</v>
      </c>
      <c r="B1642" t="s">
        <v>18</v>
      </c>
      <c r="C1642" t="s">
        <v>19</v>
      </c>
      <c r="D1642" s="2">
        <v>207.98465123840501</v>
      </c>
      <c r="E1642" s="2">
        <v>209.34907334064059</v>
      </c>
      <c r="F1642" s="2">
        <v>201.973303754607</v>
      </c>
      <c r="G1642" s="2">
        <v>203.56512451171881</v>
      </c>
      <c r="H1642" s="3">
        <v>20946229</v>
      </c>
      <c r="I1642" s="4">
        <f t="shared" si="100"/>
        <v>-2.89</v>
      </c>
      <c r="J1642" s="2">
        <f t="shared" si="101"/>
        <v>5.78</v>
      </c>
      <c r="K1642" s="7">
        <f t="shared" si="102"/>
        <v>46054</v>
      </c>
      <c r="L1642" t="str">
        <f t="shared" si="103"/>
        <v>Q1-2026</v>
      </c>
    </row>
    <row r="1643" spans="1:12">
      <c r="A1643" s="6">
        <v>46076</v>
      </c>
      <c r="B1643" t="s">
        <v>20</v>
      </c>
      <c r="C1643" t="s">
        <v>21</v>
      </c>
      <c r="D1643" s="2">
        <v>1396.9214511058531</v>
      </c>
      <c r="E1643" s="2">
        <v>1400.223889709343</v>
      </c>
      <c r="F1643" s="2">
        <v>1374.8730226483151</v>
      </c>
      <c r="G1643" s="2">
        <v>1385.265869140625</v>
      </c>
      <c r="H1643" s="3">
        <v>2629763</v>
      </c>
      <c r="I1643" s="4">
        <f t="shared" si="100"/>
        <v>-1.58</v>
      </c>
      <c r="J1643" s="2">
        <f t="shared" si="101"/>
        <v>14.96</v>
      </c>
      <c r="K1643" s="7">
        <f t="shared" si="102"/>
        <v>46054</v>
      </c>
      <c r="L1643" t="str">
        <f t="shared" si="103"/>
        <v>Q1-2026</v>
      </c>
    </row>
    <row r="1644" spans="1:12">
      <c r="A1644" s="6">
        <v>46076</v>
      </c>
      <c r="B1644" t="s">
        <v>22</v>
      </c>
      <c r="C1644" t="s">
        <v>23</v>
      </c>
      <c r="D1644" s="2">
        <v>1026.142020179564</v>
      </c>
      <c r="E1644" s="2">
        <v>1039.609282648066</v>
      </c>
      <c r="F1644" s="2">
        <v>1022.762890125396</v>
      </c>
      <c r="G1644" s="2">
        <v>1024.700927734375</v>
      </c>
      <c r="H1644" s="3">
        <v>9452225</v>
      </c>
      <c r="I1644" s="4">
        <f t="shared" si="100"/>
        <v>-0.33</v>
      </c>
      <c r="J1644" s="2">
        <f t="shared" si="101"/>
        <v>14.91</v>
      </c>
      <c r="K1644" s="7">
        <f t="shared" si="102"/>
        <v>46054</v>
      </c>
      <c r="L1644" t="str">
        <f t="shared" si="103"/>
        <v>Q1-2026</v>
      </c>
    </row>
    <row r="1645" spans="1:12">
      <c r="A1645" s="6">
        <v>46076</v>
      </c>
      <c r="B1645" t="s">
        <v>24</v>
      </c>
      <c r="C1645" t="s">
        <v>25</v>
      </c>
      <c r="D1645" s="2">
        <v>14900.35546823165</v>
      </c>
      <c r="E1645" s="2">
        <v>14967.67933347018</v>
      </c>
      <c r="F1645" s="2">
        <v>14835.011716676619</v>
      </c>
      <c r="G1645" s="2">
        <v>14922.13671875</v>
      </c>
      <c r="H1645" s="3">
        <v>242968</v>
      </c>
      <c r="I1645" s="4">
        <f t="shared" si="100"/>
        <v>-0.44</v>
      </c>
      <c r="J1645" s="2">
        <f t="shared" si="101"/>
        <v>45.54</v>
      </c>
      <c r="K1645" s="7">
        <f t="shared" si="102"/>
        <v>46054</v>
      </c>
      <c r="L1645" t="str">
        <f t="shared" si="103"/>
        <v>Q1-2026</v>
      </c>
    </row>
    <row r="1646" spans="1:12">
      <c r="A1646" s="6">
        <v>46076</v>
      </c>
      <c r="B1646" t="s">
        <v>26</v>
      </c>
      <c r="C1646" t="s">
        <v>27</v>
      </c>
      <c r="D1646" s="2">
        <v>375.68359456901482</v>
      </c>
      <c r="E1646" s="2">
        <v>380.84082619703679</v>
      </c>
      <c r="F1646" s="2">
        <v>372.95621886057239</v>
      </c>
      <c r="G1646" s="2">
        <v>376.82415771484381</v>
      </c>
      <c r="H1646" s="3">
        <v>11701520</v>
      </c>
      <c r="I1646" s="4">
        <f t="shared" si="100"/>
        <v>-0.73</v>
      </c>
      <c r="J1646" s="2">
        <f t="shared" si="101"/>
        <v>4.0199999999999996</v>
      </c>
      <c r="K1646" s="7">
        <f t="shared" si="102"/>
        <v>46054</v>
      </c>
      <c r="L1646" t="str">
        <f t="shared" si="103"/>
        <v>Q1-2026</v>
      </c>
    </row>
    <row r="1647" spans="1:12">
      <c r="A1647" s="6">
        <v>46076</v>
      </c>
      <c r="B1647" t="s">
        <v>28</v>
      </c>
      <c r="C1647" t="s">
        <v>29</v>
      </c>
      <c r="D1647" s="2">
        <v>1728.370257847499</v>
      </c>
      <c r="E1647" s="2">
        <v>1731.2627016548049</v>
      </c>
      <c r="F1647" s="2">
        <v>1715.7033823468739</v>
      </c>
      <c r="G1647" s="2">
        <v>1727.771850585938</v>
      </c>
      <c r="H1647" s="3">
        <v>1550400</v>
      </c>
      <c r="I1647" s="4">
        <f t="shared" si="100"/>
        <v>-0.73</v>
      </c>
      <c r="J1647" s="2">
        <f t="shared" si="101"/>
        <v>3.49</v>
      </c>
      <c r="K1647" s="7">
        <f t="shared" si="102"/>
        <v>46054</v>
      </c>
      <c r="L1647" t="str">
        <f t="shared" si="103"/>
        <v>Q1-2026</v>
      </c>
    </row>
    <row r="1648" spans="1:12">
      <c r="A1648" s="6">
        <v>46076</v>
      </c>
      <c r="B1648" t="s">
        <v>30</v>
      </c>
      <c r="C1648" t="s">
        <v>31</v>
      </c>
      <c r="D1648" s="2">
        <v>2403.8442762441382</v>
      </c>
      <c r="E1648" s="2">
        <v>2425.556052066102</v>
      </c>
      <c r="F1648" s="2">
        <v>2390.7578623742979</v>
      </c>
      <c r="G1648" s="2">
        <v>2408.80126953125</v>
      </c>
      <c r="H1648" s="3">
        <v>634365</v>
      </c>
      <c r="I1648" s="4">
        <f t="shared" si="100"/>
        <v>-0.54</v>
      </c>
      <c r="J1648" s="2">
        <f t="shared" si="101"/>
        <v>16.75</v>
      </c>
      <c r="K1648" s="7">
        <f t="shared" si="102"/>
        <v>46054</v>
      </c>
      <c r="L1648" t="str">
        <f t="shared" si="103"/>
        <v>Q1-2026</v>
      </c>
    </row>
    <row r="1649" spans="1:12">
      <c r="A1649" s="6">
        <v>46076</v>
      </c>
      <c r="B1649" t="s">
        <v>32</v>
      </c>
      <c r="C1649" t="s">
        <v>33</v>
      </c>
      <c r="D1649" s="2">
        <v>2301.5891989784691</v>
      </c>
      <c r="E1649" s="2">
        <v>2326.3374699352271</v>
      </c>
      <c r="F1649" s="2">
        <v>2297.4315377941998</v>
      </c>
      <c r="G1649" s="2">
        <v>2321.78369140625</v>
      </c>
      <c r="H1649" s="3">
        <v>1300035</v>
      </c>
      <c r="I1649" s="4">
        <f t="shared" si="100"/>
        <v>-0.18</v>
      </c>
      <c r="J1649" s="2">
        <f t="shared" si="101"/>
        <v>4.55</v>
      </c>
      <c r="K1649" s="7">
        <f t="shared" si="102"/>
        <v>46054</v>
      </c>
      <c r="L1649" t="str">
        <f t="shared" si="103"/>
        <v>Q1-2026</v>
      </c>
    </row>
    <row r="1650" spans="1:12">
      <c r="A1650" s="6">
        <v>46076</v>
      </c>
      <c r="B1650" t="s">
        <v>34</v>
      </c>
      <c r="C1650" t="s">
        <v>35</v>
      </c>
      <c r="D1650" s="2">
        <v>4353.0818980594904</v>
      </c>
      <c r="E1650" s="2">
        <v>4388.7336736643056</v>
      </c>
      <c r="F1650" s="2">
        <v>4329.413177077925</v>
      </c>
      <c r="G1650" s="2">
        <v>4375.3642578125</v>
      </c>
      <c r="H1650" s="3">
        <v>2122782</v>
      </c>
      <c r="I1650" s="4">
        <f t="shared" si="100"/>
        <v>-0.54</v>
      </c>
      <c r="J1650" s="2">
        <f t="shared" si="101"/>
        <v>13.37</v>
      </c>
      <c r="K1650" s="7">
        <f t="shared" si="102"/>
        <v>46054</v>
      </c>
      <c r="L1650" t="str">
        <f t="shared" si="103"/>
        <v>Q1-2026</v>
      </c>
    </row>
    <row r="1651" spans="1:12">
      <c r="A1651" s="6">
        <v>46076</v>
      </c>
      <c r="B1651" t="s">
        <v>36</v>
      </c>
      <c r="C1651" t="s">
        <v>37</v>
      </c>
      <c r="D1651" s="2">
        <v>1379.4361742227841</v>
      </c>
      <c r="E1651" s="2">
        <v>1400.9196061284631</v>
      </c>
      <c r="F1651" s="2">
        <v>1379.136356614998</v>
      </c>
      <c r="G1651" s="2">
        <v>1385.63134765625</v>
      </c>
      <c r="H1651" s="3">
        <v>6160153</v>
      </c>
      <c r="I1651" s="4">
        <f t="shared" si="100"/>
        <v>-0.02</v>
      </c>
      <c r="J1651" s="2">
        <f t="shared" si="101"/>
        <v>15.29</v>
      </c>
      <c r="K1651" s="7">
        <f t="shared" si="102"/>
        <v>46054</v>
      </c>
      <c r="L1651" t="str">
        <f t="shared" si="103"/>
        <v>Q1-2026</v>
      </c>
    </row>
    <row r="1652" spans="1:12">
      <c r="A1652" s="6">
        <v>46077</v>
      </c>
      <c r="B1652" t="s">
        <v>8</v>
      </c>
      <c r="C1652" t="s">
        <v>9</v>
      </c>
      <c r="D1652" s="2">
        <v>1418.740351310086</v>
      </c>
      <c r="E1652" s="2">
        <v>1426.7035326906041</v>
      </c>
      <c r="F1652" s="2">
        <v>1408.487706679266</v>
      </c>
      <c r="G1652" s="2">
        <v>1422.224243164062</v>
      </c>
      <c r="H1652" s="3">
        <v>12529409</v>
      </c>
      <c r="I1652" s="4">
        <f t="shared" si="100"/>
        <v>-0.72</v>
      </c>
      <c r="J1652" s="2">
        <f t="shared" si="101"/>
        <v>4.4800000000000004</v>
      </c>
      <c r="K1652" s="7">
        <f t="shared" si="102"/>
        <v>46054</v>
      </c>
      <c r="L1652" t="str">
        <f t="shared" si="103"/>
        <v>Q1-2026</v>
      </c>
    </row>
    <row r="1653" spans="1:12">
      <c r="A1653" s="6">
        <v>46077</v>
      </c>
      <c r="B1653" t="s">
        <v>10</v>
      </c>
      <c r="C1653" t="s">
        <v>11</v>
      </c>
      <c r="D1653" s="2">
        <v>2591.460746119642</v>
      </c>
      <c r="E1653" s="2">
        <v>2597.8388206557179</v>
      </c>
      <c r="F1653" s="2">
        <v>2513.2557877972008</v>
      </c>
      <c r="G1653" s="2">
        <v>2525.423095703125</v>
      </c>
      <c r="H1653" s="3">
        <v>7798833</v>
      </c>
      <c r="I1653" s="4">
        <f t="shared" si="100"/>
        <v>-3.02</v>
      </c>
      <c r="J1653" s="2">
        <f t="shared" si="101"/>
        <v>72.42</v>
      </c>
      <c r="K1653" s="7">
        <f t="shared" si="102"/>
        <v>46054</v>
      </c>
      <c r="L1653" t="str">
        <f t="shared" si="103"/>
        <v>Q1-2026</v>
      </c>
    </row>
    <row r="1654" spans="1:12">
      <c r="A1654" s="6">
        <v>46077</v>
      </c>
      <c r="B1654" t="s">
        <v>12</v>
      </c>
      <c r="C1654" t="s">
        <v>13</v>
      </c>
      <c r="D1654" s="2">
        <v>1273.443402728863</v>
      </c>
      <c r="E1654" s="2">
        <v>1275.9883079995529</v>
      </c>
      <c r="F1654" s="2">
        <v>1237.3249610296909</v>
      </c>
      <c r="G1654" s="2">
        <v>1248.483520507812</v>
      </c>
      <c r="H1654" s="3">
        <v>27839061</v>
      </c>
      <c r="I1654" s="4">
        <f t="shared" si="100"/>
        <v>-2.84</v>
      </c>
      <c r="J1654" s="2">
        <f t="shared" si="101"/>
        <v>27.5</v>
      </c>
      <c r="K1654" s="7">
        <f t="shared" si="102"/>
        <v>46054</v>
      </c>
      <c r="L1654" t="str">
        <f t="shared" si="103"/>
        <v>Q1-2026</v>
      </c>
    </row>
    <row r="1655" spans="1:12">
      <c r="A1655" s="6">
        <v>46077</v>
      </c>
      <c r="B1655" t="s">
        <v>14</v>
      </c>
      <c r="C1655" t="s">
        <v>15</v>
      </c>
      <c r="D1655" s="2">
        <v>912.85194656143619</v>
      </c>
      <c r="E1655" s="2">
        <v>912.85194656143619</v>
      </c>
      <c r="F1655" s="2">
        <v>894.35784103162894</v>
      </c>
      <c r="G1655" s="2">
        <v>895.68585205078125</v>
      </c>
      <c r="H1655" s="3">
        <v>31313985</v>
      </c>
      <c r="I1655" s="4">
        <f t="shared" si="100"/>
        <v>-2.0299999999999998</v>
      </c>
      <c r="J1655" s="2">
        <f t="shared" si="101"/>
        <v>17.170000000000002</v>
      </c>
      <c r="K1655" s="7">
        <f t="shared" si="102"/>
        <v>46054</v>
      </c>
      <c r="L1655" t="str">
        <f t="shared" si="103"/>
        <v>Q1-2026</v>
      </c>
    </row>
    <row r="1656" spans="1:12">
      <c r="A1656" s="6">
        <v>46077</v>
      </c>
      <c r="B1656" t="s">
        <v>16</v>
      </c>
      <c r="C1656" t="s">
        <v>17</v>
      </c>
      <c r="D1656" s="2">
        <v>1389.1884011120851</v>
      </c>
      <c r="E1656" s="2">
        <v>1389.1884011120851</v>
      </c>
      <c r="F1656" s="2">
        <v>1370.743922637784</v>
      </c>
      <c r="G1656" s="2">
        <v>1373.223022460938</v>
      </c>
      <c r="H1656" s="3">
        <v>18274784</v>
      </c>
      <c r="I1656" s="4">
        <f t="shared" si="100"/>
        <v>-1.33</v>
      </c>
      <c r="J1656" s="2">
        <f t="shared" si="101"/>
        <v>15.97</v>
      </c>
      <c r="K1656" s="7">
        <f t="shared" si="102"/>
        <v>46054</v>
      </c>
      <c r="L1656" t="str">
        <f t="shared" si="103"/>
        <v>Q1-2026</v>
      </c>
    </row>
    <row r="1657" spans="1:12">
      <c r="A1657" s="6">
        <v>46077</v>
      </c>
      <c r="B1657" t="s">
        <v>18</v>
      </c>
      <c r="C1657" t="s">
        <v>19</v>
      </c>
      <c r="D1657" s="2">
        <v>200.7077566019575</v>
      </c>
      <c r="E1657" s="2">
        <v>200.9944753304764</v>
      </c>
      <c r="F1657" s="2">
        <v>197.10885950083019</v>
      </c>
      <c r="G1657" s="2">
        <v>197.88005065917969</v>
      </c>
      <c r="H1657" s="3">
        <v>25036686</v>
      </c>
      <c r="I1657" s="4">
        <f t="shared" si="100"/>
        <v>-1.79</v>
      </c>
      <c r="J1657" s="2">
        <f t="shared" si="101"/>
        <v>3.11</v>
      </c>
      <c r="K1657" s="7">
        <f t="shared" si="102"/>
        <v>46054</v>
      </c>
      <c r="L1657" t="str">
        <f t="shared" si="103"/>
        <v>Q1-2026</v>
      </c>
    </row>
    <row r="1658" spans="1:12">
      <c r="A1658" s="6">
        <v>46077</v>
      </c>
      <c r="B1658" t="s">
        <v>20</v>
      </c>
      <c r="C1658" t="s">
        <v>21</v>
      </c>
      <c r="D1658" s="2">
        <v>1362.051971337647</v>
      </c>
      <c r="E1658" s="2">
        <v>1366.3255900015031</v>
      </c>
      <c r="F1658" s="2">
        <v>1284.5423014848791</v>
      </c>
      <c r="G1658" s="2">
        <v>1300.762939453125</v>
      </c>
      <c r="H1658" s="3">
        <v>10004684</v>
      </c>
      <c r="I1658" s="4">
        <f t="shared" si="100"/>
        <v>-5.69</v>
      </c>
      <c r="J1658" s="2">
        <f t="shared" si="101"/>
        <v>65.56</v>
      </c>
      <c r="K1658" s="7">
        <f t="shared" si="102"/>
        <v>46054</v>
      </c>
      <c r="L1658" t="str">
        <f t="shared" si="103"/>
        <v>Q1-2026</v>
      </c>
    </row>
    <row r="1659" spans="1:12">
      <c r="A1659" s="6">
        <v>46077</v>
      </c>
      <c r="B1659" t="s">
        <v>22</v>
      </c>
      <c r="C1659" t="s">
        <v>23</v>
      </c>
      <c r="D1659" s="2">
        <v>1020.029706857551</v>
      </c>
      <c r="E1659" s="2">
        <v>1022.464689666445</v>
      </c>
      <c r="F1659" s="2">
        <v>1004.127400718105</v>
      </c>
      <c r="G1659" s="2">
        <v>1017.296447753906</v>
      </c>
      <c r="H1659" s="3">
        <v>6610984</v>
      </c>
      <c r="I1659" s="4">
        <f t="shared" si="100"/>
        <v>-1.56</v>
      </c>
      <c r="J1659" s="2">
        <f t="shared" si="101"/>
        <v>5.17</v>
      </c>
      <c r="K1659" s="7">
        <f t="shared" si="102"/>
        <v>46054</v>
      </c>
      <c r="L1659" t="str">
        <f t="shared" si="103"/>
        <v>Q1-2026</v>
      </c>
    </row>
    <row r="1660" spans="1:12">
      <c r="A1660" s="6">
        <v>46077</v>
      </c>
      <c r="B1660" t="s">
        <v>24</v>
      </c>
      <c r="C1660" t="s">
        <v>25</v>
      </c>
      <c r="D1660" s="2">
        <v>14851.842151096451</v>
      </c>
      <c r="E1660" s="2">
        <v>14912.235616279901</v>
      </c>
      <c r="F1660" s="2">
        <v>14755.806640886711</v>
      </c>
      <c r="G1660" s="2">
        <v>14777.587890625</v>
      </c>
      <c r="H1660" s="3">
        <v>300991</v>
      </c>
      <c r="I1660" s="4">
        <f t="shared" si="100"/>
        <v>-0.65</v>
      </c>
      <c r="J1660" s="2">
        <f t="shared" si="101"/>
        <v>134.65</v>
      </c>
      <c r="K1660" s="7">
        <f t="shared" si="102"/>
        <v>46054</v>
      </c>
      <c r="L1660" t="str">
        <f t="shared" si="103"/>
        <v>Q1-2026</v>
      </c>
    </row>
    <row r="1661" spans="1:12">
      <c r="A1661" s="6">
        <v>46077</v>
      </c>
      <c r="B1661" t="s">
        <v>26</v>
      </c>
      <c r="C1661" t="s">
        <v>27</v>
      </c>
      <c r="D1661" s="2">
        <v>373.74965524461629</v>
      </c>
      <c r="E1661" s="2">
        <v>377.17125388107542</v>
      </c>
      <c r="F1661" s="2">
        <v>368.59242361885418</v>
      </c>
      <c r="G1661" s="2">
        <v>374.44387817382813</v>
      </c>
      <c r="H1661" s="3">
        <v>7213746</v>
      </c>
      <c r="I1661" s="4">
        <f t="shared" si="100"/>
        <v>-1.38</v>
      </c>
      <c r="J1661" s="2">
        <f t="shared" si="101"/>
        <v>2.73</v>
      </c>
      <c r="K1661" s="7">
        <f t="shared" si="102"/>
        <v>46054</v>
      </c>
      <c r="L1661" t="str">
        <f t="shared" si="103"/>
        <v>Q1-2026</v>
      </c>
    </row>
    <row r="1662" spans="1:12">
      <c r="A1662" s="6">
        <v>46077</v>
      </c>
      <c r="B1662" t="s">
        <v>28</v>
      </c>
      <c r="C1662" t="s">
        <v>29</v>
      </c>
      <c r="D1662" s="2">
        <v>1727.472621866953</v>
      </c>
      <c r="E1662" s="2">
        <v>1741.336312177908</v>
      </c>
      <c r="F1662" s="2">
        <v>1719.1942690316489</v>
      </c>
      <c r="G1662" s="2">
        <v>1727.273193359375</v>
      </c>
      <c r="H1662" s="3">
        <v>2769363</v>
      </c>
      <c r="I1662" s="4">
        <f t="shared" si="100"/>
        <v>-0.48</v>
      </c>
      <c r="J1662" s="2">
        <f t="shared" si="101"/>
        <v>14.06</v>
      </c>
      <c r="K1662" s="7">
        <f t="shared" si="102"/>
        <v>46054</v>
      </c>
      <c r="L1662" t="str">
        <f t="shared" si="103"/>
        <v>Q1-2026</v>
      </c>
    </row>
    <row r="1663" spans="1:12">
      <c r="A1663" s="6">
        <v>46077</v>
      </c>
      <c r="B1663" t="s">
        <v>30</v>
      </c>
      <c r="C1663" t="s">
        <v>31</v>
      </c>
      <c r="D1663" s="2">
        <v>2392.2450015975219</v>
      </c>
      <c r="E1663" s="2">
        <v>2420.499863821115</v>
      </c>
      <c r="F1663" s="2">
        <v>2383.0249455164221</v>
      </c>
      <c r="G1663" s="2">
        <v>2392.34423828125</v>
      </c>
      <c r="H1663" s="3">
        <v>499660</v>
      </c>
      <c r="I1663" s="4">
        <f t="shared" si="100"/>
        <v>-0.39</v>
      </c>
      <c r="J1663" s="2">
        <f t="shared" si="101"/>
        <v>28.16</v>
      </c>
      <c r="K1663" s="7">
        <f t="shared" si="102"/>
        <v>46054</v>
      </c>
      <c r="L1663" t="str">
        <f t="shared" si="103"/>
        <v>Q1-2026</v>
      </c>
    </row>
    <row r="1664" spans="1:12">
      <c r="A1664" s="6">
        <v>46077</v>
      </c>
      <c r="B1664" t="s">
        <v>32</v>
      </c>
      <c r="C1664" t="s">
        <v>33</v>
      </c>
      <c r="D1664" s="2">
        <v>2307.6279749723708</v>
      </c>
      <c r="E1664" s="2">
        <v>2348.1160513604118</v>
      </c>
      <c r="F1664" s="2">
        <v>2306.8359819305529</v>
      </c>
      <c r="G1664" s="2">
        <v>2334.85107421875</v>
      </c>
      <c r="H1664" s="3">
        <v>1544803</v>
      </c>
      <c r="I1664" s="4">
        <f t="shared" si="100"/>
        <v>-0.03</v>
      </c>
      <c r="J1664" s="2">
        <f t="shared" si="101"/>
        <v>13.26</v>
      </c>
      <c r="K1664" s="7">
        <f t="shared" si="102"/>
        <v>46054</v>
      </c>
      <c r="L1664" t="str">
        <f t="shared" si="103"/>
        <v>Q1-2026</v>
      </c>
    </row>
    <row r="1665" spans="1:12">
      <c r="A1665" s="6">
        <v>46077</v>
      </c>
      <c r="B1665" t="s">
        <v>34</v>
      </c>
      <c r="C1665" t="s">
        <v>35</v>
      </c>
      <c r="D1665" s="2">
        <v>4372.7894003468136</v>
      </c>
      <c r="E1665" s="2">
        <v>4397.0524147978376</v>
      </c>
      <c r="F1665" s="2">
        <v>4187.2021946861232</v>
      </c>
      <c r="G1665" s="2">
        <v>4218.00146484375</v>
      </c>
      <c r="H1665" s="3">
        <v>3673070</v>
      </c>
      <c r="I1665" s="4">
        <f t="shared" si="100"/>
        <v>-4.24</v>
      </c>
      <c r="J1665" s="2">
        <f t="shared" si="101"/>
        <v>179.05</v>
      </c>
      <c r="K1665" s="7">
        <f t="shared" si="102"/>
        <v>46054</v>
      </c>
      <c r="L1665" t="str">
        <f t="shared" si="103"/>
        <v>Q1-2026</v>
      </c>
    </row>
    <row r="1666" spans="1:12">
      <c r="A1666" s="6">
        <v>46077</v>
      </c>
      <c r="B1666" t="s">
        <v>36</v>
      </c>
      <c r="C1666" t="s">
        <v>37</v>
      </c>
      <c r="D1666" s="2">
        <v>1396.922649418472</v>
      </c>
      <c r="E1666" s="2">
        <v>1396.922649418472</v>
      </c>
      <c r="F1666" s="2">
        <v>1382.4338236555479</v>
      </c>
      <c r="G1666" s="2">
        <v>1386.530639648438</v>
      </c>
      <c r="H1666" s="3">
        <v>7888492</v>
      </c>
      <c r="I1666" s="4">
        <f t="shared" ref="I1666:I1729" si="104">ROUND(((F1666-D1666)/D1666)*100, 2)</f>
        <v>-1.04</v>
      </c>
      <c r="J1666" s="2">
        <f t="shared" ref="J1666:J1729" si="105">ROUND(E1666-G1666, 2)</f>
        <v>10.39</v>
      </c>
      <c r="K1666" s="7">
        <f t="shared" ref="K1666:K1729" si="106">DATE(YEAR(A1666),MONTH(A1666),1)</f>
        <v>46054</v>
      </c>
      <c r="L1666" t="str">
        <f t="shared" ref="L1666:L1729" si="107">"Q"&amp;INT((MONTH(A1666)-1)/3)+1&amp;"-"&amp;YEAR(A1666)</f>
        <v>Q1-2026</v>
      </c>
    </row>
    <row r="1667" spans="1:12">
      <c r="A1667" s="6">
        <v>46078</v>
      </c>
      <c r="B1667" t="s">
        <v>8</v>
      </c>
      <c r="C1667" t="s">
        <v>9</v>
      </c>
      <c r="D1667" s="2">
        <v>1428.3957377254089</v>
      </c>
      <c r="E1667" s="2">
        <v>1433.870425221917</v>
      </c>
      <c r="F1667" s="2">
        <v>1387.0867320699349</v>
      </c>
      <c r="G1667" s="2">
        <v>1392.063720703125</v>
      </c>
      <c r="H1667" s="3">
        <v>10728792</v>
      </c>
      <c r="I1667" s="4">
        <f t="shared" si="104"/>
        <v>-2.89</v>
      </c>
      <c r="J1667" s="2">
        <f t="shared" si="105"/>
        <v>41.81</v>
      </c>
      <c r="K1667" s="7">
        <f t="shared" si="106"/>
        <v>46054</v>
      </c>
      <c r="L1667" t="str">
        <f t="shared" si="107"/>
        <v>Q1-2026</v>
      </c>
    </row>
    <row r="1668" spans="1:12">
      <c r="A1668" s="6">
        <v>46078</v>
      </c>
      <c r="B1668" t="s">
        <v>10</v>
      </c>
      <c r="C1668" t="s">
        <v>11</v>
      </c>
      <c r="D1668" s="2">
        <v>2547.3048106742549</v>
      </c>
      <c r="E1668" s="2">
        <v>2604.4130601353968</v>
      </c>
      <c r="F1668" s="2">
        <v>2546.3235684513461</v>
      </c>
      <c r="G1668" s="2">
        <v>2579.980224609375</v>
      </c>
      <c r="H1668" s="3">
        <v>3621285</v>
      </c>
      <c r="I1668" s="4">
        <f t="shared" si="104"/>
        <v>-0.04</v>
      </c>
      <c r="J1668" s="2">
        <f t="shared" si="105"/>
        <v>24.43</v>
      </c>
      <c r="K1668" s="7">
        <f t="shared" si="106"/>
        <v>46054</v>
      </c>
      <c r="L1668" t="str">
        <f t="shared" si="107"/>
        <v>Q1-2026</v>
      </c>
    </row>
    <row r="1669" spans="1:12">
      <c r="A1669" s="6">
        <v>46078</v>
      </c>
      <c r="B1669" t="s">
        <v>12</v>
      </c>
      <c r="C1669" t="s">
        <v>13</v>
      </c>
      <c r="D1669" s="2">
        <v>1258.9568742250231</v>
      </c>
      <c r="E1669" s="2">
        <v>1295.564726518415</v>
      </c>
      <c r="F1669" s="2">
        <v>1258.9568742250231</v>
      </c>
      <c r="G1669" s="2">
        <v>1262.774291992188</v>
      </c>
      <c r="H1669" s="3">
        <v>16669618</v>
      </c>
      <c r="I1669" s="4">
        <f t="shared" si="104"/>
        <v>0</v>
      </c>
      <c r="J1669" s="2">
        <f t="shared" si="105"/>
        <v>32.79</v>
      </c>
      <c r="K1669" s="7">
        <f t="shared" si="106"/>
        <v>46054</v>
      </c>
      <c r="L1669" t="str">
        <f t="shared" si="107"/>
        <v>Q1-2026</v>
      </c>
    </row>
    <row r="1670" spans="1:12">
      <c r="A1670" s="6">
        <v>46078</v>
      </c>
      <c r="B1670" t="s">
        <v>14</v>
      </c>
      <c r="C1670" t="s">
        <v>15</v>
      </c>
      <c r="D1670" s="2">
        <v>895.73502229325936</v>
      </c>
      <c r="E1670" s="2">
        <v>901.09636090312119</v>
      </c>
      <c r="F1670" s="2">
        <v>888.40622438011565</v>
      </c>
      <c r="G1670" s="2">
        <v>892.8330078125</v>
      </c>
      <c r="H1670" s="3">
        <v>27884303</v>
      </c>
      <c r="I1670" s="4">
        <f t="shared" si="104"/>
        <v>-0.82</v>
      </c>
      <c r="J1670" s="2">
        <f t="shared" si="105"/>
        <v>8.26</v>
      </c>
      <c r="K1670" s="7">
        <f t="shared" si="106"/>
        <v>46054</v>
      </c>
      <c r="L1670" t="str">
        <f t="shared" si="107"/>
        <v>Q1-2026</v>
      </c>
    </row>
    <row r="1671" spans="1:12">
      <c r="A1671" s="6">
        <v>46078</v>
      </c>
      <c r="B1671" t="s">
        <v>16</v>
      </c>
      <c r="C1671" t="s">
        <v>17</v>
      </c>
      <c r="D1671" s="2">
        <v>1380.1645289137721</v>
      </c>
      <c r="E1671" s="2">
        <v>1395.6340879023351</v>
      </c>
      <c r="F1671" s="2">
        <v>1376.59452825889</v>
      </c>
      <c r="G1671" s="2">
        <v>1388.791748046875</v>
      </c>
      <c r="H1671" s="3">
        <v>16297015</v>
      </c>
      <c r="I1671" s="4">
        <f t="shared" si="104"/>
        <v>-0.26</v>
      </c>
      <c r="J1671" s="2">
        <f t="shared" si="105"/>
        <v>6.84</v>
      </c>
      <c r="K1671" s="7">
        <f t="shared" si="106"/>
        <v>46054</v>
      </c>
      <c r="L1671" t="str">
        <f t="shared" si="107"/>
        <v>Q1-2026</v>
      </c>
    </row>
    <row r="1672" spans="1:12">
      <c r="A1672" s="6">
        <v>46078</v>
      </c>
      <c r="B1672" t="s">
        <v>18</v>
      </c>
      <c r="C1672" t="s">
        <v>19</v>
      </c>
      <c r="D1672" s="2">
        <v>199.0368410208734</v>
      </c>
      <c r="E1672" s="2">
        <v>203.1597523152721</v>
      </c>
      <c r="F1672" s="2">
        <v>199.0368410208734</v>
      </c>
      <c r="G1672" s="2">
        <v>199.63995361328119</v>
      </c>
      <c r="H1672" s="3">
        <v>13979068</v>
      </c>
      <c r="I1672" s="4">
        <f t="shared" si="104"/>
        <v>0</v>
      </c>
      <c r="J1672" s="2">
        <f t="shared" si="105"/>
        <v>3.52</v>
      </c>
      <c r="K1672" s="7">
        <f t="shared" si="106"/>
        <v>46054</v>
      </c>
      <c r="L1672" t="str">
        <f t="shared" si="107"/>
        <v>Q1-2026</v>
      </c>
    </row>
    <row r="1673" spans="1:12">
      <c r="A1673" s="6">
        <v>46078</v>
      </c>
      <c r="B1673" t="s">
        <v>20</v>
      </c>
      <c r="C1673" t="s">
        <v>21</v>
      </c>
      <c r="D1673" s="2">
        <v>1316.109596771151</v>
      </c>
      <c r="E1673" s="2">
        <v>1351.4648893571671</v>
      </c>
      <c r="F1673" s="2">
        <v>1315.1382981757481</v>
      </c>
      <c r="G1673" s="2">
        <v>1338.643676757812</v>
      </c>
      <c r="H1673" s="3">
        <v>5703505</v>
      </c>
      <c r="I1673" s="4">
        <f t="shared" si="104"/>
        <v>-7.0000000000000007E-2</v>
      </c>
      <c r="J1673" s="2">
        <f t="shared" si="105"/>
        <v>12.82</v>
      </c>
      <c r="K1673" s="7">
        <f t="shared" si="106"/>
        <v>46054</v>
      </c>
      <c r="L1673" t="str">
        <f t="shared" si="107"/>
        <v>Q1-2026</v>
      </c>
    </row>
    <row r="1674" spans="1:12">
      <c r="A1674" s="6">
        <v>46078</v>
      </c>
      <c r="B1674" t="s">
        <v>22</v>
      </c>
      <c r="C1674" t="s">
        <v>23</v>
      </c>
      <c r="D1674" s="2">
        <v>1021.7192564500569</v>
      </c>
      <c r="E1674" s="2">
        <v>1027.6825984137729</v>
      </c>
      <c r="F1674" s="2">
        <v>1007.2084819365811</v>
      </c>
      <c r="G1674" s="2">
        <v>1014.811706542969</v>
      </c>
      <c r="H1674" s="3">
        <v>3182612</v>
      </c>
      <c r="I1674" s="4">
        <f t="shared" si="104"/>
        <v>-1.42</v>
      </c>
      <c r="J1674" s="2">
        <f t="shared" si="105"/>
        <v>12.87</v>
      </c>
      <c r="K1674" s="7">
        <f t="shared" si="106"/>
        <v>46054</v>
      </c>
      <c r="L1674" t="str">
        <f t="shared" si="107"/>
        <v>Q1-2026</v>
      </c>
    </row>
    <row r="1675" spans="1:12">
      <c r="A1675" s="6">
        <v>46078</v>
      </c>
      <c r="B1675" t="s">
        <v>24</v>
      </c>
      <c r="C1675" t="s">
        <v>25</v>
      </c>
      <c r="D1675" s="2">
        <v>14712.24431818182</v>
      </c>
      <c r="E1675" s="2">
        <v>14982.52982954546</v>
      </c>
      <c r="F1675" s="2">
        <v>14689.47301136364</v>
      </c>
      <c r="G1675" s="2">
        <v>14920.15625</v>
      </c>
      <c r="H1675" s="3">
        <v>356495</v>
      </c>
      <c r="I1675" s="4">
        <f t="shared" si="104"/>
        <v>-0.15</v>
      </c>
      <c r="J1675" s="2">
        <f t="shared" si="105"/>
        <v>62.37</v>
      </c>
      <c r="K1675" s="7">
        <f t="shared" si="106"/>
        <v>46054</v>
      </c>
      <c r="L1675" t="str">
        <f t="shared" si="107"/>
        <v>Q1-2026</v>
      </c>
    </row>
    <row r="1676" spans="1:12">
      <c r="A1676" s="6">
        <v>46078</v>
      </c>
      <c r="B1676" t="s">
        <v>26</v>
      </c>
      <c r="C1676" t="s">
        <v>27</v>
      </c>
      <c r="D1676" s="2">
        <v>374.89016429301961</v>
      </c>
      <c r="E1676" s="2">
        <v>382.42764454903789</v>
      </c>
      <c r="F1676" s="2">
        <v>373.0058017956419</v>
      </c>
      <c r="G1676" s="2">
        <v>378.70849609375</v>
      </c>
      <c r="H1676" s="3">
        <v>7748663</v>
      </c>
      <c r="I1676" s="4">
        <f t="shared" si="104"/>
        <v>-0.5</v>
      </c>
      <c r="J1676" s="2">
        <f t="shared" si="105"/>
        <v>3.72</v>
      </c>
      <c r="K1676" s="7">
        <f t="shared" si="106"/>
        <v>46054</v>
      </c>
      <c r="L1676" t="str">
        <f t="shared" si="107"/>
        <v>Q1-2026</v>
      </c>
    </row>
    <row r="1677" spans="1:12">
      <c r="A1677" s="6">
        <v>46078</v>
      </c>
      <c r="B1677" t="s">
        <v>28</v>
      </c>
      <c r="C1677" t="s">
        <v>29</v>
      </c>
      <c r="D1677" s="2">
        <v>1737.4464578227751</v>
      </c>
      <c r="E1677" s="2">
        <v>1765.7722453200729</v>
      </c>
      <c r="F1677" s="2">
        <v>1728.8689623467999</v>
      </c>
      <c r="G1677" s="2">
        <v>1759.58837890625</v>
      </c>
      <c r="H1677" s="3">
        <v>1200997</v>
      </c>
      <c r="I1677" s="4">
        <f t="shared" si="104"/>
        <v>-0.49</v>
      </c>
      <c r="J1677" s="2">
        <f t="shared" si="105"/>
        <v>6.18</v>
      </c>
      <c r="K1677" s="7">
        <f t="shared" si="106"/>
        <v>46054</v>
      </c>
      <c r="L1677" t="str">
        <f t="shared" si="107"/>
        <v>Q1-2026</v>
      </c>
    </row>
    <row r="1678" spans="1:12">
      <c r="A1678" s="6">
        <v>46078</v>
      </c>
      <c r="B1678" t="s">
        <v>30</v>
      </c>
      <c r="C1678" t="s">
        <v>31</v>
      </c>
      <c r="D1678" s="2">
        <v>2395.2190158921771</v>
      </c>
      <c r="E1678" s="2">
        <v>2407.0165624074962</v>
      </c>
      <c r="F1678" s="2">
        <v>2379.3566383034872</v>
      </c>
      <c r="G1678" s="2">
        <v>2395.615478515625</v>
      </c>
      <c r="H1678" s="3">
        <v>526764</v>
      </c>
      <c r="I1678" s="4">
        <f t="shared" si="104"/>
        <v>-0.66</v>
      </c>
      <c r="J1678" s="2">
        <f t="shared" si="105"/>
        <v>11.4</v>
      </c>
      <c r="K1678" s="7">
        <f t="shared" si="106"/>
        <v>46054</v>
      </c>
      <c r="L1678" t="str">
        <f t="shared" si="107"/>
        <v>Q1-2026</v>
      </c>
    </row>
    <row r="1679" spans="1:12">
      <c r="A1679" s="6">
        <v>46078</v>
      </c>
      <c r="B1679" t="s">
        <v>32</v>
      </c>
      <c r="C1679" t="s">
        <v>33</v>
      </c>
      <c r="D1679" s="2">
        <v>2345.0472309590841</v>
      </c>
      <c r="E1679" s="2">
        <v>2356.035560709282</v>
      </c>
      <c r="F1679" s="2">
        <v>2325.3477025655889</v>
      </c>
      <c r="G1679" s="2">
        <v>2350.98681640625</v>
      </c>
      <c r="H1679" s="3">
        <v>1158620</v>
      </c>
      <c r="I1679" s="4">
        <f t="shared" si="104"/>
        <v>-0.84</v>
      </c>
      <c r="J1679" s="2">
        <f t="shared" si="105"/>
        <v>5.05</v>
      </c>
      <c r="K1679" s="7">
        <f t="shared" si="106"/>
        <v>46054</v>
      </c>
      <c r="L1679" t="str">
        <f t="shared" si="107"/>
        <v>Q1-2026</v>
      </c>
    </row>
    <row r="1680" spans="1:12">
      <c r="A1680" s="6">
        <v>46078</v>
      </c>
      <c r="B1680" t="s">
        <v>34</v>
      </c>
      <c r="C1680" t="s">
        <v>35</v>
      </c>
      <c r="D1680" s="2">
        <v>4228.6965770217803</v>
      </c>
      <c r="E1680" s="2">
        <v>4302.871977644797</v>
      </c>
      <c r="F1680" s="2">
        <v>4213.0496027829886</v>
      </c>
      <c r="G1680" s="2">
        <v>4256.9208984375</v>
      </c>
      <c r="H1680" s="3">
        <v>2481469</v>
      </c>
      <c r="I1680" s="4">
        <f t="shared" si="104"/>
        <v>-0.37</v>
      </c>
      <c r="J1680" s="2">
        <f t="shared" si="105"/>
        <v>45.95</v>
      </c>
      <c r="K1680" s="7">
        <f t="shared" si="106"/>
        <v>46054</v>
      </c>
      <c r="L1680" t="str">
        <f t="shared" si="107"/>
        <v>Q1-2026</v>
      </c>
    </row>
    <row r="1681" spans="1:12">
      <c r="A1681" s="6">
        <v>46078</v>
      </c>
      <c r="B1681" t="s">
        <v>36</v>
      </c>
      <c r="C1681" t="s">
        <v>37</v>
      </c>
      <c r="D1681" s="2">
        <v>1392.925758802287</v>
      </c>
      <c r="E1681" s="2">
        <v>1403.2178702295589</v>
      </c>
      <c r="F1681" s="2">
        <v>1386.5306663608881</v>
      </c>
      <c r="G1681" s="2">
        <v>1401.918823242188</v>
      </c>
      <c r="H1681" s="3">
        <v>4379373</v>
      </c>
      <c r="I1681" s="4">
        <f t="shared" si="104"/>
        <v>-0.46</v>
      </c>
      <c r="J1681" s="2">
        <f t="shared" si="105"/>
        <v>1.3</v>
      </c>
      <c r="K1681" s="7">
        <f t="shared" si="106"/>
        <v>46054</v>
      </c>
      <c r="L1681" t="str">
        <f t="shared" si="107"/>
        <v>Q1-2026</v>
      </c>
    </row>
    <row r="1682" spans="1:12">
      <c r="A1682" s="6">
        <v>46079</v>
      </c>
      <c r="B1682" t="s">
        <v>8</v>
      </c>
      <c r="C1682" t="s">
        <v>9</v>
      </c>
      <c r="D1682" s="2">
        <v>1392.0637118415309</v>
      </c>
      <c r="E1682" s="2">
        <v>1406.397463315574</v>
      </c>
      <c r="F1682" s="2">
        <v>1385.494111189244</v>
      </c>
      <c r="G1682" s="2">
        <v>1400.325561523438</v>
      </c>
      <c r="H1682" s="3">
        <v>16683858</v>
      </c>
      <c r="I1682" s="4">
        <f t="shared" si="104"/>
        <v>-0.47</v>
      </c>
      <c r="J1682" s="2">
        <f t="shared" si="105"/>
        <v>6.07</v>
      </c>
      <c r="K1682" s="7">
        <f t="shared" si="106"/>
        <v>46054</v>
      </c>
      <c r="L1682" t="str">
        <f t="shared" si="107"/>
        <v>Q1-2026</v>
      </c>
    </row>
    <row r="1683" spans="1:12">
      <c r="A1683" s="6">
        <v>46079</v>
      </c>
      <c r="B1683" t="s">
        <v>10</v>
      </c>
      <c r="C1683" t="s">
        <v>11</v>
      </c>
      <c r="D1683" s="2">
        <v>2600.2920614230788</v>
      </c>
      <c r="E1683" s="2">
        <v>2620.898149456998</v>
      </c>
      <c r="F1683" s="2">
        <v>2585.5734271131369</v>
      </c>
      <c r="G1683" s="2">
        <v>2598.03515625</v>
      </c>
      <c r="H1683" s="3">
        <v>3464267</v>
      </c>
      <c r="I1683" s="4">
        <f t="shared" si="104"/>
        <v>-0.56999999999999995</v>
      </c>
      <c r="J1683" s="2">
        <f t="shared" si="105"/>
        <v>22.86</v>
      </c>
      <c r="K1683" s="7">
        <f t="shared" si="106"/>
        <v>46054</v>
      </c>
      <c r="L1683" t="str">
        <f t="shared" si="107"/>
        <v>Q1-2026</v>
      </c>
    </row>
    <row r="1684" spans="1:12">
      <c r="A1684" s="6">
        <v>46079</v>
      </c>
      <c r="B1684" t="s">
        <v>12</v>
      </c>
      <c r="C1684" t="s">
        <v>13</v>
      </c>
      <c r="D1684" s="2">
        <v>1277.848187510079</v>
      </c>
      <c r="E1684" s="2">
        <v>1286.1681488994591</v>
      </c>
      <c r="F1684" s="2">
        <v>1259.0549107538459</v>
      </c>
      <c r="G1684" s="2">
        <v>1261.795532226562</v>
      </c>
      <c r="H1684" s="3">
        <v>11493914</v>
      </c>
      <c r="I1684" s="4">
        <f t="shared" si="104"/>
        <v>-1.47</v>
      </c>
      <c r="J1684" s="2">
        <f t="shared" si="105"/>
        <v>24.37</v>
      </c>
      <c r="K1684" s="7">
        <f t="shared" si="106"/>
        <v>46054</v>
      </c>
      <c r="L1684" t="str">
        <f t="shared" si="107"/>
        <v>Q1-2026</v>
      </c>
    </row>
    <row r="1685" spans="1:12">
      <c r="A1685" s="6">
        <v>46079</v>
      </c>
      <c r="B1685" t="s">
        <v>14</v>
      </c>
      <c r="C1685" t="s">
        <v>15</v>
      </c>
      <c r="D1685" s="2">
        <v>897.16143235509992</v>
      </c>
      <c r="E1685" s="2">
        <v>897.16143235509992</v>
      </c>
      <c r="F1685" s="2">
        <v>880.43802846251583</v>
      </c>
      <c r="G1685" s="2">
        <v>883.97943115234375</v>
      </c>
      <c r="H1685" s="3">
        <v>41165937</v>
      </c>
      <c r="I1685" s="4">
        <f t="shared" si="104"/>
        <v>-1.86</v>
      </c>
      <c r="J1685" s="2">
        <f t="shared" si="105"/>
        <v>13.18</v>
      </c>
      <c r="K1685" s="7">
        <f t="shared" si="106"/>
        <v>46054</v>
      </c>
      <c r="L1685" t="str">
        <f t="shared" si="107"/>
        <v>Q1-2026</v>
      </c>
    </row>
    <row r="1686" spans="1:12">
      <c r="A1686" s="6">
        <v>46079</v>
      </c>
      <c r="B1686" t="s">
        <v>16</v>
      </c>
      <c r="C1686" t="s">
        <v>17</v>
      </c>
      <c r="D1686" s="2">
        <v>1393.353308872553</v>
      </c>
      <c r="E1686" s="2">
        <v>1398.212368974695</v>
      </c>
      <c r="F1686" s="2">
        <v>1380.4619891586019</v>
      </c>
      <c r="G1686" s="2">
        <v>1393.155029296875</v>
      </c>
      <c r="H1686" s="3">
        <v>27288792</v>
      </c>
      <c r="I1686" s="4">
        <f t="shared" si="104"/>
        <v>-0.93</v>
      </c>
      <c r="J1686" s="2">
        <f t="shared" si="105"/>
        <v>5.0599999999999996</v>
      </c>
      <c r="K1686" s="7">
        <f t="shared" si="106"/>
        <v>46054</v>
      </c>
      <c r="L1686" t="str">
        <f t="shared" si="107"/>
        <v>Q1-2026</v>
      </c>
    </row>
    <row r="1687" spans="1:12">
      <c r="A1687" s="6">
        <v>46079</v>
      </c>
      <c r="B1687" t="s">
        <v>18</v>
      </c>
      <c r="C1687" t="s">
        <v>19</v>
      </c>
      <c r="D1687" s="2">
        <v>201.40975565647491</v>
      </c>
      <c r="E1687" s="2">
        <v>202.31936539730589</v>
      </c>
      <c r="F1687" s="2">
        <v>196.87157351677189</v>
      </c>
      <c r="G1687" s="2">
        <v>198.8094482421875</v>
      </c>
      <c r="H1687" s="3">
        <v>14378069</v>
      </c>
      <c r="I1687" s="4">
        <f t="shared" si="104"/>
        <v>-2.25</v>
      </c>
      <c r="J1687" s="2">
        <f t="shared" si="105"/>
        <v>3.51</v>
      </c>
      <c r="K1687" s="7">
        <f t="shared" si="106"/>
        <v>46054</v>
      </c>
      <c r="L1687" t="str">
        <f t="shared" si="107"/>
        <v>Q1-2026</v>
      </c>
    </row>
    <row r="1688" spans="1:12">
      <c r="A1688" s="6">
        <v>46079</v>
      </c>
      <c r="B1688" t="s">
        <v>20</v>
      </c>
      <c r="C1688" t="s">
        <v>21</v>
      </c>
      <c r="D1688" s="2">
        <v>1351.076214979551</v>
      </c>
      <c r="E1688" s="2">
        <v>1364.6743939944431</v>
      </c>
      <c r="F1688" s="2">
        <v>1328.7363494550871</v>
      </c>
      <c r="G1688" s="2">
        <v>1334.078491210938</v>
      </c>
      <c r="H1688" s="3">
        <v>2329520</v>
      </c>
      <c r="I1688" s="4">
        <f t="shared" si="104"/>
        <v>-1.65</v>
      </c>
      <c r="J1688" s="2">
        <f t="shared" si="105"/>
        <v>30.6</v>
      </c>
      <c r="K1688" s="7">
        <f t="shared" si="106"/>
        <v>46054</v>
      </c>
      <c r="L1688" t="str">
        <f t="shared" si="107"/>
        <v>Q1-2026</v>
      </c>
    </row>
    <row r="1689" spans="1:12">
      <c r="A1689" s="6">
        <v>46079</v>
      </c>
      <c r="B1689" t="s">
        <v>22</v>
      </c>
      <c r="C1689" t="s">
        <v>23</v>
      </c>
      <c r="D1689" s="2">
        <v>1014.513562976236</v>
      </c>
      <c r="E1689" s="2">
        <v>1024.8996684832709</v>
      </c>
      <c r="F1689" s="2">
        <v>999.90336286852119</v>
      </c>
      <c r="G1689" s="2">
        <v>1006.76123046875</v>
      </c>
      <c r="H1689" s="3">
        <v>4336261</v>
      </c>
      <c r="I1689" s="4">
        <f t="shared" si="104"/>
        <v>-1.44</v>
      </c>
      <c r="J1689" s="2">
        <f t="shared" si="105"/>
        <v>18.14</v>
      </c>
      <c r="K1689" s="7">
        <f t="shared" si="106"/>
        <v>46054</v>
      </c>
      <c r="L1689" t="str">
        <f t="shared" si="107"/>
        <v>Q1-2026</v>
      </c>
    </row>
    <row r="1690" spans="1:12">
      <c r="A1690" s="6">
        <v>46079</v>
      </c>
      <c r="B1690" t="s">
        <v>24</v>
      </c>
      <c r="C1690" t="s">
        <v>25</v>
      </c>
      <c r="D1690" s="2">
        <v>14994.41051136364</v>
      </c>
      <c r="E1690" s="2">
        <v>15072.625</v>
      </c>
      <c r="F1690" s="2">
        <v>14896.39488636364</v>
      </c>
      <c r="G1690" s="2">
        <v>15061.734375</v>
      </c>
      <c r="H1690" s="3">
        <v>308213</v>
      </c>
      <c r="I1690" s="4">
        <f t="shared" si="104"/>
        <v>-0.65</v>
      </c>
      <c r="J1690" s="2">
        <f t="shared" si="105"/>
        <v>10.89</v>
      </c>
      <c r="K1690" s="7">
        <f t="shared" si="106"/>
        <v>46054</v>
      </c>
      <c r="L1690" t="str">
        <f t="shared" si="107"/>
        <v>Q1-2026</v>
      </c>
    </row>
    <row r="1691" spans="1:12">
      <c r="A1691" s="6">
        <v>46079</v>
      </c>
      <c r="B1691" t="s">
        <v>26</v>
      </c>
      <c r="C1691" t="s">
        <v>27</v>
      </c>
      <c r="D1691" s="2">
        <v>378.55973527775012</v>
      </c>
      <c r="E1691" s="2">
        <v>390.06427692460511</v>
      </c>
      <c r="F1691" s="2">
        <v>376.97289255409532</v>
      </c>
      <c r="G1691" s="2">
        <v>388.32867431640619</v>
      </c>
      <c r="H1691" s="3">
        <v>14697484</v>
      </c>
      <c r="I1691" s="4">
        <f t="shared" si="104"/>
        <v>-0.42</v>
      </c>
      <c r="J1691" s="2">
        <f t="shared" si="105"/>
        <v>1.74</v>
      </c>
      <c r="K1691" s="7">
        <f t="shared" si="106"/>
        <v>46054</v>
      </c>
      <c r="L1691" t="str">
        <f t="shared" si="107"/>
        <v>Q1-2026</v>
      </c>
    </row>
    <row r="1692" spans="1:12">
      <c r="A1692" s="6">
        <v>46079</v>
      </c>
      <c r="B1692" t="s">
        <v>28</v>
      </c>
      <c r="C1692" t="s">
        <v>29</v>
      </c>
      <c r="D1692" s="2">
        <v>1759.5884264179319</v>
      </c>
      <c r="E1692" s="2">
        <v>1787.5152359085321</v>
      </c>
      <c r="F1692" s="2">
        <v>1755.698718211295</v>
      </c>
      <c r="G1692" s="2">
        <v>1781.0322265625</v>
      </c>
      <c r="H1692" s="3">
        <v>2076586</v>
      </c>
      <c r="I1692" s="4">
        <f t="shared" si="104"/>
        <v>-0.22</v>
      </c>
      <c r="J1692" s="2">
        <f t="shared" si="105"/>
        <v>6.48</v>
      </c>
      <c r="K1692" s="7">
        <f t="shared" si="106"/>
        <v>46054</v>
      </c>
      <c r="L1692" t="str">
        <f t="shared" si="107"/>
        <v>Q1-2026</v>
      </c>
    </row>
    <row r="1693" spans="1:12">
      <c r="A1693" s="6">
        <v>46079</v>
      </c>
      <c r="B1693" t="s">
        <v>30</v>
      </c>
      <c r="C1693" t="s">
        <v>31</v>
      </c>
      <c r="D1693" s="2">
        <v>2395.318382184249</v>
      </c>
      <c r="E1693" s="2">
        <v>2401.3657687427699</v>
      </c>
      <c r="F1693" s="2">
        <v>2361.5115913027262</v>
      </c>
      <c r="G1693" s="2">
        <v>2374.300537109375</v>
      </c>
      <c r="H1693" s="3">
        <v>588742</v>
      </c>
      <c r="I1693" s="4">
        <f t="shared" si="104"/>
        <v>-1.41</v>
      </c>
      <c r="J1693" s="2">
        <f t="shared" si="105"/>
        <v>27.07</v>
      </c>
      <c r="K1693" s="7">
        <f t="shared" si="106"/>
        <v>46054</v>
      </c>
      <c r="L1693" t="str">
        <f t="shared" si="107"/>
        <v>Q1-2026</v>
      </c>
    </row>
    <row r="1694" spans="1:12">
      <c r="A1694" s="6">
        <v>46079</v>
      </c>
      <c r="B1694" t="s">
        <v>32</v>
      </c>
      <c r="C1694" t="s">
        <v>33</v>
      </c>
      <c r="D1694" s="2">
        <v>2354.055564245718</v>
      </c>
      <c r="E1694" s="2">
        <v>2363.2619694987052</v>
      </c>
      <c r="F1694" s="2">
        <v>2331.4850925010069</v>
      </c>
      <c r="G1694" s="2">
        <v>2359.30224609375</v>
      </c>
      <c r="H1694" s="3">
        <v>1470677</v>
      </c>
      <c r="I1694" s="4">
        <f t="shared" si="104"/>
        <v>-0.96</v>
      </c>
      <c r="J1694" s="2">
        <f t="shared" si="105"/>
        <v>3.96</v>
      </c>
      <c r="K1694" s="7">
        <f t="shared" si="106"/>
        <v>46054</v>
      </c>
      <c r="L1694" t="str">
        <f t="shared" si="107"/>
        <v>Q1-2026</v>
      </c>
    </row>
    <row r="1695" spans="1:12">
      <c r="A1695" s="6">
        <v>46079</v>
      </c>
      <c r="B1695" t="s">
        <v>34</v>
      </c>
      <c r="C1695" t="s">
        <v>35</v>
      </c>
      <c r="D1695" s="2">
        <v>4263.2590312828715</v>
      </c>
      <c r="E1695" s="2">
        <v>4298.0196091654016</v>
      </c>
      <c r="F1695" s="2">
        <v>4236.9162337408716</v>
      </c>
      <c r="G1695" s="2">
        <v>4245.037109375</v>
      </c>
      <c r="H1695" s="3">
        <v>2370148</v>
      </c>
      <c r="I1695" s="4">
        <f t="shared" si="104"/>
        <v>-0.62</v>
      </c>
      <c r="J1695" s="2">
        <f t="shared" si="105"/>
        <v>52.98</v>
      </c>
      <c r="K1695" s="7">
        <f t="shared" si="106"/>
        <v>46054</v>
      </c>
      <c r="L1695" t="str">
        <f t="shared" si="107"/>
        <v>Q1-2026</v>
      </c>
    </row>
    <row r="1696" spans="1:12">
      <c r="A1696" s="6">
        <v>46079</v>
      </c>
      <c r="B1696" t="s">
        <v>36</v>
      </c>
      <c r="C1696" t="s">
        <v>37</v>
      </c>
      <c r="D1696" s="2">
        <v>1401.9187806859661</v>
      </c>
      <c r="E1696" s="2">
        <v>1404.6166511455431</v>
      </c>
      <c r="F1696" s="2">
        <v>1384.931881704026</v>
      </c>
      <c r="G1696" s="2">
        <v>1394.424560546875</v>
      </c>
      <c r="H1696" s="3">
        <v>8979547</v>
      </c>
      <c r="I1696" s="4">
        <f t="shared" si="104"/>
        <v>-1.21</v>
      </c>
      <c r="J1696" s="2">
        <f t="shared" si="105"/>
        <v>10.19</v>
      </c>
      <c r="K1696" s="7">
        <f t="shared" si="106"/>
        <v>46054</v>
      </c>
      <c r="L1696" t="str">
        <f t="shared" si="107"/>
        <v>Q1-2026</v>
      </c>
    </row>
    <row r="1697" spans="1:12">
      <c r="A1697" s="6">
        <v>46080</v>
      </c>
      <c r="B1697" t="s">
        <v>8</v>
      </c>
      <c r="C1697" t="s">
        <v>9</v>
      </c>
      <c r="D1697" s="2">
        <v>1391.56596950528</v>
      </c>
      <c r="E1697" s="2">
        <v>1403.9089251530929</v>
      </c>
      <c r="F1697" s="2">
        <v>1381.711508080472</v>
      </c>
      <c r="G1697" s="2">
        <v>1387.48486328125</v>
      </c>
      <c r="H1697" s="3">
        <v>12031440</v>
      </c>
      <c r="I1697" s="4">
        <f t="shared" si="104"/>
        <v>-0.71</v>
      </c>
      <c r="J1697" s="2">
        <f t="shared" si="105"/>
        <v>16.420000000000002</v>
      </c>
      <c r="K1697" s="7">
        <f t="shared" si="106"/>
        <v>46054</v>
      </c>
      <c r="L1697" t="str">
        <f t="shared" si="107"/>
        <v>Q1-2026</v>
      </c>
    </row>
    <row r="1698" spans="1:12">
      <c r="A1698" s="6">
        <v>46080</v>
      </c>
      <c r="B1698" t="s">
        <v>10</v>
      </c>
      <c r="C1698" t="s">
        <v>11</v>
      </c>
      <c r="D1698" s="2">
        <v>2631.2993218947408</v>
      </c>
      <c r="E1698" s="2">
        <v>2638.1680176668519</v>
      </c>
      <c r="F1698" s="2">
        <v>2576.840376844435</v>
      </c>
      <c r="G1698" s="2">
        <v>2587.92822265625</v>
      </c>
      <c r="H1698" s="3">
        <v>5083717</v>
      </c>
      <c r="I1698" s="4">
        <f t="shared" si="104"/>
        <v>-2.0699999999999998</v>
      </c>
      <c r="J1698" s="2">
        <f t="shared" si="105"/>
        <v>50.24</v>
      </c>
      <c r="K1698" s="7">
        <f t="shared" si="106"/>
        <v>46054</v>
      </c>
      <c r="L1698" t="str">
        <f t="shared" si="107"/>
        <v>Q1-2026</v>
      </c>
    </row>
    <row r="1699" spans="1:12">
      <c r="A1699" s="6">
        <v>46080</v>
      </c>
      <c r="B1699" t="s">
        <v>12</v>
      </c>
      <c r="C1699" t="s">
        <v>13</v>
      </c>
      <c r="D1699" s="2">
        <v>1298.2076283219469</v>
      </c>
      <c r="E1699" s="2">
        <v>1306.723305439908</v>
      </c>
      <c r="F1699" s="2">
        <v>1266.7874442662769</v>
      </c>
      <c r="G1699" s="2">
        <v>1272.5625</v>
      </c>
      <c r="H1699" s="3">
        <v>23141724</v>
      </c>
      <c r="I1699" s="4">
        <f t="shared" si="104"/>
        <v>-2.42</v>
      </c>
      <c r="J1699" s="2">
        <f t="shared" si="105"/>
        <v>34.159999999999997</v>
      </c>
      <c r="K1699" s="7">
        <f t="shared" si="106"/>
        <v>46054</v>
      </c>
      <c r="L1699" t="str">
        <f t="shared" si="107"/>
        <v>Q1-2026</v>
      </c>
    </row>
    <row r="1700" spans="1:12">
      <c r="A1700" s="6">
        <v>46080</v>
      </c>
      <c r="B1700" t="s">
        <v>14</v>
      </c>
      <c r="C1700" t="s">
        <v>15</v>
      </c>
      <c r="D1700" s="2">
        <v>883.97947336836148</v>
      </c>
      <c r="E1700" s="2">
        <v>884.32381478432069</v>
      </c>
      <c r="F1700" s="2">
        <v>870.60077363220751</v>
      </c>
      <c r="G1700" s="2">
        <v>873.3060302734375</v>
      </c>
      <c r="H1700" s="3">
        <v>34620755</v>
      </c>
      <c r="I1700" s="4">
        <f t="shared" si="104"/>
        <v>-1.51</v>
      </c>
      <c r="J1700" s="2">
        <f t="shared" si="105"/>
        <v>11.02</v>
      </c>
      <c r="K1700" s="7">
        <f t="shared" si="106"/>
        <v>46054</v>
      </c>
      <c r="L1700" t="str">
        <f t="shared" si="107"/>
        <v>Q1-2026</v>
      </c>
    </row>
    <row r="1701" spans="1:12">
      <c r="A1701" s="6">
        <v>46080</v>
      </c>
      <c r="B1701" t="s">
        <v>16</v>
      </c>
      <c r="C1701" t="s">
        <v>17</v>
      </c>
      <c r="D1701" s="2">
        <v>1388.2960165631059</v>
      </c>
      <c r="E1701" s="2">
        <v>1390.477576169211</v>
      </c>
      <c r="F1701" s="2">
        <v>1365.1907558675259</v>
      </c>
      <c r="G1701" s="2">
        <v>1367.372436523438</v>
      </c>
      <c r="H1701" s="3">
        <v>15096898</v>
      </c>
      <c r="I1701" s="4">
        <f t="shared" si="104"/>
        <v>-1.66</v>
      </c>
      <c r="J1701" s="2">
        <f t="shared" si="105"/>
        <v>23.11</v>
      </c>
      <c r="K1701" s="7">
        <f t="shared" si="106"/>
        <v>46054</v>
      </c>
      <c r="L1701" t="str">
        <f t="shared" si="107"/>
        <v>Q1-2026</v>
      </c>
    </row>
    <row r="1702" spans="1:12">
      <c r="A1702" s="6">
        <v>46080</v>
      </c>
      <c r="B1702" t="s">
        <v>18</v>
      </c>
      <c r="C1702" t="s">
        <v>19</v>
      </c>
      <c r="D1702" s="2">
        <v>201.69647751747041</v>
      </c>
      <c r="E1702" s="2">
        <v>201.69647751747041</v>
      </c>
      <c r="F1702" s="2">
        <v>197.7910830534253</v>
      </c>
      <c r="G1702" s="2">
        <v>198.69081115722659</v>
      </c>
      <c r="H1702" s="3">
        <v>13288519</v>
      </c>
      <c r="I1702" s="4">
        <f t="shared" si="104"/>
        <v>-1.94</v>
      </c>
      <c r="J1702" s="2">
        <f t="shared" si="105"/>
        <v>3.01</v>
      </c>
      <c r="K1702" s="7">
        <f t="shared" si="106"/>
        <v>46054</v>
      </c>
      <c r="L1702" t="str">
        <f t="shared" si="107"/>
        <v>Q1-2026</v>
      </c>
    </row>
    <row r="1703" spans="1:12">
      <c r="A1703" s="6">
        <v>46080</v>
      </c>
      <c r="B1703" t="s">
        <v>20</v>
      </c>
      <c r="C1703" t="s">
        <v>21</v>
      </c>
      <c r="D1703" s="2">
        <v>1357.875293191524</v>
      </c>
      <c r="E1703" s="2">
        <v>1364.4801703704991</v>
      </c>
      <c r="F1703" s="2">
        <v>1342.334517303781</v>
      </c>
      <c r="G1703" s="2">
        <v>1349.230712890625</v>
      </c>
      <c r="H1703" s="3">
        <v>8651443</v>
      </c>
      <c r="I1703" s="4">
        <f t="shared" si="104"/>
        <v>-1.1399999999999999</v>
      </c>
      <c r="J1703" s="2">
        <f t="shared" si="105"/>
        <v>15.25</v>
      </c>
      <c r="K1703" s="7">
        <f t="shared" si="106"/>
        <v>46054</v>
      </c>
      <c r="L1703" t="str">
        <f t="shared" si="107"/>
        <v>Q1-2026</v>
      </c>
    </row>
    <row r="1704" spans="1:12">
      <c r="A1704" s="6">
        <v>46080</v>
      </c>
      <c r="B1704" t="s">
        <v>22</v>
      </c>
      <c r="C1704" t="s">
        <v>23</v>
      </c>
      <c r="D1704" s="2">
        <v>1002.785686699306</v>
      </c>
      <c r="E1704" s="2">
        <v>1008.699346449253</v>
      </c>
      <c r="F1704" s="2">
        <v>987.03248816122857</v>
      </c>
      <c r="G1704" s="2">
        <v>989.8154296875</v>
      </c>
      <c r="H1704" s="3">
        <v>8145772</v>
      </c>
      <c r="I1704" s="4">
        <f t="shared" si="104"/>
        <v>-1.57</v>
      </c>
      <c r="J1704" s="2">
        <f t="shared" si="105"/>
        <v>18.88</v>
      </c>
      <c r="K1704" s="7">
        <f t="shared" si="106"/>
        <v>46054</v>
      </c>
      <c r="L1704" t="str">
        <f t="shared" si="107"/>
        <v>Q1-2026</v>
      </c>
    </row>
    <row r="1705" spans="1:12">
      <c r="A1705" s="6">
        <v>46080</v>
      </c>
      <c r="B1705" t="s">
        <v>24</v>
      </c>
      <c r="C1705" t="s">
        <v>25</v>
      </c>
      <c r="D1705" s="2">
        <v>14959.75879359793</v>
      </c>
      <c r="E1705" s="2">
        <v>15040.943454158811</v>
      </c>
      <c r="F1705" s="2">
        <v>14656.801401748749</v>
      </c>
      <c r="G1705" s="2">
        <v>14709.2744140625</v>
      </c>
      <c r="H1705" s="3">
        <v>478164</v>
      </c>
      <c r="I1705" s="4">
        <f t="shared" si="104"/>
        <v>-2.0299999999999998</v>
      </c>
      <c r="J1705" s="2">
        <f t="shared" si="105"/>
        <v>331.67</v>
      </c>
      <c r="K1705" s="7">
        <f t="shared" si="106"/>
        <v>46054</v>
      </c>
      <c r="L1705" t="str">
        <f t="shared" si="107"/>
        <v>Q1-2026</v>
      </c>
    </row>
    <row r="1706" spans="1:12">
      <c r="A1706" s="6">
        <v>46080</v>
      </c>
      <c r="B1706" t="s">
        <v>26</v>
      </c>
      <c r="C1706" t="s">
        <v>27</v>
      </c>
      <c r="D1706" s="2">
        <v>390.41142532601049</v>
      </c>
      <c r="E1706" s="2">
        <v>390.80812846247562</v>
      </c>
      <c r="F1706" s="2">
        <v>377.81592671081819</v>
      </c>
      <c r="G1706" s="2">
        <v>379.50192260742188</v>
      </c>
      <c r="H1706" s="3">
        <v>15951041</v>
      </c>
      <c r="I1706" s="4">
        <f t="shared" si="104"/>
        <v>-3.23</v>
      </c>
      <c r="J1706" s="2">
        <f t="shared" si="105"/>
        <v>11.31</v>
      </c>
      <c r="K1706" s="7">
        <f t="shared" si="106"/>
        <v>46054</v>
      </c>
      <c r="L1706" t="str">
        <f t="shared" si="107"/>
        <v>Q1-2026</v>
      </c>
    </row>
    <row r="1707" spans="1:12">
      <c r="A1707" s="6">
        <v>46080</v>
      </c>
      <c r="B1707" t="s">
        <v>28</v>
      </c>
      <c r="C1707" t="s">
        <v>29</v>
      </c>
      <c r="D1707" s="2">
        <v>1774.3498094522481</v>
      </c>
      <c r="E1707" s="2">
        <v>1783.4259982925671</v>
      </c>
      <c r="F1707" s="2">
        <v>1726.375564080935</v>
      </c>
      <c r="G1707" s="2">
        <v>1732.459594726562</v>
      </c>
      <c r="H1707" s="3">
        <v>3041489</v>
      </c>
      <c r="I1707" s="4">
        <f t="shared" si="104"/>
        <v>-2.7</v>
      </c>
      <c r="J1707" s="2">
        <f t="shared" si="105"/>
        <v>50.97</v>
      </c>
      <c r="K1707" s="7">
        <f t="shared" si="106"/>
        <v>46054</v>
      </c>
      <c r="L1707" t="str">
        <f t="shared" si="107"/>
        <v>Q1-2026</v>
      </c>
    </row>
    <row r="1708" spans="1:12">
      <c r="A1708" s="6">
        <v>46080</v>
      </c>
      <c r="B1708" t="s">
        <v>30</v>
      </c>
      <c r="C1708" t="s">
        <v>31</v>
      </c>
      <c r="D1708" s="2">
        <v>2364.4858313259701</v>
      </c>
      <c r="E1708" s="2">
        <v>2376.9775514020812</v>
      </c>
      <c r="F1708" s="2">
        <v>2338.7094658691672</v>
      </c>
      <c r="G1708" s="2">
        <v>2355.761474609375</v>
      </c>
      <c r="H1708" s="3">
        <v>2531619</v>
      </c>
      <c r="I1708" s="4">
        <f t="shared" si="104"/>
        <v>-1.0900000000000001</v>
      </c>
      <c r="J1708" s="2">
        <f t="shared" si="105"/>
        <v>21.22</v>
      </c>
      <c r="K1708" s="7">
        <f t="shared" si="106"/>
        <v>46054</v>
      </c>
      <c r="L1708" t="str">
        <f t="shared" si="107"/>
        <v>Q1-2026</v>
      </c>
    </row>
    <row r="1709" spans="1:12">
      <c r="A1709" s="6">
        <v>46080</v>
      </c>
      <c r="B1709" t="s">
        <v>32</v>
      </c>
      <c r="C1709" t="s">
        <v>33</v>
      </c>
      <c r="D1709" s="2">
        <v>2345.4431666431178</v>
      </c>
      <c r="E1709" s="2">
        <v>2354.9463576130138</v>
      </c>
      <c r="F1709" s="2">
        <v>2307.1328918130512</v>
      </c>
      <c r="G1709" s="2">
        <v>2314.557373046875</v>
      </c>
      <c r="H1709" s="3">
        <v>3053227</v>
      </c>
      <c r="I1709" s="4">
        <f t="shared" si="104"/>
        <v>-1.63</v>
      </c>
      <c r="J1709" s="2">
        <f t="shared" si="105"/>
        <v>40.39</v>
      </c>
      <c r="K1709" s="7">
        <f t="shared" si="106"/>
        <v>46054</v>
      </c>
      <c r="L1709" t="str">
        <f t="shared" si="107"/>
        <v>Q1-2026</v>
      </c>
    </row>
    <row r="1710" spans="1:12">
      <c r="A1710" s="6">
        <v>46080</v>
      </c>
      <c r="B1710" t="s">
        <v>34</v>
      </c>
      <c r="C1710" t="s">
        <v>35</v>
      </c>
      <c r="D1710" s="2">
        <v>4247.4140685354459</v>
      </c>
      <c r="E1710" s="2">
        <v>4263.0615278304922</v>
      </c>
      <c r="F1710" s="2">
        <v>4213.2477814452777</v>
      </c>
      <c r="G1710" s="2">
        <v>4236.91650390625</v>
      </c>
      <c r="H1710" s="3">
        <v>2357853</v>
      </c>
      <c r="I1710" s="4">
        <f t="shared" si="104"/>
        <v>-0.8</v>
      </c>
      <c r="J1710" s="2">
        <f t="shared" si="105"/>
        <v>26.15</v>
      </c>
      <c r="K1710" s="7">
        <f t="shared" si="106"/>
        <v>46054</v>
      </c>
      <c r="L1710" t="str">
        <f t="shared" si="107"/>
        <v>Q1-2026</v>
      </c>
    </row>
    <row r="1711" spans="1:12">
      <c r="A1711" s="6">
        <v>46080</v>
      </c>
      <c r="B1711" t="s">
        <v>36</v>
      </c>
      <c r="C1711" t="s">
        <v>37</v>
      </c>
      <c r="D1711" s="2">
        <v>1385.931082625784</v>
      </c>
      <c r="E1711" s="2">
        <v>1394.4245319425249</v>
      </c>
      <c r="F1711" s="2">
        <v>1379.9357066374971</v>
      </c>
      <c r="G1711" s="2">
        <v>1382.83349609375</v>
      </c>
      <c r="H1711" s="3">
        <v>5840317</v>
      </c>
      <c r="I1711" s="4">
        <f t="shared" si="104"/>
        <v>-0.43</v>
      </c>
      <c r="J1711" s="2">
        <f t="shared" si="105"/>
        <v>11.59</v>
      </c>
      <c r="K1711" s="7">
        <f t="shared" si="106"/>
        <v>46054</v>
      </c>
      <c r="L1711" t="str">
        <f t="shared" si="107"/>
        <v>Q1-2026</v>
      </c>
    </row>
    <row r="1712" spans="1:12">
      <c r="A1712" s="6">
        <v>46083</v>
      </c>
      <c r="B1712" t="s">
        <v>8</v>
      </c>
      <c r="C1712" t="s">
        <v>9</v>
      </c>
      <c r="D1712" s="2">
        <v>1369.169458762887</v>
      </c>
      <c r="E1712" s="2">
        <v>1372.255167156326</v>
      </c>
      <c r="F1712" s="2">
        <v>1335.3259388807071</v>
      </c>
      <c r="G1712" s="2">
        <v>1351.75</v>
      </c>
      <c r="H1712" s="3">
        <v>23728722</v>
      </c>
      <c r="I1712" s="4">
        <f t="shared" si="104"/>
        <v>-2.4700000000000002</v>
      </c>
      <c r="J1712" s="2">
        <f t="shared" si="105"/>
        <v>20.51</v>
      </c>
      <c r="K1712" s="7">
        <f t="shared" si="106"/>
        <v>46082</v>
      </c>
      <c r="L1712" t="str">
        <f t="shared" si="107"/>
        <v>Q1-2026</v>
      </c>
    </row>
    <row r="1713" spans="1:12">
      <c r="A1713" s="6">
        <v>46083</v>
      </c>
      <c r="B1713" t="s">
        <v>10</v>
      </c>
      <c r="C1713" t="s">
        <v>11</v>
      </c>
      <c r="D1713" s="2">
        <v>2543.3798546011099</v>
      </c>
      <c r="E1713" s="2">
        <v>2574.5834053591279</v>
      </c>
      <c r="F1713" s="2">
        <v>2531.8993684474199</v>
      </c>
      <c r="G1713" s="2">
        <v>2564.4765625</v>
      </c>
      <c r="H1713" s="3">
        <v>3374385</v>
      </c>
      <c r="I1713" s="4">
        <f t="shared" si="104"/>
        <v>-0.45</v>
      </c>
      <c r="J1713" s="2">
        <f t="shared" si="105"/>
        <v>10.11</v>
      </c>
      <c r="K1713" s="7">
        <f t="shared" si="106"/>
        <v>46082</v>
      </c>
      <c r="L1713" t="str">
        <f t="shared" si="107"/>
        <v>Q1-2026</v>
      </c>
    </row>
    <row r="1714" spans="1:12">
      <c r="A1714" s="6">
        <v>46083</v>
      </c>
      <c r="B1714" t="s">
        <v>12</v>
      </c>
      <c r="C1714" t="s">
        <v>13</v>
      </c>
      <c r="D1714" s="2">
        <v>1263.655227282909</v>
      </c>
      <c r="E1714" s="2">
        <v>1271.2900626622441</v>
      </c>
      <c r="F1714" s="2">
        <v>1246.0364867011169</v>
      </c>
      <c r="G1714" s="2">
        <v>1261.599731445312</v>
      </c>
      <c r="H1714" s="3">
        <v>9700361</v>
      </c>
      <c r="I1714" s="4">
        <f t="shared" si="104"/>
        <v>-1.39</v>
      </c>
      <c r="J1714" s="2">
        <f t="shared" si="105"/>
        <v>9.69</v>
      </c>
      <c r="K1714" s="7">
        <f t="shared" si="106"/>
        <v>46082</v>
      </c>
      <c r="L1714" t="str">
        <f t="shared" si="107"/>
        <v>Q1-2026</v>
      </c>
    </row>
    <row r="1715" spans="1:12">
      <c r="A1715" s="6">
        <v>46083</v>
      </c>
      <c r="B1715" t="s">
        <v>14</v>
      </c>
      <c r="C1715" t="s">
        <v>15</v>
      </c>
      <c r="D1715" s="2">
        <v>861.9439110956672</v>
      </c>
      <c r="E1715" s="2">
        <v>873.30597627791053</v>
      </c>
      <c r="F1715" s="2">
        <v>857.36954431375909</v>
      </c>
      <c r="G1715" s="2">
        <v>865.09185791015625</v>
      </c>
      <c r="H1715" s="3">
        <v>38378924</v>
      </c>
      <c r="I1715" s="4">
        <f t="shared" si="104"/>
        <v>-0.53</v>
      </c>
      <c r="J1715" s="2">
        <f t="shared" si="105"/>
        <v>8.2100000000000009</v>
      </c>
      <c r="K1715" s="7">
        <f t="shared" si="106"/>
        <v>46082</v>
      </c>
      <c r="L1715" t="str">
        <f t="shared" si="107"/>
        <v>Q1-2026</v>
      </c>
    </row>
    <row r="1716" spans="1:12">
      <c r="A1716" s="6">
        <v>46083</v>
      </c>
      <c r="B1716" t="s">
        <v>16</v>
      </c>
      <c r="C1716" t="s">
        <v>17</v>
      </c>
      <c r="D1716" s="2">
        <v>1343.672146415433</v>
      </c>
      <c r="E1716" s="2">
        <v>1367.669785038504</v>
      </c>
      <c r="F1716" s="2">
        <v>1343.672146415433</v>
      </c>
      <c r="G1716" s="2">
        <v>1362.513305664062</v>
      </c>
      <c r="H1716" s="3">
        <v>16928683</v>
      </c>
      <c r="I1716" s="4">
        <f t="shared" si="104"/>
        <v>0</v>
      </c>
      <c r="J1716" s="2">
        <f t="shared" si="105"/>
        <v>5.16</v>
      </c>
      <c r="K1716" s="7">
        <f t="shared" si="106"/>
        <v>46082</v>
      </c>
      <c r="L1716" t="str">
        <f t="shared" si="107"/>
        <v>Q1-2026</v>
      </c>
    </row>
    <row r="1717" spans="1:12">
      <c r="A1717" s="6">
        <v>46083</v>
      </c>
      <c r="B1717" t="s">
        <v>18</v>
      </c>
      <c r="C1717" t="s">
        <v>19</v>
      </c>
      <c r="D1717" s="2">
        <v>192.79809388477369</v>
      </c>
      <c r="E1717" s="2">
        <v>198.09757029963009</v>
      </c>
      <c r="F1717" s="2">
        <v>192.50147841534539</v>
      </c>
      <c r="G1717" s="2">
        <v>196.3277893066406</v>
      </c>
      <c r="H1717" s="3">
        <v>10486866</v>
      </c>
      <c r="I1717" s="4">
        <f t="shared" si="104"/>
        <v>-0.15</v>
      </c>
      <c r="J1717" s="2">
        <f t="shared" si="105"/>
        <v>1.77</v>
      </c>
      <c r="K1717" s="7">
        <f t="shared" si="106"/>
        <v>46082</v>
      </c>
      <c r="L1717" t="str">
        <f t="shared" si="107"/>
        <v>Q1-2026</v>
      </c>
    </row>
    <row r="1718" spans="1:12">
      <c r="A1718" s="6">
        <v>46083</v>
      </c>
      <c r="B1718" t="s">
        <v>20</v>
      </c>
      <c r="C1718" t="s">
        <v>21</v>
      </c>
      <c r="D1718" s="2">
        <v>1312.224298189192</v>
      </c>
      <c r="E1718" s="2">
        <v>1346.2197463288089</v>
      </c>
      <c r="F1718" s="2">
        <v>1311.2529996709179</v>
      </c>
      <c r="G1718" s="2">
        <v>1331.650268554688</v>
      </c>
      <c r="H1718" s="3">
        <v>2088938</v>
      </c>
      <c r="I1718" s="4">
        <f t="shared" si="104"/>
        <v>-7.0000000000000007E-2</v>
      </c>
      <c r="J1718" s="2">
        <f t="shared" si="105"/>
        <v>14.57</v>
      </c>
      <c r="K1718" s="7">
        <f t="shared" si="106"/>
        <v>46082</v>
      </c>
      <c r="L1718" t="str">
        <f t="shared" si="107"/>
        <v>Q1-2026</v>
      </c>
    </row>
    <row r="1719" spans="1:12">
      <c r="A1719" s="6">
        <v>46083</v>
      </c>
      <c r="B1719" t="s">
        <v>22</v>
      </c>
      <c r="C1719" t="s">
        <v>23</v>
      </c>
      <c r="D1719" s="2">
        <v>965.0675492124609</v>
      </c>
      <c r="E1719" s="2">
        <v>984.34904665421288</v>
      </c>
      <c r="F1719" s="2">
        <v>962.08587810263862</v>
      </c>
      <c r="G1719" s="2">
        <v>972.27325439453125</v>
      </c>
      <c r="H1719" s="3">
        <v>8493269</v>
      </c>
      <c r="I1719" s="4">
        <f t="shared" si="104"/>
        <v>-0.31</v>
      </c>
      <c r="J1719" s="2">
        <f t="shared" si="105"/>
        <v>12.08</v>
      </c>
      <c r="K1719" s="7">
        <f t="shared" si="106"/>
        <v>46082</v>
      </c>
      <c r="L1719" t="str">
        <f t="shared" si="107"/>
        <v>Q1-2026</v>
      </c>
    </row>
    <row r="1720" spans="1:12">
      <c r="A1720" s="6">
        <v>46083</v>
      </c>
      <c r="B1720" t="s">
        <v>24</v>
      </c>
      <c r="C1720" t="s">
        <v>25</v>
      </c>
      <c r="D1720" s="2">
        <v>14263.74857954546</v>
      </c>
      <c r="E1720" s="2">
        <v>14537.99431818182</v>
      </c>
      <c r="F1720" s="2">
        <v>14062.76704545455</v>
      </c>
      <c r="G1720" s="2">
        <v>14244.9375</v>
      </c>
      <c r="H1720" s="3">
        <v>603744</v>
      </c>
      <c r="I1720" s="4">
        <f t="shared" si="104"/>
        <v>-1.41</v>
      </c>
      <c r="J1720" s="2">
        <f t="shared" si="105"/>
        <v>293.06</v>
      </c>
      <c r="K1720" s="7">
        <f t="shared" si="106"/>
        <v>46082</v>
      </c>
      <c r="L1720" t="str">
        <f t="shared" si="107"/>
        <v>Q1-2026</v>
      </c>
    </row>
    <row r="1721" spans="1:12">
      <c r="A1721" s="6">
        <v>46083</v>
      </c>
      <c r="B1721" t="s">
        <v>26</v>
      </c>
      <c r="C1721" t="s">
        <v>27</v>
      </c>
      <c r="D1721" s="2">
        <v>355.054710869009</v>
      </c>
      <c r="E1721" s="2">
        <v>375.28687269762861</v>
      </c>
      <c r="F1721" s="2">
        <v>352.5752785305383</v>
      </c>
      <c r="G1721" s="2">
        <v>367.55105590820313</v>
      </c>
      <c r="H1721" s="3">
        <v>11804909</v>
      </c>
      <c r="I1721" s="4">
        <f t="shared" si="104"/>
        <v>-0.7</v>
      </c>
      <c r="J1721" s="2">
        <f t="shared" si="105"/>
        <v>7.74</v>
      </c>
      <c r="K1721" s="7">
        <f t="shared" si="106"/>
        <v>46082</v>
      </c>
      <c r="L1721" t="str">
        <f t="shared" si="107"/>
        <v>Q1-2026</v>
      </c>
    </row>
    <row r="1722" spans="1:12">
      <c r="A1722" s="6">
        <v>46083</v>
      </c>
      <c r="B1722" t="s">
        <v>28</v>
      </c>
      <c r="C1722" t="s">
        <v>29</v>
      </c>
      <c r="D1722" s="2">
        <v>1707.524932016762</v>
      </c>
      <c r="E1722" s="2">
        <v>1755.299748565373</v>
      </c>
      <c r="F1722" s="2">
        <v>1707.524932016762</v>
      </c>
      <c r="G1722" s="2">
        <v>1747.919067382812</v>
      </c>
      <c r="H1722" s="3">
        <v>3919270</v>
      </c>
      <c r="I1722" s="4">
        <f t="shared" si="104"/>
        <v>0</v>
      </c>
      <c r="J1722" s="2">
        <f t="shared" si="105"/>
        <v>7.38</v>
      </c>
      <c r="K1722" s="7">
        <f t="shared" si="106"/>
        <v>46082</v>
      </c>
      <c r="L1722" t="str">
        <f t="shared" si="107"/>
        <v>Q1-2026</v>
      </c>
    </row>
    <row r="1723" spans="1:12">
      <c r="A1723" s="6">
        <v>46083</v>
      </c>
      <c r="B1723" t="s">
        <v>30</v>
      </c>
      <c r="C1723" t="s">
        <v>31</v>
      </c>
      <c r="D1723" s="2">
        <v>2280.2168323371661</v>
      </c>
      <c r="E1723" s="2">
        <v>2317.790743323319</v>
      </c>
      <c r="F1723" s="2">
        <v>2263.858755061704</v>
      </c>
      <c r="G1723" s="2">
        <v>2287.255859375</v>
      </c>
      <c r="H1723" s="3">
        <v>2528308</v>
      </c>
      <c r="I1723" s="4">
        <f t="shared" si="104"/>
        <v>-0.72</v>
      </c>
      <c r="J1723" s="2">
        <f t="shared" si="105"/>
        <v>30.53</v>
      </c>
      <c r="K1723" s="7">
        <f t="shared" si="106"/>
        <v>46082</v>
      </c>
      <c r="L1723" t="str">
        <f t="shared" si="107"/>
        <v>Q1-2026</v>
      </c>
    </row>
    <row r="1724" spans="1:12">
      <c r="A1724" s="6">
        <v>46083</v>
      </c>
      <c r="B1724" t="s">
        <v>32</v>
      </c>
      <c r="C1724" t="s">
        <v>33</v>
      </c>
      <c r="D1724" s="2">
        <v>2279.8107628284288</v>
      </c>
      <c r="E1724" s="2">
        <v>2330.2972365167702</v>
      </c>
      <c r="F1724" s="2">
        <v>2267.1395995270441</v>
      </c>
      <c r="G1724" s="2">
        <v>2297.233642578125</v>
      </c>
      <c r="H1724" s="3">
        <v>2273224</v>
      </c>
      <c r="I1724" s="4">
        <f t="shared" si="104"/>
        <v>-0.56000000000000005</v>
      </c>
      <c r="J1724" s="2">
        <f t="shared" si="105"/>
        <v>33.06</v>
      </c>
      <c r="K1724" s="7">
        <f t="shared" si="106"/>
        <v>46082</v>
      </c>
      <c r="L1724" t="str">
        <f t="shared" si="107"/>
        <v>Q1-2026</v>
      </c>
    </row>
    <row r="1725" spans="1:12">
      <c r="A1725" s="6">
        <v>46083</v>
      </c>
      <c r="B1725" t="s">
        <v>34</v>
      </c>
      <c r="C1725" t="s">
        <v>35</v>
      </c>
      <c r="D1725" s="2">
        <v>4021.7184649787841</v>
      </c>
      <c r="E1725" s="2">
        <v>4101.3406693221359</v>
      </c>
      <c r="F1725" s="2">
        <v>3936.9463661489081</v>
      </c>
      <c r="G1725" s="2">
        <v>4027.36328125</v>
      </c>
      <c r="H1725" s="3">
        <v>6542141</v>
      </c>
      <c r="I1725" s="4">
        <f t="shared" si="104"/>
        <v>-2.11</v>
      </c>
      <c r="J1725" s="2">
        <f t="shared" si="105"/>
        <v>73.98</v>
      </c>
      <c r="K1725" s="7">
        <f t="shared" si="106"/>
        <v>46082</v>
      </c>
      <c r="L1725" t="str">
        <f t="shared" si="107"/>
        <v>Q1-2026</v>
      </c>
    </row>
    <row r="1726" spans="1:12">
      <c r="A1726" s="6">
        <v>46083</v>
      </c>
      <c r="B1726" t="s">
        <v>36</v>
      </c>
      <c r="C1726" t="s">
        <v>37</v>
      </c>
      <c r="D1726" s="2">
        <v>1368.044946446822</v>
      </c>
      <c r="E1726" s="2">
        <v>1383.6329006836199</v>
      </c>
      <c r="F1726" s="2">
        <v>1352.5568907547231</v>
      </c>
      <c r="G1726" s="2">
        <v>1371.242553710938</v>
      </c>
      <c r="H1726" s="3">
        <v>5132511</v>
      </c>
      <c r="I1726" s="4">
        <f t="shared" si="104"/>
        <v>-1.1299999999999999</v>
      </c>
      <c r="J1726" s="2">
        <f t="shared" si="105"/>
        <v>12.39</v>
      </c>
      <c r="K1726" s="7">
        <f t="shared" si="106"/>
        <v>46082</v>
      </c>
      <c r="L1726" t="str">
        <f t="shared" si="107"/>
        <v>Q1-2026</v>
      </c>
    </row>
    <row r="1727" spans="1:12">
      <c r="A1727" s="6">
        <v>46085</v>
      </c>
      <c r="B1727" t="s">
        <v>8</v>
      </c>
      <c r="C1727" t="s">
        <v>9</v>
      </c>
      <c r="D1727" s="2">
        <v>1323.8789706886041</v>
      </c>
      <c r="E1727" s="2">
        <v>1346.574087360955</v>
      </c>
      <c r="F1727" s="2">
        <v>1300.984823075192</v>
      </c>
      <c r="G1727" s="2">
        <v>1338.809936523438</v>
      </c>
      <c r="H1727" s="3">
        <v>32495007</v>
      </c>
      <c r="I1727" s="4">
        <f t="shared" si="104"/>
        <v>-1.73</v>
      </c>
      <c r="J1727" s="2">
        <f t="shared" si="105"/>
        <v>7.76</v>
      </c>
      <c r="K1727" s="7">
        <f t="shared" si="106"/>
        <v>46082</v>
      </c>
      <c r="L1727" t="str">
        <f t="shared" si="107"/>
        <v>Q1-2026</v>
      </c>
    </row>
    <row r="1728" spans="1:12">
      <c r="A1728" s="6">
        <v>46085</v>
      </c>
      <c r="B1728" t="s">
        <v>10</v>
      </c>
      <c r="C1728" t="s">
        <v>11</v>
      </c>
      <c r="D1728" s="2">
        <v>2575.760953520165</v>
      </c>
      <c r="E1728" s="2">
        <v>2585.5733762002419</v>
      </c>
      <c r="F1728" s="2">
        <v>2531.9974525425828</v>
      </c>
      <c r="G1728" s="2">
        <v>2539.2587890625</v>
      </c>
      <c r="H1728" s="3">
        <v>3446434</v>
      </c>
      <c r="I1728" s="4">
        <f t="shared" si="104"/>
        <v>-1.7</v>
      </c>
      <c r="J1728" s="2">
        <f t="shared" si="105"/>
        <v>46.31</v>
      </c>
      <c r="K1728" s="7">
        <f t="shared" si="106"/>
        <v>46082</v>
      </c>
      <c r="L1728" t="str">
        <f t="shared" si="107"/>
        <v>Q1-2026</v>
      </c>
    </row>
    <row r="1729" spans="1:12">
      <c r="A1729" s="6">
        <v>46085</v>
      </c>
      <c r="B1729" t="s">
        <v>12</v>
      </c>
      <c r="C1729" t="s">
        <v>13</v>
      </c>
      <c r="D1729" s="2">
        <v>1264.634050408484</v>
      </c>
      <c r="E1729" s="2">
        <v>1289.1045235201029</v>
      </c>
      <c r="F1729" s="2">
        <v>1264.634050408484</v>
      </c>
      <c r="G1729" s="2">
        <v>1279.707885742188</v>
      </c>
      <c r="H1729" s="3">
        <v>15154950</v>
      </c>
      <c r="I1729" s="4">
        <f t="shared" si="104"/>
        <v>0</v>
      </c>
      <c r="J1729" s="2">
        <f t="shared" si="105"/>
        <v>9.4</v>
      </c>
      <c r="K1729" s="7">
        <f t="shared" si="106"/>
        <v>46082</v>
      </c>
      <c r="L1729" t="str">
        <f t="shared" si="107"/>
        <v>Q1-2026</v>
      </c>
    </row>
    <row r="1730" spans="1:12">
      <c r="A1730" s="6">
        <v>46085</v>
      </c>
      <c r="B1730" t="s">
        <v>14</v>
      </c>
      <c r="C1730" t="s">
        <v>15</v>
      </c>
      <c r="D1730" s="2">
        <v>834.20274337438502</v>
      </c>
      <c r="E1730" s="2">
        <v>864.99346941740305</v>
      </c>
      <c r="F1730" s="2">
        <v>834.20274337438502</v>
      </c>
      <c r="G1730" s="2">
        <v>854.51678466796875</v>
      </c>
      <c r="H1730" s="3">
        <v>39862322</v>
      </c>
      <c r="I1730" s="4">
        <f t="shared" ref="I1730:I1793" si="108">ROUND(((F1730-D1730)/D1730)*100, 2)</f>
        <v>0</v>
      </c>
      <c r="J1730" s="2">
        <f t="shared" ref="J1730:J1793" si="109">ROUND(E1730-G1730, 2)</f>
        <v>10.48</v>
      </c>
      <c r="K1730" s="7">
        <f t="shared" ref="K1730:K1793" si="110">DATE(YEAR(A1730),MONTH(A1730),1)</f>
        <v>46082</v>
      </c>
      <c r="L1730" t="str">
        <f t="shared" ref="L1730:L1793" si="111">"Q"&amp;INT((MONTH(A1730)-1)/3)+1&amp;"-"&amp;YEAR(A1730)</f>
        <v>Q1-2026</v>
      </c>
    </row>
    <row r="1731" spans="1:12">
      <c r="A1731" s="6">
        <v>46085</v>
      </c>
      <c r="B1731" t="s">
        <v>16</v>
      </c>
      <c r="C1731" t="s">
        <v>17</v>
      </c>
      <c r="D1731" s="2">
        <v>1314.91459074574</v>
      </c>
      <c r="E1731" s="2">
        <v>1364.496588888491</v>
      </c>
      <c r="F1731" s="2">
        <v>1314.91459074574</v>
      </c>
      <c r="G1731" s="2">
        <v>1353.985229492188</v>
      </c>
      <c r="H1731" s="3">
        <v>20009132</v>
      </c>
      <c r="I1731" s="4">
        <f t="shared" si="108"/>
        <v>0</v>
      </c>
      <c r="J1731" s="2">
        <f t="shared" si="109"/>
        <v>10.51</v>
      </c>
      <c r="K1731" s="7">
        <f t="shared" si="110"/>
        <v>46082</v>
      </c>
      <c r="L1731" t="str">
        <f t="shared" si="111"/>
        <v>Q1-2026</v>
      </c>
    </row>
    <row r="1732" spans="1:12">
      <c r="A1732" s="6">
        <v>46085</v>
      </c>
      <c r="B1732" t="s">
        <v>18</v>
      </c>
      <c r="C1732" t="s">
        <v>19</v>
      </c>
      <c r="D1732" s="2">
        <v>193.79668574400901</v>
      </c>
      <c r="E1732" s="2">
        <v>194.89415243187449</v>
      </c>
      <c r="F1732" s="2">
        <v>192.31362346778471</v>
      </c>
      <c r="G1732" s="2">
        <v>193.3418884277344</v>
      </c>
      <c r="H1732" s="3">
        <v>19562075</v>
      </c>
      <c r="I1732" s="4">
        <f t="shared" si="108"/>
        <v>-0.77</v>
      </c>
      <c r="J1732" s="2">
        <f t="shared" si="109"/>
        <v>1.55</v>
      </c>
      <c r="K1732" s="7">
        <f t="shared" si="110"/>
        <v>46082</v>
      </c>
      <c r="L1732" t="str">
        <f t="shared" si="111"/>
        <v>Q1-2026</v>
      </c>
    </row>
    <row r="1733" spans="1:12">
      <c r="A1733" s="6">
        <v>46085</v>
      </c>
      <c r="B1733" t="s">
        <v>20</v>
      </c>
      <c r="C1733" t="s">
        <v>21</v>
      </c>
      <c r="D1733" s="2">
        <v>1317.0808080410329</v>
      </c>
      <c r="E1733" s="2">
        <v>1342.3345698471289</v>
      </c>
      <c r="F1733" s="2">
        <v>1317.0808080410329</v>
      </c>
      <c r="G1733" s="2">
        <v>1324.851196289062</v>
      </c>
      <c r="H1733" s="3">
        <v>3161598</v>
      </c>
      <c r="I1733" s="4">
        <f t="shared" si="108"/>
        <v>0</v>
      </c>
      <c r="J1733" s="2">
        <f t="shared" si="109"/>
        <v>17.48</v>
      </c>
      <c r="K1733" s="7">
        <f t="shared" si="110"/>
        <v>46082</v>
      </c>
      <c r="L1733" t="str">
        <f t="shared" si="111"/>
        <v>Q1-2026</v>
      </c>
    </row>
    <row r="1734" spans="1:12">
      <c r="A1734" s="6">
        <v>46085</v>
      </c>
      <c r="B1734" t="s">
        <v>22</v>
      </c>
      <c r="C1734" t="s">
        <v>23</v>
      </c>
      <c r="D1734" s="2">
        <v>961.0919675381565</v>
      </c>
      <c r="E1734" s="2">
        <v>961.0919675381565</v>
      </c>
      <c r="F1734" s="2">
        <v>935.54897343494008</v>
      </c>
      <c r="G1734" s="2">
        <v>939.32574462890625</v>
      </c>
      <c r="H1734" s="3">
        <v>8964293</v>
      </c>
      <c r="I1734" s="4">
        <f t="shared" si="108"/>
        <v>-2.66</v>
      </c>
      <c r="J1734" s="2">
        <f t="shared" si="109"/>
        <v>21.77</v>
      </c>
      <c r="K1734" s="7">
        <f t="shared" si="110"/>
        <v>46082</v>
      </c>
      <c r="L1734" t="str">
        <f t="shared" si="111"/>
        <v>Q1-2026</v>
      </c>
    </row>
    <row r="1735" spans="1:12">
      <c r="A1735" s="6">
        <v>46085</v>
      </c>
      <c r="B1735" t="s">
        <v>24</v>
      </c>
      <c r="C1735" t="s">
        <v>25</v>
      </c>
      <c r="D1735" s="2">
        <v>14009.30415472922</v>
      </c>
      <c r="E1735" s="2">
        <v>14042.9660869738</v>
      </c>
      <c r="F1735" s="2">
        <v>13656.84392299186</v>
      </c>
      <c r="G1735" s="2">
        <v>14017.224609375</v>
      </c>
      <c r="H1735" s="3">
        <v>710366</v>
      </c>
      <c r="I1735" s="4">
        <f t="shared" si="108"/>
        <v>-2.52</v>
      </c>
      <c r="J1735" s="2">
        <f t="shared" si="109"/>
        <v>25.74</v>
      </c>
      <c r="K1735" s="7">
        <f t="shared" si="110"/>
        <v>46082</v>
      </c>
      <c r="L1735" t="str">
        <f t="shared" si="111"/>
        <v>Q1-2026</v>
      </c>
    </row>
    <row r="1736" spans="1:12">
      <c r="A1736" s="6">
        <v>46085</v>
      </c>
      <c r="B1736" t="s">
        <v>26</v>
      </c>
      <c r="C1736" t="s">
        <v>27</v>
      </c>
      <c r="D1736" s="2">
        <v>360.16233742897981</v>
      </c>
      <c r="E1736" s="2">
        <v>360.90616713464328</v>
      </c>
      <c r="F1736" s="2">
        <v>347.21971265703769</v>
      </c>
      <c r="G1736" s="2">
        <v>348.3106689453125</v>
      </c>
      <c r="H1736" s="3">
        <v>17733124</v>
      </c>
      <c r="I1736" s="4">
        <f t="shared" si="108"/>
        <v>-3.59</v>
      </c>
      <c r="J1736" s="2">
        <f t="shared" si="109"/>
        <v>12.6</v>
      </c>
      <c r="K1736" s="7">
        <f t="shared" si="110"/>
        <v>46082</v>
      </c>
      <c r="L1736" t="str">
        <f t="shared" si="111"/>
        <v>Q1-2026</v>
      </c>
    </row>
    <row r="1737" spans="1:12">
      <c r="A1737" s="6">
        <v>46085</v>
      </c>
      <c r="B1737" t="s">
        <v>28</v>
      </c>
      <c r="C1737" t="s">
        <v>29</v>
      </c>
      <c r="D1737" s="2">
        <v>1716.7008558401751</v>
      </c>
      <c r="E1737" s="2">
        <v>1752.606754378093</v>
      </c>
      <c r="F1737" s="2">
        <v>1716.501427326567</v>
      </c>
      <c r="G1737" s="2">
        <v>1745.92431640625</v>
      </c>
      <c r="H1737" s="3">
        <v>4914857</v>
      </c>
      <c r="I1737" s="4">
        <f t="shared" si="108"/>
        <v>-0.01</v>
      </c>
      <c r="J1737" s="2">
        <f t="shared" si="109"/>
        <v>6.68</v>
      </c>
      <c r="K1737" s="7">
        <f t="shared" si="110"/>
        <v>46082</v>
      </c>
      <c r="L1737" t="str">
        <f t="shared" si="111"/>
        <v>Q1-2026</v>
      </c>
    </row>
    <row r="1738" spans="1:12">
      <c r="A1738" s="6">
        <v>46085</v>
      </c>
      <c r="B1738" t="s">
        <v>30</v>
      </c>
      <c r="C1738" t="s">
        <v>31</v>
      </c>
      <c r="D1738" s="2">
        <v>2241.2549220683882</v>
      </c>
      <c r="E1738" s="2">
        <v>2271.1951134569458</v>
      </c>
      <c r="F1738" s="2">
        <v>2197.2369179915081</v>
      </c>
      <c r="G1738" s="2">
        <v>2265.544189453125</v>
      </c>
      <c r="H1738" s="3">
        <v>1610358</v>
      </c>
      <c r="I1738" s="4">
        <f t="shared" si="108"/>
        <v>-1.96</v>
      </c>
      <c r="J1738" s="2">
        <f t="shared" si="109"/>
        <v>5.65</v>
      </c>
      <c r="K1738" s="7">
        <f t="shared" si="110"/>
        <v>46082</v>
      </c>
      <c r="L1738" t="str">
        <f t="shared" si="111"/>
        <v>Q1-2026</v>
      </c>
    </row>
    <row r="1739" spans="1:12">
      <c r="A1739" s="6">
        <v>46085</v>
      </c>
      <c r="B1739" t="s">
        <v>32</v>
      </c>
      <c r="C1739" t="s">
        <v>33</v>
      </c>
      <c r="D1739" s="2">
        <v>2269.8124327191072</v>
      </c>
      <c r="E1739" s="2">
        <v>2288.3243336403821</v>
      </c>
      <c r="F1739" s="2">
        <v>2229.423445900477</v>
      </c>
      <c r="G1739" s="2">
        <v>2238.53076171875</v>
      </c>
      <c r="H1739" s="3">
        <v>2648737</v>
      </c>
      <c r="I1739" s="4">
        <f t="shared" si="108"/>
        <v>-1.78</v>
      </c>
      <c r="J1739" s="2">
        <f t="shared" si="109"/>
        <v>49.79</v>
      </c>
      <c r="K1739" s="7">
        <f t="shared" si="110"/>
        <v>46082</v>
      </c>
      <c r="L1739" t="str">
        <f t="shared" si="111"/>
        <v>Q1-2026</v>
      </c>
    </row>
    <row r="1740" spans="1:12">
      <c r="A1740" s="6">
        <v>46085</v>
      </c>
      <c r="B1740" t="s">
        <v>34</v>
      </c>
      <c r="C1740" t="s">
        <v>35</v>
      </c>
      <c r="D1740" s="2">
        <v>3911.7921409181708</v>
      </c>
      <c r="E1740" s="2">
        <v>3920.7050850367191</v>
      </c>
      <c r="F1740" s="2">
        <v>3723.6299873043858</v>
      </c>
      <c r="G1740" s="2">
        <v>3845.044189453125</v>
      </c>
      <c r="H1740" s="3">
        <v>7635350</v>
      </c>
      <c r="I1740" s="4">
        <f t="shared" si="108"/>
        <v>-4.8099999999999996</v>
      </c>
      <c r="J1740" s="2">
        <f t="shared" si="109"/>
        <v>75.66</v>
      </c>
      <c r="K1740" s="7">
        <f t="shared" si="110"/>
        <v>46082</v>
      </c>
      <c r="L1740" t="str">
        <f t="shared" si="111"/>
        <v>Q1-2026</v>
      </c>
    </row>
    <row r="1741" spans="1:12">
      <c r="A1741" s="6">
        <v>46085</v>
      </c>
      <c r="B1741" t="s">
        <v>36</v>
      </c>
      <c r="C1741" t="s">
        <v>37</v>
      </c>
      <c r="D1741" s="2">
        <v>1343.463858634037</v>
      </c>
      <c r="E1741" s="2">
        <v>1356.553738700007</v>
      </c>
      <c r="F1741" s="2">
        <v>1325.977345040809</v>
      </c>
      <c r="G1741" s="2">
        <v>1350.258666992188</v>
      </c>
      <c r="H1741" s="3">
        <v>5832353</v>
      </c>
      <c r="I1741" s="4">
        <f t="shared" si="108"/>
        <v>-1.3</v>
      </c>
      <c r="J1741" s="2">
        <f t="shared" si="109"/>
        <v>6.3</v>
      </c>
      <c r="K1741" s="7">
        <f t="shared" si="110"/>
        <v>46082</v>
      </c>
      <c r="L1741" t="str">
        <f t="shared" si="111"/>
        <v>Q1-2026</v>
      </c>
    </row>
    <row r="1742" spans="1:12">
      <c r="A1742" s="6">
        <v>46086</v>
      </c>
      <c r="B1742" t="s">
        <v>8</v>
      </c>
      <c r="C1742" t="s">
        <v>9</v>
      </c>
      <c r="D1742" s="2">
        <v>1346.8726294272451</v>
      </c>
      <c r="E1742" s="2">
        <v>1392.561409036138</v>
      </c>
      <c r="F1742" s="2">
        <v>1346.8726294272451</v>
      </c>
      <c r="G1742" s="2">
        <v>1383.005615234375</v>
      </c>
      <c r="H1742" s="3">
        <v>25957532</v>
      </c>
      <c r="I1742" s="4">
        <f t="shared" si="108"/>
        <v>0</v>
      </c>
      <c r="J1742" s="2">
        <f t="shared" si="109"/>
        <v>9.56</v>
      </c>
      <c r="K1742" s="7">
        <f t="shared" si="110"/>
        <v>46082</v>
      </c>
      <c r="L1742" t="str">
        <f t="shared" si="111"/>
        <v>Q1-2026</v>
      </c>
    </row>
    <row r="1743" spans="1:12">
      <c r="A1743" s="6">
        <v>46086</v>
      </c>
      <c r="B1743" t="s">
        <v>10</v>
      </c>
      <c r="C1743" t="s">
        <v>11</v>
      </c>
      <c r="D1743" s="2">
        <v>2551.2297774304361</v>
      </c>
      <c r="E1743" s="2">
        <v>2560.5515785402781</v>
      </c>
      <c r="F1743" s="2">
        <v>2498.635098502049</v>
      </c>
      <c r="G1743" s="2">
        <v>2530.427490234375</v>
      </c>
      <c r="H1743" s="3">
        <v>2960636</v>
      </c>
      <c r="I1743" s="4">
        <f t="shared" si="108"/>
        <v>-2.06</v>
      </c>
      <c r="J1743" s="2">
        <f t="shared" si="109"/>
        <v>30.12</v>
      </c>
      <c r="K1743" s="7">
        <f t="shared" si="110"/>
        <v>46082</v>
      </c>
      <c r="L1743" t="str">
        <f t="shared" si="111"/>
        <v>Q1-2026</v>
      </c>
    </row>
    <row r="1744" spans="1:12">
      <c r="A1744" s="6">
        <v>46086</v>
      </c>
      <c r="B1744" t="s">
        <v>12</v>
      </c>
      <c r="C1744" t="s">
        <v>13</v>
      </c>
      <c r="D1744" s="2">
        <v>1292.041027140591</v>
      </c>
      <c r="E1744" s="2">
        <v>1292.041027140591</v>
      </c>
      <c r="F1744" s="2">
        <v>1262.77431634099</v>
      </c>
      <c r="G1744" s="2">
        <v>1278.141845703125</v>
      </c>
      <c r="H1744" s="3">
        <v>10362147</v>
      </c>
      <c r="I1744" s="4">
        <f t="shared" si="108"/>
        <v>-2.27</v>
      </c>
      <c r="J1744" s="2">
        <f t="shared" si="109"/>
        <v>13.9</v>
      </c>
      <c r="K1744" s="7">
        <f t="shared" si="110"/>
        <v>46082</v>
      </c>
      <c r="L1744" t="str">
        <f t="shared" si="111"/>
        <v>Q1-2026</v>
      </c>
    </row>
    <row r="1745" spans="1:12">
      <c r="A1745" s="6">
        <v>46086</v>
      </c>
      <c r="B1745" t="s">
        <v>14</v>
      </c>
      <c r="C1745" t="s">
        <v>15</v>
      </c>
      <c r="D1745" s="2">
        <v>859.6321193633155</v>
      </c>
      <c r="E1745" s="2">
        <v>867.05932615709685</v>
      </c>
      <c r="F1745" s="2">
        <v>849.45054163616351</v>
      </c>
      <c r="G1745" s="2">
        <v>863.46868896484375</v>
      </c>
      <c r="H1745" s="3">
        <v>31324582</v>
      </c>
      <c r="I1745" s="4">
        <f t="shared" si="108"/>
        <v>-1.18</v>
      </c>
      <c r="J1745" s="2">
        <f t="shared" si="109"/>
        <v>3.59</v>
      </c>
      <c r="K1745" s="7">
        <f t="shared" si="110"/>
        <v>46082</v>
      </c>
      <c r="L1745" t="str">
        <f t="shared" si="111"/>
        <v>Q1-2026</v>
      </c>
    </row>
    <row r="1746" spans="1:12">
      <c r="A1746" s="6">
        <v>46086</v>
      </c>
      <c r="B1746" t="s">
        <v>16</v>
      </c>
      <c r="C1746" t="s">
        <v>17</v>
      </c>
      <c r="D1746" s="2">
        <v>1357.45594601842</v>
      </c>
      <c r="E1746" s="2">
        <v>1359.340086125404</v>
      </c>
      <c r="F1746" s="2">
        <v>1336.3339667529169</v>
      </c>
      <c r="G1746" s="2">
        <v>1346.250366210938</v>
      </c>
      <c r="H1746" s="3">
        <v>17590491</v>
      </c>
      <c r="I1746" s="4">
        <f t="shared" si="108"/>
        <v>-1.56</v>
      </c>
      <c r="J1746" s="2">
        <f t="shared" si="109"/>
        <v>13.09</v>
      </c>
      <c r="K1746" s="7">
        <f t="shared" si="110"/>
        <v>46082</v>
      </c>
      <c r="L1746" t="str">
        <f t="shared" si="111"/>
        <v>Q1-2026</v>
      </c>
    </row>
    <row r="1747" spans="1:12">
      <c r="A1747" s="6">
        <v>46086</v>
      </c>
      <c r="B1747" t="s">
        <v>18</v>
      </c>
      <c r="C1747" t="s">
        <v>19</v>
      </c>
      <c r="D1747" s="2">
        <v>194.1822843184616</v>
      </c>
      <c r="E1747" s="2">
        <v>194.74585523360841</v>
      </c>
      <c r="F1747" s="2">
        <v>191.03819948603211</v>
      </c>
      <c r="G1747" s="2">
        <v>193.47041320800781</v>
      </c>
      <c r="H1747" s="3">
        <v>13149281</v>
      </c>
      <c r="I1747" s="4">
        <f t="shared" si="108"/>
        <v>-1.62</v>
      </c>
      <c r="J1747" s="2">
        <f t="shared" si="109"/>
        <v>1.28</v>
      </c>
      <c r="K1747" s="7">
        <f t="shared" si="110"/>
        <v>46082</v>
      </c>
      <c r="L1747" t="str">
        <f t="shared" si="111"/>
        <v>Q1-2026</v>
      </c>
    </row>
    <row r="1748" spans="1:12">
      <c r="A1748" s="6">
        <v>46086</v>
      </c>
      <c r="B1748" t="s">
        <v>20</v>
      </c>
      <c r="C1748" t="s">
        <v>21</v>
      </c>
      <c r="D1748" s="2">
        <v>1338.6434988164749</v>
      </c>
      <c r="E1748" s="2">
        <v>1338.6434988164749</v>
      </c>
      <c r="F1748" s="2">
        <v>1294.2552063336291</v>
      </c>
      <c r="G1748" s="2">
        <v>1315.235229492188</v>
      </c>
      <c r="H1748" s="3">
        <v>2217963</v>
      </c>
      <c r="I1748" s="4">
        <f t="shared" si="108"/>
        <v>-3.32</v>
      </c>
      <c r="J1748" s="2">
        <f t="shared" si="109"/>
        <v>23.41</v>
      </c>
      <c r="K1748" s="7">
        <f t="shared" si="110"/>
        <v>46082</v>
      </c>
      <c r="L1748" t="str">
        <f t="shared" si="111"/>
        <v>Q1-2026</v>
      </c>
    </row>
    <row r="1749" spans="1:12">
      <c r="A1749" s="6">
        <v>46086</v>
      </c>
      <c r="B1749" t="s">
        <v>22</v>
      </c>
      <c r="C1749" t="s">
        <v>23</v>
      </c>
      <c r="D1749" s="2">
        <v>952.146938837118</v>
      </c>
      <c r="E1749" s="2">
        <v>962.33431474847544</v>
      </c>
      <c r="F1749" s="2">
        <v>940.12089007495274</v>
      </c>
      <c r="G1749" s="2">
        <v>956.52008056640625</v>
      </c>
      <c r="H1749" s="3">
        <v>6181254</v>
      </c>
      <c r="I1749" s="4">
        <f t="shared" si="108"/>
        <v>-1.26</v>
      </c>
      <c r="J1749" s="2">
        <f t="shared" si="109"/>
        <v>5.81</v>
      </c>
      <c r="K1749" s="7">
        <f t="shared" si="110"/>
        <v>46082</v>
      </c>
      <c r="L1749" t="str">
        <f t="shared" si="111"/>
        <v>Q1-2026</v>
      </c>
    </row>
    <row r="1750" spans="1:12">
      <c r="A1750" s="6">
        <v>46086</v>
      </c>
      <c r="B1750" t="s">
        <v>24</v>
      </c>
      <c r="C1750" t="s">
        <v>25</v>
      </c>
      <c r="D1750" s="2">
        <v>14157.81241192985</v>
      </c>
      <c r="E1750" s="2">
        <v>14425.12775117608</v>
      </c>
      <c r="F1750" s="2">
        <v>13940.9899700968</v>
      </c>
      <c r="G1750" s="2">
        <v>14271.6689453125</v>
      </c>
      <c r="H1750" s="3">
        <v>448650</v>
      </c>
      <c r="I1750" s="4">
        <f t="shared" si="108"/>
        <v>-1.53</v>
      </c>
      <c r="J1750" s="2">
        <f t="shared" si="109"/>
        <v>153.46</v>
      </c>
      <c r="K1750" s="7">
        <f t="shared" si="110"/>
        <v>46082</v>
      </c>
      <c r="L1750" t="str">
        <f t="shared" si="111"/>
        <v>Q1-2026</v>
      </c>
    </row>
    <row r="1751" spans="1:12">
      <c r="A1751" s="6">
        <v>46086</v>
      </c>
      <c r="B1751" t="s">
        <v>26</v>
      </c>
      <c r="C1751" t="s">
        <v>27</v>
      </c>
      <c r="D1751" s="2">
        <v>350.19502701775667</v>
      </c>
      <c r="E1751" s="2">
        <v>354.21169527055901</v>
      </c>
      <c r="F1751" s="2">
        <v>345.08740249057979</v>
      </c>
      <c r="G1751" s="2">
        <v>352.2281494140625</v>
      </c>
      <c r="H1751" s="3">
        <v>10574236</v>
      </c>
      <c r="I1751" s="4">
        <f t="shared" si="108"/>
        <v>-1.46</v>
      </c>
      <c r="J1751" s="2">
        <f t="shared" si="109"/>
        <v>1.98</v>
      </c>
      <c r="K1751" s="7">
        <f t="shared" si="110"/>
        <v>46082</v>
      </c>
      <c r="L1751" t="str">
        <f t="shared" si="111"/>
        <v>Q1-2026</v>
      </c>
    </row>
    <row r="1752" spans="1:12">
      <c r="A1752" s="6">
        <v>46086</v>
      </c>
      <c r="B1752" t="s">
        <v>28</v>
      </c>
      <c r="C1752" t="s">
        <v>29</v>
      </c>
      <c r="D1752" s="2">
        <v>1745.4255099522361</v>
      </c>
      <c r="E1752" s="2">
        <v>1790.2081659578271</v>
      </c>
      <c r="F1752" s="2">
        <v>1743.4307379408619</v>
      </c>
      <c r="G1752" s="2">
        <v>1779.835327148438</v>
      </c>
      <c r="H1752" s="3">
        <v>3600895</v>
      </c>
      <c r="I1752" s="4">
        <f t="shared" si="108"/>
        <v>-0.11</v>
      </c>
      <c r="J1752" s="2">
        <f t="shared" si="109"/>
        <v>10.37</v>
      </c>
      <c r="K1752" s="7">
        <f t="shared" si="110"/>
        <v>46082</v>
      </c>
      <c r="L1752" t="str">
        <f t="shared" si="111"/>
        <v>Q1-2026</v>
      </c>
    </row>
    <row r="1753" spans="1:12">
      <c r="A1753" s="6">
        <v>46086</v>
      </c>
      <c r="B1753" t="s">
        <v>30</v>
      </c>
      <c r="C1753" t="s">
        <v>31</v>
      </c>
      <c r="D1753" s="2">
        <v>2265.5440929266379</v>
      </c>
      <c r="E1753" s="2">
        <v>2293.1050231521672</v>
      </c>
      <c r="F1753" s="2">
        <v>2234.315036191103</v>
      </c>
      <c r="G1753" s="2">
        <v>2268.121826171875</v>
      </c>
      <c r="H1753" s="3">
        <v>925040</v>
      </c>
      <c r="I1753" s="4">
        <f t="shared" si="108"/>
        <v>-1.38</v>
      </c>
      <c r="J1753" s="2">
        <f t="shared" si="109"/>
        <v>24.98</v>
      </c>
      <c r="K1753" s="7">
        <f t="shared" si="110"/>
        <v>46082</v>
      </c>
      <c r="L1753" t="str">
        <f t="shared" si="111"/>
        <v>Q1-2026</v>
      </c>
    </row>
    <row r="1754" spans="1:12">
      <c r="A1754" s="6">
        <v>46086</v>
      </c>
      <c r="B1754" t="s">
        <v>32</v>
      </c>
      <c r="C1754" t="s">
        <v>33</v>
      </c>
      <c r="D1754" s="2">
        <v>2252.5877729936078</v>
      </c>
      <c r="E1754" s="2">
        <v>2254.8646624102298</v>
      </c>
      <c r="F1754" s="2">
        <v>2205.9619307227781</v>
      </c>
      <c r="G1754" s="2">
        <v>2232.294189453125</v>
      </c>
      <c r="H1754" s="3">
        <v>1751288</v>
      </c>
      <c r="I1754" s="4">
        <f t="shared" si="108"/>
        <v>-2.0699999999999998</v>
      </c>
      <c r="J1754" s="2">
        <f t="shared" si="109"/>
        <v>22.57</v>
      </c>
      <c r="K1754" s="7">
        <f t="shared" si="110"/>
        <v>46082</v>
      </c>
      <c r="L1754" t="str">
        <f t="shared" si="111"/>
        <v>Q1-2026</v>
      </c>
    </row>
    <row r="1755" spans="1:12">
      <c r="A1755" s="6">
        <v>46086</v>
      </c>
      <c r="B1755" t="s">
        <v>34</v>
      </c>
      <c r="C1755" t="s">
        <v>35</v>
      </c>
      <c r="D1755" s="2">
        <v>3886.2415796070418</v>
      </c>
      <c r="E1755" s="2">
        <v>4033.5031718602881</v>
      </c>
      <c r="F1755" s="2">
        <v>3871.089526534894</v>
      </c>
      <c r="G1755" s="2">
        <v>3999.634033203125</v>
      </c>
      <c r="H1755" s="3">
        <v>4996312</v>
      </c>
      <c r="I1755" s="4">
        <f t="shared" si="108"/>
        <v>-0.39</v>
      </c>
      <c r="J1755" s="2">
        <f t="shared" si="109"/>
        <v>33.869999999999997</v>
      </c>
      <c r="K1755" s="7">
        <f t="shared" si="110"/>
        <v>46082</v>
      </c>
      <c r="L1755" t="str">
        <f t="shared" si="111"/>
        <v>Q1-2026</v>
      </c>
    </row>
    <row r="1756" spans="1:12">
      <c r="A1756" s="6">
        <v>46086</v>
      </c>
      <c r="B1756" t="s">
        <v>36</v>
      </c>
      <c r="C1756" t="s">
        <v>37</v>
      </c>
      <c r="D1756" s="2">
        <v>1353.8558818023539</v>
      </c>
      <c r="E1756" s="2">
        <v>1354.7552126199701</v>
      </c>
      <c r="F1756" s="2">
        <v>1334.2710107771429</v>
      </c>
      <c r="G1756" s="2">
        <v>1348.060302734375</v>
      </c>
      <c r="H1756" s="3">
        <v>6057499</v>
      </c>
      <c r="I1756" s="4">
        <f t="shared" si="108"/>
        <v>-1.45</v>
      </c>
      <c r="J1756" s="2">
        <f t="shared" si="109"/>
        <v>6.69</v>
      </c>
      <c r="K1756" s="7">
        <f t="shared" si="110"/>
        <v>46082</v>
      </c>
      <c r="L1756" t="str">
        <f t="shared" si="111"/>
        <v>Q1-2026</v>
      </c>
    </row>
    <row r="1757" spans="1:12">
      <c r="A1757" s="6">
        <v>46087</v>
      </c>
      <c r="B1757" t="s">
        <v>8</v>
      </c>
      <c r="C1757" t="s">
        <v>9</v>
      </c>
      <c r="D1757" s="2">
        <v>1390.072867406167</v>
      </c>
      <c r="E1757" s="2">
        <v>1417.744971658615</v>
      </c>
      <c r="F1757" s="2">
        <v>1383.901450361222</v>
      </c>
      <c r="G1757" s="2">
        <v>1398.334716796875</v>
      </c>
      <c r="H1757" s="3">
        <v>19311971</v>
      </c>
      <c r="I1757" s="4">
        <f t="shared" si="108"/>
        <v>-0.44</v>
      </c>
      <c r="J1757" s="2">
        <f t="shared" si="109"/>
        <v>19.41</v>
      </c>
      <c r="K1757" s="7">
        <f t="shared" si="110"/>
        <v>46082</v>
      </c>
      <c r="L1757" t="str">
        <f t="shared" si="111"/>
        <v>Q1-2026</v>
      </c>
    </row>
    <row r="1758" spans="1:12">
      <c r="A1758" s="6">
        <v>46087</v>
      </c>
      <c r="B1758" t="s">
        <v>10</v>
      </c>
      <c r="C1758" t="s">
        <v>11</v>
      </c>
      <c r="D1758" s="2">
        <v>2523.7550365456809</v>
      </c>
      <c r="E1758" s="2">
        <v>2570.069622274581</v>
      </c>
      <c r="F1758" s="2">
        <v>2505.7002751879882</v>
      </c>
      <c r="G1758" s="2">
        <v>2509.625244140625</v>
      </c>
      <c r="H1758" s="3">
        <v>3998643</v>
      </c>
      <c r="I1758" s="4">
        <f t="shared" si="108"/>
        <v>-0.72</v>
      </c>
      <c r="J1758" s="2">
        <f t="shared" si="109"/>
        <v>60.44</v>
      </c>
      <c r="K1758" s="7">
        <f t="shared" si="110"/>
        <v>46082</v>
      </c>
      <c r="L1758" t="str">
        <f t="shared" si="111"/>
        <v>Q1-2026</v>
      </c>
    </row>
    <row r="1759" spans="1:12">
      <c r="A1759" s="6">
        <v>46087</v>
      </c>
      <c r="B1759" t="s">
        <v>12</v>
      </c>
      <c r="C1759" t="s">
        <v>13</v>
      </c>
      <c r="D1759" s="2">
        <v>1275.4011212294211</v>
      </c>
      <c r="E1759" s="2">
        <v>1299.0884925711759</v>
      </c>
      <c r="F1759" s="2">
        <v>1275.4011212294211</v>
      </c>
      <c r="G1759" s="2">
        <v>1280.686767578125</v>
      </c>
      <c r="H1759" s="3">
        <v>8724291</v>
      </c>
      <c r="I1759" s="4">
        <f t="shared" si="108"/>
        <v>0</v>
      </c>
      <c r="J1759" s="2">
        <f t="shared" si="109"/>
        <v>18.399999999999999</v>
      </c>
      <c r="K1759" s="7">
        <f t="shared" si="110"/>
        <v>46082</v>
      </c>
      <c r="L1759" t="str">
        <f t="shared" si="111"/>
        <v>Q1-2026</v>
      </c>
    </row>
    <row r="1760" spans="1:12">
      <c r="A1760" s="6">
        <v>46087</v>
      </c>
      <c r="B1760" t="s">
        <v>14</v>
      </c>
      <c r="C1760" t="s">
        <v>15</v>
      </c>
      <c r="D1760" s="2">
        <v>853.92649469754406</v>
      </c>
      <c r="E1760" s="2">
        <v>857.51713186970221</v>
      </c>
      <c r="F1760" s="2">
        <v>841.18718395997155</v>
      </c>
      <c r="G1760" s="2">
        <v>843.10546875</v>
      </c>
      <c r="H1760" s="3">
        <v>34439647</v>
      </c>
      <c r="I1760" s="4">
        <f t="shared" si="108"/>
        <v>-1.49</v>
      </c>
      <c r="J1760" s="2">
        <f t="shared" si="109"/>
        <v>14.41</v>
      </c>
      <c r="K1760" s="7">
        <f t="shared" si="110"/>
        <v>46082</v>
      </c>
      <c r="L1760" t="str">
        <f t="shared" si="111"/>
        <v>Q1-2026</v>
      </c>
    </row>
    <row r="1761" spans="1:12">
      <c r="A1761" s="6">
        <v>46087</v>
      </c>
      <c r="B1761" t="s">
        <v>16</v>
      </c>
      <c r="C1761" t="s">
        <v>17</v>
      </c>
      <c r="D1761" s="2">
        <v>1327.8058801381831</v>
      </c>
      <c r="E1761" s="2">
        <v>1346.2503588188661</v>
      </c>
      <c r="F1761" s="2">
        <v>1299.4450020539291</v>
      </c>
      <c r="G1761" s="2">
        <v>1302.419921875</v>
      </c>
      <c r="H1761" s="3">
        <v>22778852</v>
      </c>
      <c r="I1761" s="4">
        <f t="shared" si="108"/>
        <v>-2.14</v>
      </c>
      <c r="J1761" s="2">
        <f t="shared" si="109"/>
        <v>43.83</v>
      </c>
      <c r="K1761" s="7">
        <f t="shared" si="110"/>
        <v>46082</v>
      </c>
      <c r="L1761" t="str">
        <f t="shared" si="111"/>
        <v>Q1-2026</v>
      </c>
    </row>
    <row r="1762" spans="1:12">
      <c r="A1762" s="6">
        <v>46087</v>
      </c>
      <c r="B1762" t="s">
        <v>18</v>
      </c>
      <c r="C1762" t="s">
        <v>19</v>
      </c>
      <c r="D1762" s="2">
        <v>193.39132670391481</v>
      </c>
      <c r="E1762" s="2">
        <v>196.6837116784626</v>
      </c>
      <c r="F1762" s="2">
        <v>192.79809575929031</v>
      </c>
      <c r="G1762" s="2">
        <v>193.1935729980469</v>
      </c>
      <c r="H1762" s="3">
        <v>9022914</v>
      </c>
      <c r="I1762" s="4">
        <f t="shared" si="108"/>
        <v>-0.31</v>
      </c>
      <c r="J1762" s="2">
        <f t="shared" si="109"/>
        <v>3.49</v>
      </c>
      <c r="K1762" s="7">
        <f t="shared" si="110"/>
        <v>46082</v>
      </c>
      <c r="L1762" t="str">
        <f t="shared" si="111"/>
        <v>Q1-2026</v>
      </c>
    </row>
    <row r="1763" spans="1:12">
      <c r="A1763" s="6">
        <v>46087</v>
      </c>
      <c r="B1763" t="s">
        <v>20</v>
      </c>
      <c r="C1763" t="s">
        <v>21</v>
      </c>
      <c r="D1763" s="2">
        <v>1317.0807585976929</v>
      </c>
      <c r="E1763" s="2">
        <v>1341.169008688996</v>
      </c>
      <c r="F1763" s="2">
        <v>1315.3323738808349</v>
      </c>
      <c r="G1763" s="2">
        <v>1317.760620117188</v>
      </c>
      <c r="H1763" s="3">
        <v>1871596</v>
      </c>
      <c r="I1763" s="4">
        <f t="shared" si="108"/>
        <v>-0.13</v>
      </c>
      <c r="J1763" s="2">
        <f t="shared" si="109"/>
        <v>23.41</v>
      </c>
      <c r="K1763" s="7">
        <f t="shared" si="110"/>
        <v>46082</v>
      </c>
      <c r="L1763" t="str">
        <f t="shared" si="111"/>
        <v>Q1-2026</v>
      </c>
    </row>
    <row r="1764" spans="1:12">
      <c r="A1764" s="6">
        <v>46087</v>
      </c>
      <c r="B1764" t="s">
        <v>22</v>
      </c>
      <c r="C1764" t="s">
        <v>23</v>
      </c>
      <c r="D1764" s="2">
        <v>954.13470526899368</v>
      </c>
      <c r="E1764" s="2">
        <v>955.62554074597654</v>
      </c>
      <c r="F1764" s="2">
        <v>940.81655074304695</v>
      </c>
      <c r="G1764" s="2">
        <v>944.39459228515625</v>
      </c>
      <c r="H1764" s="3">
        <v>6560051</v>
      </c>
      <c r="I1764" s="4">
        <f t="shared" si="108"/>
        <v>-1.4</v>
      </c>
      <c r="J1764" s="2">
        <f t="shared" si="109"/>
        <v>11.23</v>
      </c>
      <c r="K1764" s="7">
        <f t="shared" si="110"/>
        <v>46082</v>
      </c>
      <c r="L1764" t="str">
        <f t="shared" si="111"/>
        <v>Q1-2026</v>
      </c>
    </row>
    <row r="1765" spans="1:12">
      <c r="A1765" s="6">
        <v>46087</v>
      </c>
      <c r="B1765" t="s">
        <v>24</v>
      </c>
      <c r="C1765" t="s">
        <v>25</v>
      </c>
      <c r="D1765" s="2">
        <v>14196.4250755372</v>
      </c>
      <c r="E1765" s="2">
        <v>14322.162294631509</v>
      </c>
      <c r="F1765" s="2">
        <v>13974.652342646459</v>
      </c>
      <c r="G1765" s="2">
        <v>14018.21484375</v>
      </c>
      <c r="H1765" s="3">
        <v>390629</v>
      </c>
      <c r="I1765" s="4">
        <f t="shared" si="108"/>
        <v>-1.56</v>
      </c>
      <c r="J1765" s="2">
        <f t="shared" si="109"/>
        <v>303.95</v>
      </c>
      <c r="K1765" s="7">
        <f t="shared" si="110"/>
        <v>46082</v>
      </c>
      <c r="L1765" t="str">
        <f t="shared" si="111"/>
        <v>Q1-2026</v>
      </c>
    </row>
    <row r="1766" spans="1:12">
      <c r="A1766" s="6">
        <v>46087</v>
      </c>
      <c r="B1766" t="s">
        <v>26</v>
      </c>
      <c r="C1766" t="s">
        <v>27</v>
      </c>
      <c r="D1766" s="2">
        <v>351.08761133369342</v>
      </c>
      <c r="E1766" s="2">
        <v>351.43473790667508</v>
      </c>
      <c r="F1766" s="2">
        <v>346.47587333981511</v>
      </c>
      <c r="G1766" s="2">
        <v>347.86434936523438</v>
      </c>
      <c r="H1766" s="3">
        <v>6929668</v>
      </c>
      <c r="I1766" s="4">
        <f t="shared" si="108"/>
        <v>-1.31</v>
      </c>
      <c r="J1766" s="2">
        <f t="shared" si="109"/>
        <v>3.57</v>
      </c>
      <c r="K1766" s="7">
        <f t="shared" si="110"/>
        <v>46082</v>
      </c>
      <c r="L1766" t="str">
        <f t="shared" si="111"/>
        <v>Q1-2026</v>
      </c>
    </row>
    <row r="1767" spans="1:12">
      <c r="A1767" s="6">
        <v>46087</v>
      </c>
      <c r="B1767" t="s">
        <v>28</v>
      </c>
      <c r="C1767" t="s">
        <v>29</v>
      </c>
      <c r="D1767" s="2">
        <v>1779.8353352303509</v>
      </c>
      <c r="E1767" s="2">
        <v>1800.880155695663</v>
      </c>
      <c r="F1767" s="2">
        <v>1767.168581601097</v>
      </c>
      <c r="G1767" s="2">
        <v>1794.696411132812</v>
      </c>
      <c r="H1767" s="3">
        <v>3669921</v>
      </c>
      <c r="I1767" s="4">
        <f t="shared" si="108"/>
        <v>-0.71</v>
      </c>
      <c r="J1767" s="2">
        <f t="shared" si="109"/>
        <v>6.18</v>
      </c>
      <c r="K1767" s="7">
        <f t="shared" si="110"/>
        <v>46082</v>
      </c>
      <c r="L1767" t="str">
        <f t="shared" si="111"/>
        <v>Q1-2026</v>
      </c>
    </row>
    <row r="1768" spans="1:12">
      <c r="A1768" s="6">
        <v>46087</v>
      </c>
      <c r="B1768" t="s">
        <v>30</v>
      </c>
      <c r="C1768" t="s">
        <v>31</v>
      </c>
      <c r="D1768" s="2">
        <v>2242.246123248377</v>
      </c>
      <c r="E1768" s="2">
        <v>2288.0486893030502</v>
      </c>
      <c r="F1768" s="2">
        <v>2234.3149345968081</v>
      </c>
      <c r="G1768" s="2">
        <v>2259.89306640625</v>
      </c>
      <c r="H1768" s="3">
        <v>979742</v>
      </c>
      <c r="I1768" s="4">
        <f t="shared" si="108"/>
        <v>-0.35</v>
      </c>
      <c r="J1768" s="2">
        <f t="shared" si="109"/>
        <v>28.16</v>
      </c>
      <c r="K1768" s="7">
        <f t="shared" si="110"/>
        <v>46082</v>
      </c>
      <c r="L1768" t="str">
        <f t="shared" si="111"/>
        <v>Q1-2026</v>
      </c>
    </row>
    <row r="1769" spans="1:12">
      <c r="A1769" s="6">
        <v>46087</v>
      </c>
      <c r="B1769" t="s">
        <v>32</v>
      </c>
      <c r="C1769" t="s">
        <v>33</v>
      </c>
      <c r="D1769" s="2">
        <v>2222.4938661562228</v>
      </c>
      <c r="E1769" s="2">
        <v>2227.3444306878969</v>
      </c>
      <c r="F1769" s="2">
        <v>2197.1515395163501</v>
      </c>
      <c r="G1769" s="2">
        <v>2203.2890625</v>
      </c>
      <c r="H1769" s="3">
        <v>1674258</v>
      </c>
      <c r="I1769" s="4">
        <f t="shared" si="108"/>
        <v>-1.1399999999999999</v>
      </c>
      <c r="J1769" s="2">
        <f t="shared" si="109"/>
        <v>24.06</v>
      </c>
      <c r="K1769" s="7">
        <f t="shared" si="110"/>
        <v>46082</v>
      </c>
      <c r="L1769" t="str">
        <f t="shared" si="111"/>
        <v>Q1-2026</v>
      </c>
    </row>
    <row r="1770" spans="1:12">
      <c r="A1770" s="6">
        <v>46087</v>
      </c>
      <c r="B1770" t="s">
        <v>34</v>
      </c>
      <c r="C1770" t="s">
        <v>35</v>
      </c>
      <c r="D1770" s="2">
        <v>3976.1632721469468</v>
      </c>
      <c r="E1770" s="2">
        <v>3976.1632721469468</v>
      </c>
      <c r="F1770" s="2">
        <v>3902.879067380105</v>
      </c>
      <c r="G1770" s="2">
        <v>3911.593994140625</v>
      </c>
      <c r="H1770" s="3">
        <v>2379314</v>
      </c>
      <c r="I1770" s="4">
        <f t="shared" si="108"/>
        <v>-1.84</v>
      </c>
      <c r="J1770" s="2">
        <f t="shared" si="109"/>
        <v>64.569999999999993</v>
      </c>
      <c r="K1770" s="7">
        <f t="shared" si="110"/>
        <v>46082</v>
      </c>
      <c r="L1770" t="str">
        <f t="shared" si="111"/>
        <v>Q1-2026</v>
      </c>
    </row>
    <row r="1771" spans="1:12">
      <c r="A1771" s="6">
        <v>46087</v>
      </c>
      <c r="B1771" t="s">
        <v>36</v>
      </c>
      <c r="C1771" t="s">
        <v>37</v>
      </c>
      <c r="D1771" s="2">
        <v>1345.961917273848</v>
      </c>
      <c r="E1771" s="2">
        <v>1346.8612480726199</v>
      </c>
      <c r="F1771" s="2">
        <v>1312.4877344760209</v>
      </c>
      <c r="G1771" s="2">
        <v>1314.786010742188</v>
      </c>
      <c r="H1771" s="3">
        <v>11629935</v>
      </c>
      <c r="I1771" s="4">
        <f t="shared" si="108"/>
        <v>-2.4900000000000002</v>
      </c>
      <c r="J1771" s="2">
        <f t="shared" si="109"/>
        <v>32.08</v>
      </c>
      <c r="K1771" s="7">
        <f t="shared" si="110"/>
        <v>46082</v>
      </c>
      <c r="L1771" t="str">
        <f t="shared" si="111"/>
        <v>Q1-2026</v>
      </c>
    </row>
    <row r="1772" spans="1:12">
      <c r="A1772" s="6">
        <v>46090</v>
      </c>
      <c r="B1772" t="s">
        <v>8</v>
      </c>
      <c r="C1772" t="s">
        <v>9</v>
      </c>
      <c r="D1772" s="2">
        <v>1368.6718029922311</v>
      </c>
      <c r="E1772" s="2">
        <v>1422.8214608086801</v>
      </c>
      <c r="F1772" s="2">
        <v>1363.694814617714</v>
      </c>
      <c r="G1772" s="2">
        <v>1417.4462890625</v>
      </c>
      <c r="H1772" s="3">
        <v>24870822</v>
      </c>
      <c r="I1772" s="4">
        <f t="shared" si="108"/>
        <v>-0.36</v>
      </c>
      <c r="J1772" s="2">
        <f t="shared" si="109"/>
        <v>5.38</v>
      </c>
      <c r="K1772" s="7">
        <f t="shared" si="110"/>
        <v>46082</v>
      </c>
      <c r="L1772" t="str">
        <f t="shared" si="111"/>
        <v>Q1-2026</v>
      </c>
    </row>
    <row r="1773" spans="1:12">
      <c r="A1773" s="6">
        <v>46090</v>
      </c>
      <c r="B1773" t="s">
        <v>10</v>
      </c>
      <c r="C1773" t="s">
        <v>11</v>
      </c>
      <c r="D1773" s="2">
        <v>2482.5430250293898</v>
      </c>
      <c r="E1773" s="2">
        <v>2511.9802941008852</v>
      </c>
      <c r="F1773" s="2">
        <v>2458.0119674698112</v>
      </c>
      <c r="G1773" s="2">
        <v>2479.99169921875</v>
      </c>
      <c r="H1773" s="3">
        <v>3653428</v>
      </c>
      <c r="I1773" s="4">
        <f t="shared" si="108"/>
        <v>-0.99</v>
      </c>
      <c r="J1773" s="2">
        <f t="shared" si="109"/>
        <v>31.99</v>
      </c>
      <c r="K1773" s="7">
        <f t="shared" si="110"/>
        <v>46082</v>
      </c>
      <c r="L1773" t="str">
        <f t="shared" si="111"/>
        <v>Q1-2026</v>
      </c>
    </row>
    <row r="1774" spans="1:12">
      <c r="A1774" s="6">
        <v>46090</v>
      </c>
      <c r="B1774" t="s">
        <v>12</v>
      </c>
      <c r="C1774" t="s">
        <v>13</v>
      </c>
      <c r="D1774" s="2">
        <v>1262.6764978909221</v>
      </c>
      <c r="E1774" s="2">
        <v>1290.0834296280891</v>
      </c>
      <c r="F1774" s="2">
        <v>1255.3353554613241</v>
      </c>
      <c r="G1774" s="2">
        <v>1287.14697265625</v>
      </c>
      <c r="H1774" s="3">
        <v>10068514</v>
      </c>
      <c r="I1774" s="4">
        <f t="shared" si="108"/>
        <v>-0.57999999999999996</v>
      </c>
      <c r="J1774" s="2">
        <f t="shared" si="109"/>
        <v>2.94</v>
      </c>
      <c r="K1774" s="7">
        <f t="shared" si="110"/>
        <v>46082</v>
      </c>
      <c r="L1774" t="str">
        <f t="shared" si="111"/>
        <v>Q1-2026</v>
      </c>
    </row>
    <row r="1775" spans="1:12">
      <c r="A1775" s="6">
        <v>46090</v>
      </c>
      <c r="B1775" t="s">
        <v>14</v>
      </c>
      <c r="C1775" t="s">
        <v>15</v>
      </c>
      <c r="D1775" s="2">
        <v>811.57697758586107</v>
      </c>
      <c r="E1775" s="2">
        <v>828.74307233230809</v>
      </c>
      <c r="F1775" s="2">
        <v>808.1339237415574</v>
      </c>
      <c r="G1775" s="2">
        <v>827.02154541015625</v>
      </c>
      <c r="H1775" s="3">
        <v>35592613</v>
      </c>
      <c r="I1775" s="4">
        <f t="shared" si="108"/>
        <v>-0.42</v>
      </c>
      <c r="J1775" s="2">
        <f t="shared" si="109"/>
        <v>1.72</v>
      </c>
      <c r="K1775" s="7">
        <f t="shared" si="110"/>
        <v>46082</v>
      </c>
      <c r="L1775" t="str">
        <f t="shared" si="111"/>
        <v>Q1-2026</v>
      </c>
    </row>
    <row r="1776" spans="1:12">
      <c r="A1776" s="6">
        <v>46090</v>
      </c>
      <c r="B1776" t="s">
        <v>16</v>
      </c>
      <c r="C1776" t="s">
        <v>17</v>
      </c>
      <c r="D1776" s="2">
        <v>1262.060104122135</v>
      </c>
      <c r="E1776" s="2">
        <v>1271.976503529238</v>
      </c>
      <c r="F1776" s="2">
        <v>1240.6407056127509</v>
      </c>
      <c r="G1776" s="2">
        <v>1267.712524414062</v>
      </c>
      <c r="H1776" s="3">
        <v>16116652</v>
      </c>
      <c r="I1776" s="4">
        <f t="shared" si="108"/>
        <v>-1.7</v>
      </c>
      <c r="J1776" s="2">
        <f t="shared" si="109"/>
        <v>4.26</v>
      </c>
      <c r="K1776" s="7">
        <f t="shared" si="110"/>
        <v>46082</v>
      </c>
      <c r="L1776" t="str">
        <f t="shared" si="111"/>
        <v>Q1-2026</v>
      </c>
    </row>
    <row r="1777" spans="1:12">
      <c r="A1777" s="6">
        <v>46090</v>
      </c>
      <c r="B1777" t="s">
        <v>18</v>
      </c>
      <c r="C1777" t="s">
        <v>19</v>
      </c>
      <c r="D1777" s="2">
        <v>191.80938866573311</v>
      </c>
      <c r="E1777" s="2">
        <v>197.2472837052255</v>
      </c>
      <c r="F1777" s="2">
        <v>190.8503405154853</v>
      </c>
      <c r="G1777" s="2">
        <v>196.50575256347659</v>
      </c>
      <c r="H1777" s="3">
        <v>25862728</v>
      </c>
      <c r="I1777" s="4">
        <f t="shared" si="108"/>
        <v>-0.5</v>
      </c>
      <c r="J1777" s="2">
        <f t="shared" si="109"/>
        <v>0.74</v>
      </c>
      <c r="K1777" s="7">
        <f t="shared" si="110"/>
        <v>46082</v>
      </c>
      <c r="L1777" t="str">
        <f t="shared" si="111"/>
        <v>Q1-2026</v>
      </c>
    </row>
    <row r="1778" spans="1:12">
      <c r="A1778" s="6">
        <v>46090</v>
      </c>
      <c r="B1778" t="s">
        <v>20</v>
      </c>
      <c r="C1778" t="s">
        <v>21</v>
      </c>
      <c r="D1778" s="2">
        <v>1291.8270860425</v>
      </c>
      <c r="E1778" s="2">
        <v>1333.301487167703</v>
      </c>
      <c r="F1778" s="2">
        <v>1289.8844889206321</v>
      </c>
      <c r="G1778" s="2">
        <v>1319.606201171875</v>
      </c>
      <c r="H1778" s="3">
        <v>2256550</v>
      </c>
      <c r="I1778" s="4">
        <f t="shared" si="108"/>
        <v>-0.15</v>
      </c>
      <c r="J1778" s="2">
        <f t="shared" si="109"/>
        <v>13.7</v>
      </c>
      <c r="K1778" s="7">
        <f t="shared" si="110"/>
        <v>46082</v>
      </c>
      <c r="L1778" t="str">
        <f t="shared" si="111"/>
        <v>Q1-2026</v>
      </c>
    </row>
    <row r="1779" spans="1:12">
      <c r="A1779" s="6">
        <v>46090</v>
      </c>
      <c r="B1779" t="s">
        <v>22</v>
      </c>
      <c r="C1779" t="s">
        <v>23</v>
      </c>
      <c r="D1779" s="2">
        <v>916.16812917475499</v>
      </c>
      <c r="E1779" s="2">
        <v>935.35020114647978</v>
      </c>
      <c r="F1779" s="2">
        <v>903.49602698158196</v>
      </c>
      <c r="G1779" s="2">
        <v>932.31884765625</v>
      </c>
      <c r="H1779" s="3">
        <v>9182152</v>
      </c>
      <c r="I1779" s="4">
        <f t="shared" si="108"/>
        <v>-1.38</v>
      </c>
      <c r="J1779" s="2">
        <f t="shared" si="109"/>
        <v>3.03</v>
      </c>
      <c r="K1779" s="7">
        <f t="shared" si="110"/>
        <v>46082</v>
      </c>
      <c r="L1779" t="str">
        <f t="shared" si="111"/>
        <v>Q1-2026</v>
      </c>
    </row>
    <row r="1780" spans="1:12">
      <c r="A1780" s="6">
        <v>46090</v>
      </c>
      <c r="B1780" t="s">
        <v>24</v>
      </c>
      <c r="C1780" t="s">
        <v>25</v>
      </c>
      <c r="D1780" s="2">
        <v>13662.78409090909</v>
      </c>
      <c r="E1780" s="2">
        <v>13662.78409090909</v>
      </c>
      <c r="F1780" s="2">
        <v>13232.109375</v>
      </c>
      <c r="G1780" s="2">
        <v>13373.6875</v>
      </c>
      <c r="H1780" s="3">
        <v>676224</v>
      </c>
      <c r="I1780" s="4">
        <f t="shared" si="108"/>
        <v>-3.15</v>
      </c>
      <c r="J1780" s="2">
        <f t="shared" si="109"/>
        <v>289.10000000000002</v>
      </c>
      <c r="K1780" s="7">
        <f t="shared" si="110"/>
        <v>46082</v>
      </c>
      <c r="L1780" t="str">
        <f t="shared" si="111"/>
        <v>Q1-2026</v>
      </c>
    </row>
    <row r="1781" spans="1:12">
      <c r="A1781" s="6">
        <v>46090</v>
      </c>
      <c r="B1781" t="s">
        <v>26</v>
      </c>
      <c r="C1781" t="s">
        <v>27</v>
      </c>
      <c r="D1781" s="2">
        <v>339.18634511189288</v>
      </c>
      <c r="E1781" s="2">
        <v>340.07893470362262</v>
      </c>
      <c r="F1781" s="2">
        <v>325.94617032396042</v>
      </c>
      <c r="G1781" s="2">
        <v>329.26861572265619</v>
      </c>
      <c r="H1781" s="3">
        <v>17240937</v>
      </c>
      <c r="I1781" s="4">
        <f t="shared" si="108"/>
        <v>-3.9</v>
      </c>
      <c r="J1781" s="2">
        <f t="shared" si="109"/>
        <v>10.81</v>
      </c>
      <c r="K1781" s="7">
        <f t="shared" si="110"/>
        <v>46082</v>
      </c>
      <c r="L1781" t="str">
        <f t="shared" si="111"/>
        <v>Q1-2026</v>
      </c>
    </row>
    <row r="1782" spans="1:12">
      <c r="A1782" s="6">
        <v>46090</v>
      </c>
      <c r="B1782" t="s">
        <v>28</v>
      </c>
      <c r="C1782" t="s">
        <v>29</v>
      </c>
      <c r="D1782" s="2">
        <v>1768.265719033581</v>
      </c>
      <c r="E1782" s="2">
        <v>1810.255646596117</v>
      </c>
      <c r="F1782" s="2">
        <v>1765.3732751929069</v>
      </c>
      <c r="G1782" s="2">
        <v>1802.675537109375</v>
      </c>
      <c r="H1782" s="3">
        <v>4112775</v>
      </c>
      <c r="I1782" s="4">
        <f t="shared" si="108"/>
        <v>-0.16</v>
      </c>
      <c r="J1782" s="2">
        <f t="shared" si="109"/>
        <v>7.58</v>
      </c>
      <c r="K1782" s="7">
        <f t="shared" si="110"/>
        <v>46082</v>
      </c>
      <c r="L1782" t="str">
        <f t="shared" si="111"/>
        <v>Q1-2026</v>
      </c>
    </row>
    <row r="1783" spans="1:12">
      <c r="A1783" s="6">
        <v>46090</v>
      </c>
      <c r="B1783" t="s">
        <v>30</v>
      </c>
      <c r="C1783" t="s">
        <v>31</v>
      </c>
      <c r="D1783" s="2">
        <v>2181.0771011863271</v>
      </c>
      <c r="E1783" s="2">
        <v>2210.81906165705</v>
      </c>
      <c r="F1783" s="2">
        <v>2143.998887282437</v>
      </c>
      <c r="G1783" s="2">
        <v>2201.6982421875</v>
      </c>
      <c r="H1783" s="3">
        <v>2198153</v>
      </c>
      <c r="I1783" s="4">
        <f t="shared" si="108"/>
        <v>-1.7</v>
      </c>
      <c r="J1783" s="2">
        <f t="shared" si="109"/>
        <v>9.1199999999999992</v>
      </c>
      <c r="K1783" s="7">
        <f t="shared" si="110"/>
        <v>46082</v>
      </c>
      <c r="L1783" t="str">
        <f t="shared" si="111"/>
        <v>Q1-2026</v>
      </c>
    </row>
    <row r="1784" spans="1:12">
      <c r="A1784" s="6">
        <v>46090</v>
      </c>
      <c r="B1784" t="s">
        <v>32</v>
      </c>
      <c r="C1784" t="s">
        <v>33</v>
      </c>
      <c r="D1784" s="2">
        <v>2176.8580406764559</v>
      </c>
      <c r="E1784" s="2">
        <v>2177.8479715726262</v>
      </c>
      <c r="F1784" s="2">
        <v>2148.5459203730729</v>
      </c>
      <c r="G1784" s="2">
        <v>2172.50244140625</v>
      </c>
      <c r="H1784" s="3">
        <v>1512817</v>
      </c>
      <c r="I1784" s="4">
        <f t="shared" si="108"/>
        <v>-1.3</v>
      </c>
      <c r="J1784" s="2">
        <f t="shared" si="109"/>
        <v>5.35</v>
      </c>
      <c r="K1784" s="7">
        <f t="shared" si="110"/>
        <v>46082</v>
      </c>
      <c r="L1784" t="str">
        <f t="shared" si="111"/>
        <v>Q1-2026</v>
      </c>
    </row>
    <row r="1785" spans="1:12">
      <c r="A1785" s="6">
        <v>46090</v>
      </c>
      <c r="B1785" t="s">
        <v>34</v>
      </c>
      <c r="C1785" t="s">
        <v>35</v>
      </c>
      <c r="D1785" s="2">
        <v>3812.759522920217</v>
      </c>
      <c r="E1785" s="2">
        <v>3814.7401772178382</v>
      </c>
      <c r="F1785" s="2">
        <v>3706.794517997499</v>
      </c>
      <c r="G1785" s="2">
        <v>3804.93603515625</v>
      </c>
      <c r="H1785" s="3">
        <v>4248784</v>
      </c>
      <c r="I1785" s="4">
        <f t="shared" si="108"/>
        <v>-2.78</v>
      </c>
      <c r="J1785" s="2">
        <f t="shared" si="109"/>
        <v>9.8000000000000007</v>
      </c>
      <c r="K1785" s="7">
        <f t="shared" si="110"/>
        <v>46082</v>
      </c>
      <c r="L1785" t="str">
        <f t="shared" si="111"/>
        <v>Q1-2026</v>
      </c>
    </row>
    <row r="1786" spans="1:12">
      <c r="A1786" s="6">
        <v>46090</v>
      </c>
      <c r="B1786" t="s">
        <v>36</v>
      </c>
      <c r="C1786" t="s">
        <v>37</v>
      </c>
      <c r="D1786" s="2">
        <v>1281.21185421577</v>
      </c>
      <c r="E1786" s="2">
        <v>1290.005121495157</v>
      </c>
      <c r="F1786" s="2">
        <v>1259.82844319878</v>
      </c>
      <c r="G1786" s="2">
        <v>1287.307250976562</v>
      </c>
      <c r="H1786" s="3">
        <v>7926265</v>
      </c>
      <c r="I1786" s="4">
        <f t="shared" si="108"/>
        <v>-1.67</v>
      </c>
      <c r="J1786" s="2">
        <f t="shared" si="109"/>
        <v>2.7</v>
      </c>
      <c r="K1786" s="7">
        <f t="shared" si="110"/>
        <v>46082</v>
      </c>
      <c r="L1786" t="str">
        <f t="shared" si="111"/>
        <v>Q1-2026</v>
      </c>
    </row>
    <row r="1787" spans="1:12">
      <c r="A1787" s="6">
        <v>46091</v>
      </c>
      <c r="B1787" t="s">
        <v>8</v>
      </c>
      <c r="C1787" t="s">
        <v>9</v>
      </c>
      <c r="D1787" s="2">
        <v>1424.015880450879</v>
      </c>
      <c r="E1787" s="2">
        <v>1424.911762654353</v>
      </c>
      <c r="F1787" s="2">
        <v>1394.1539503917591</v>
      </c>
      <c r="G1787" s="2">
        <v>1402.316284179688</v>
      </c>
      <c r="H1787" s="3">
        <v>18071259</v>
      </c>
      <c r="I1787" s="4">
        <f t="shared" si="108"/>
        <v>-2.1</v>
      </c>
      <c r="J1787" s="2">
        <f t="shared" si="109"/>
        <v>22.6</v>
      </c>
      <c r="K1787" s="7">
        <f t="shared" si="110"/>
        <v>46082</v>
      </c>
      <c r="L1787" t="str">
        <f t="shared" si="111"/>
        <v>Q1-2026</v>
      </c>
    </row>
    <row r="1788" spans="1:12">
      <c r="A1788" s="6">
        <v>46091</v>
      </c>
      <c r="B1788" t="s">
        <v>10</v>
      </c>
      <c r="C1788" t="s">
        <v>11</v>
      </c>
      <c r="D1788" s="2">
        <v>2493.3365235176839</v>
      </c>
      <c r="E1788" s="2">
        <v>2497.4576929997102</v>
      </c>
      <c r="F1788" s="2">
        <v>2443.3913894928301</v>
      </c>
      <c r="G1788" s="2">
        <v>2465.9599609375</v>
      </c>
      <c r="H1788" s="3">
        <v>4323710</v>
      </c>
      <c r="I1788" s="4">
        <f t="shared" si="108"/>
        <v>-2</v>
      </c>
      <c r="J1788" s="2">
        <f t="shared" si="109"/>
        <v>31.5</v>
      </c>
      <c r="K1788" s="7">
        <f t="shared" si="110"/>
        <v>46082</v>
      </c>
      <c r="L1788" t="str">
        <f t="shared" si="111"/>
        <v>Q1-2026</v>
      </c>
    </row>
    <row r="1789" spans="1:12">
      <c r="A1789" s="6">
        <v>46091</v>
      </c>
      <c r="B1789" t="s">
        <v>12</v>
      </c>
      <c r="C1789" t="s">
        <v>13</v>
      </c>
      <c r="D1789" s="2">
        <v>1292.0410437407641</v>
      </c>
      <c r="E1789" s="2">
        <v>1293.019862713295</v>
      </c>
      <c r="F1789" s="2">
        <v>1256.901418729957</v>
      </c>
      <c r="G1789" s="2">
        <v>1268.157836914062</v>
      </c>
      <c r="H1789" s="3">
        <v>9600171</v>
      </c>
      <c r="I1789" s="4">
        <f t="shared" si="108"/>
        <v>-2.72</v>
      </c>
      <c r="J1789" s="2">
        <f t="shared" si="109"/>
        <v>24.86</v>
      </c>
      <c r="K1789" s="7">
        <f t="shared" si="110"/>
        <v>46082</v>
      </c>
      <c r="L1789" t="str">
        <f t="shared" si="111"/>
        <v>Q1-2026</v>
      </c>
    </row>
    <row r="1790" spans="1:12">
      <c r="A1790" s="6">
        <v>46091</v>
      </c>
      <c r="B1790" t="s">
        <v>14</v>
      </c>
      <c r="C1790" t="s">
        <v>15</v>
      </c>
      <c r="D1790" s="2">
        <v>836.21936415473988</v>
      </c>
      <c r="E1790" s="2">
        <v>842.85953919044516</v>
      </c>
      <c r="F1790" s="2">
        <v>826.92310709633398</v>
      </c>
      <c r="G1790" s="2">
        <v>835.629150390625</v>
      </c>
      <c r="H1790" s="3">
        <v>52866024</v>
      </c>
      <c r="I1790" s="4">
        <f t="shared" si="108"/>
        <v>-1.1100000000000001</v>
      </c>
      <c r="J1790" s="2">
        <f t="shared" si="109"/>
        <v>7.23</v>
      </c>
      <c r="K1790" s="7">
        <f t="shared" si="110"/>
        <v>46082</v>
      </c>
      <c r="L1790" t="str">
        <f t="shared" si="111"/>
        <v>Q1-2026</v>
      </c>
    </row>
    <row r="1791" spans="1:12">
      <c r="A1791" s="6">
        <v>46091</v>
      </c>
      <c r="B1791" t="s">
        <v>16</v>
      </c>
      <c r="C1791" t="s">
        <v>17</v>
      </c>
      <c r="D1791" s="2">
        <v>1276.8355955325101</v>
      </c>
      <c r="E1791" s="2">
        <v>1304.0065548006739</v>
      </c>
      <c r="F1791" s="2">
        <v>1274.8523156012541</v>
      </c>
      <c r="G1791" s="2">
        <v>1300.932495117188</v>
      </c>
      <c r="H1791" s="3">
        <v>19136143</v>
      </c>
      <c r="I1791" s="4">
        <f t="shared" si="108"/>
        <v>-0.16</v>
      </c>
      <c r="J1791" s="2">
        <f t="shared" si="109"/>
        <v>3.07</v>
      </c>
      <c r="K1791" s="7">
        <f t="shared" si="110"/>
        <v>46082</v>
      </c>
      <c r="L1791" t="str">
        <f t="shared" si="111"/>
        <v>Q1-2026</v>
      </c>
    </row>
    <row r="1792" spans="1:12">
      <c r="A1792" s="6">
        <v>46091</v>
      </c>
      <c r="B1792" t="s">
        <v>18</v>
      </c>
      <c r="C1792" t="s">
        <v>19</v>
      </c>
      <c r="D1792" s="2">
        <v>198.23599552495921</v>
      </c>
      <c r="E1792" s="2">
        <v>199.03684675887749</v>
      </c>
      <c r="F1792" s="2">
        <v>195.19077243669071</v>
      </c>
      <c r="G1792" s="2">
        <v>198.6611328125</v>
      </c>
      <c r="H1792" s="3">
        <v>12982340</v>
      </c>
      <c r="I1792" s="4">
        <f t="shared" si="108"/>
        <v>-1.54</v>
      </c>
      <c r="J1792" s="2">
        <f t="shared" si="109"/>
        <v>0.38</v>
      </c>
      <c r="K1792" s="7">
        <f t="shared" si="110"/>
        <v>46082</v>
      </c>
      <c r="L1792" t="str">
        <f t="shared" si="111"/>
        <v>Q1-2026</v>
      </c>
    </row>
    <row r="1793" spans="1:12">
      <c r="A1793" s="6">
        <v>46091</v>
      </c>
      <c r="B1793" t="s">
        <v>20</v>
      </c>
      <c r="C1793" t="s">
        <v>21</v>
      </c>
      <c r="D1793" s="2">
        <v>1321.9373243586181</v>
      </c>
      <c r="E1793" s="2">
        <v>1325.239763136487</v>
      </c>
      <c r="F1793" s="2">
        <v>1306.39654758438</v>
      </c>
      <c r="G1793" s="2">
        <v>1322.422973632812</v>
      </c>
      <c r="H1793" s="3">
        <v>1671877</v>
      </c>
      <c r="I1793" s="4">
        <f t="shared" si="108"/>
        <v>-1.18</v>
      </c>
      <c r="J1793" s="2">
        <f t="shared" si="109"/>
        <v>2.82</v>
      </c>
      <c r="K1793" s="7">
        <f t="shared" si="110"/>
        <v>46082</v>
      </c>
      <c r="L1793" t="str">
        <f t="shared" si="111"/>
        <v>Q1-2026</v>
      </c>
    </row>
    <row r="1794" spans="1:12">
      <c r="A1794" s="6">
        <v>46091</v>
      </c>
      <c r="B1794" t="s">
        <v>22</v>
      </c>
      <c r="C1794" t="s">
        <v>23</v>
      </c>
      <c r="D1794" s="2">
        <v>944.19579880947015</v>
      </c>
      <c r="E1794" s="2">
        <v>946.33268725062351</v>
      </c>
      <c r="F1794" s="2">
        <v>926.15666533573642</v>
      </c>
      <c r="G1794" s="2">
        <v>934.05810546875</v>
      </c>
      <c r="H1794" s="3">
        <v>8474956</v>
      </c>
      <c r="I1794" s="4">
        <f t="shared" ref="I1794:I1857" si="112">ROUND(((F1794-D1794)/D1794)*100, 2)</f>
        <v>-1.91</v>
      </c>
      <c r="J1794" s="2">
        <f t="shared" ref="J1794:J1857" si="113">ROUND(E1794-G1794, 2)</f>
        <v>12.27</v>
      </c>
      <c r="K1794" s="7">
        <f t="shared" ref="K1794:K1857" si="114">DATE(YEAR(A1794),MONTH(A1794),1)</f>
        <v>46082</v>
      </c>
      <c r="L1794" t="str">
        <f t="shared" ref="L1794:L1857" si="115">"Q"&amp;INT((MONTH(A1794)-1)/3)+1&amp;"-"&amp;YEAR(A1794)</f>
        <v>Q1-2026</v>
      </c>
    </row>
    <row r="1795" spans="1:12">
      <c r="A1795" s="6">
        <v>46091</v>
      </c>
      <c r="B1795" t="s">
        <v>24</v>
      </c>
      <c r="C1795" t="s">
        <v>25</v>
      </c>
      <c r="D1795" s="2">
        <v>13584.56986580382</v>
      </c>
      <c r="E1795" s="2">
        <v>13770.700551232811</v>
      </c>
      <c r="F1795" s="2">
        <v>13370.717588927961</v>
      </c>
      <c r="G1795" s="2">
        <v>13729.1181640625</v>
      </c>
      <c r="H1795" s="3">
        <v>353715</v>
      </c>
      <c r="I1795" s="4">
        <f t="shared" si="112"/>
        <v>-1.57</v>
      </c>
      <c r="J1795" s="2">
        <f t="shared" si="113"/>
        <v>41.58</v>
      </c>
      <c r="K1795" s="7">
        <f t="shared" si="114"/>
        <v>46082</v>
      </c>
      <c r="L1795" t="str">
        <f t="shared" si="115"/>
        <v>Q1-2026</v>
      </c>
    </row>
    <row r="1796" spans="1:12">
      <c r="A1796" s="6">
        <v>46091</v>
      </c>
      <c r="B1796" t="s">
        <v>26</v>
      </c>
      <c r="C1796" t="s">
        <v>27</v>
      </c>
      <c r="D1796" s="2">
        <v>335.21926879107428</v>
      </c>
      <c r="E1796" s="2">
        <v>342.95508596426453</v>
      </c>
      <c r="F1796" s="2">
        <v>331.50012009886558</v>
      </c>
      <c r="G1796" s="2">
        <v>342.36004638671881</v>
      </c>
      <c r="H1796" s="3">
        <v>13770080</v>
      </c>
      <c r="I1796" s="4">
        <f t="shared" si="112"/>
        <v>-1.1100000000000001</v>
      </c>
      <c r="J1796" s="2">
        <f t="shared" si="113"/>
        <v>0.6</v>
      </c>
      <c r="K1796" s="7">
        <f t="shared" si="114"/>
        <v>46082</v>
      </c>
      <c r="L1796" t="str">
        <f t="shared" si="115"/>
        <v>Q1-2026</v>
      </c>
    </row>
    <row r="1797" spans="1:12">
      <c r="A1797" s="6">
        <v>46091</v>
      </c>
      <c r="B1797" t="s">
        <v>28</v>
      </c>
      <c r="C1797" t="s">
        <v>29</v>
      </c>
      <c r="D1797" s="2">
        <v>1805.2686718483701</v>
      </c>
      <c r="E1797" s="2">
        <v>1820.329176196971</v>
      </c>
      <c r="F1797" s="2">
        <v>1798.5862343050001</v>
      </c>
      <c r="G1797" s="2">
        <v>1808.061401367188</v>
      </c>
      <c r="H1797" s="3">
        <v>3298680</v>
      </c>
      <c r="I1797" s="4">
        <f t="shared" si="112"/>
        <v>-0.37</v>
      </c>
      <c r="J1797" s="2">
        <f t="shared" si="113"/>
        <v>12.27</v>
      </c>
      <c r="K1797" s="7">
        <f t="shared" si="114"/>
        <v>46082</v>
      </c>
      <c r="L1797" t="str">
        <f t="shared" si="115"/>
        <v>Q1-2026</v>
      </c>
    </row>
    <row r="1798" spans="1:12">
      <c r="A1798" s="6">
        <v>46091</v>
      </c>
      <c r="B1798" t="s">
        <v>30</v>
      </c>
      <c r="C1798" t="s">
        <v>31</v>
      </c>
      <c r="D1798" s="2">
        <v>2232.2333127043021</v>
      </c>
      <c r="E1798" s="2">
        <v>2285.2731408487371</v>
      </c>
      <c r="F1798" s="2">
        <v>2232.2333127043021</v>
      </c>
      <c r="G1798" s="2">
        <v>2260.785400390625</v>
      </c>
      <c r="H1798" s="3">
        <v>1192174</v>
      </c>
      <c r="I1798" s="4">
        <f t="shared" si="112"/>
        <v>0</v>
      </c>
      <c r="J1798" s="2">
        <f t="shared" si="113"/>
        <v>24.49</v>
      </c>
      <c r="K1798" s="7">
        <f t="shared" si="114"/>
        <v>46082</v>
      </c>
      <c r="L1798" t="str">
        <f t="shared" si="115"/>
        <v>Q1-2026</v>
      </c>
    </row>
    <row r="1799" spans="1:12">
      <c r="A1799" s="6">
        <v>46091</v>
      </c>
      <c r="B1799" t="s">
        <v>32</v>
      </c>
      <c r="C1799" t="s">
        <v>33</v>
      </c>
      <c r="D1799" s="2">
        <v>2201.6061952106211</v>
      </c>
      <c r="E1799" s="2">
        <v>2201.6061952106211</v>
      </c>
      <c r="F1799" s="2">
        <v>2153.099583895279</v>
      </c>
      <c r="G1799" s="2">
        <v>2168.146484375</v>
      </c>
      <c r="H1799" s="3">
        <v>1084986</v>
      </c>
      <c r="I1799" s="4">
        <f t="shared" si="112"/>
        <v>-2.2000000000000002</v>
      </c>
      <c r="J1799" s="2">
        <f t="shared" si="113"/>
        <v>33.46</v>
      </c>
      <c r="K1799" s="7">
        <f t="shared" si="114"/>
        <v>46082</v>
      </c>
      <c r="L1799" t="str">
        <f t="shared" si="115"/>
        <v>Q1-2026</v>
      </c>
    </row>
    <row r="1800" spans="1:12">
      <c r="A1800" s="6">
        <v>46091</v>
      </c>
      <c r="B1800" t="s">
        <v>34</v>
      </c>
      <c r="C1800" t="s">
        <v>35</v>
      </c>
      <c r="D1800" s="2">
        <v>3897.927438080495</v>
      </c>
      <c r="E1800" s="2">
        <v>3933.5792134287931</v>
      </c>
      <c r="F1800" s="2">
        <v>3813.7496351747941</v>
      </c>
      <c r="G1800" s="2">
        <v>3838.5078125</v>
      </c>
      <c r="H1800" s="3">
        <v>3330102</v>
      </c>
      <c r="I1800" s="4">
        <f t="shared" si="112"/>
        <v>-2.16</v>
      </c>
      <c r="J1800" s="2">
        <f t="shared" si="113"/>
        <v>95.07</v>
      </c>
      <c r="K1800" s="7">
        <f t="shared" si="114"/>
        <v>46082</v>
      </c>
      <c r="L1800" t="str">
        <f t="shared" si="115"/>
        <v>Q1-2026</v>
      </c>
    </row>
    <row r="1801" spans="1:12">
      <c r="A1801" s="6">
        <v>46091</v>
      </c>
      <c r="B1801" t="s">
        <v>36</v>
      </c>
      <c r="C1801" t="s">
        <v>37</v>
      </c>
      <c r="D1801" s="2">
        <v>1294.201795402581</v>
      </c>
      <c r="E1801" s="2">
        <v>1318.4831172118311</v>
      </c>
      <c r="F1801" s="2">
        <v>1283.6099887690709</v>
      </c>
      <c r="G1801" s="2">
        <v>1313.686767578125</v>
      </c>
      <c r="H1801" s="3">
        <v>6289277</v>
      </c>
      <c r="I1801" s="4">
        <f t="shared" si="112"/>
        <v>-0.82</v>
      </c>
      <c r="J1801" s="2">
        <f t="shared" si="113"/>
        <v>4.8</v>
      </c>
      <c r="K1801" s="7">
        <f t="shared" si="114"/>
        <v>46082</v>
      </c>
      <c r="L1801" t="str">
        <f t="shared" si="115"/>
        <v>Q1-2026</v>
      </c>
    </row>
    <row r="1802" spans="1:12">
      <c r="A1802" s="6">
        <v>46092</v>
      </c>
      <c r="B1802" t="s">
        <v>8</v>
      </c>
      <c r="C1802" t="s">
        <v>9</v>
      </c>
      <c r="D1802" s="2">
        <v>1418.34212900751</v>
      </c>
      <c r="E1802" s="2">
        <v>1427.4002232775149</v>
      </c>
      <c r="F1802" s="2">
        <v>1377.232157655601</v>
      </c>
      <c r="G1802" s="2">
        <v>1383.8017578125</v>
      </c>
      <c r="H1802" s="3">
        <v>21848087</v>
      </c>
      <c r="I1802" s="4">
        <f t="shared" si="112"/>
        <v>-2.9</v>
      </c>
      <c r="J1802" s="2">
        <f t="shared" si="113"/>
        <v>43.6</v>
      </c>
      <c r="K1802" s="7">
        <f t="shared" si="114"/>
        <v>46082</v>
      </c>
      <c r="L1802" t="str">
        <f t="shared" si="115"/>
        <v>Q1-2026</v>
      </c>
    </row>
    <row r="1803" spans="1:12">
      <c r="A1803" s="6">
        <v>46092</v>
      </c>
      <c r="B1803" t="s">
        <v>10</v>
      </c>
      <c r="C1803" t="s">
        <v>11</v>
      </c>
      <c r="D1803" s="2">
        <v>2461.0539217376809</v>
      </c>
      <c r="E1803" s="2">
        <v>2473.711851651557</v>
      </c>
      <c r="F1803" s="2">
        <v>2413.9542910834662</v>
      </c>
      <c r="G1803" s="2">
        <v>2418.6640625</v>
      </c>
      <c r="H1803" s="3">
        <v>2720664</v>
      </c>
      <c r="I1803" s="4">
        <f t="shared" si="112"/>
        <v>-1.91</v>
      </c>
      <c r="J1803" s="2">
        <f t="shared" si="113"/>
        <v>55.05</v>
      </c>
      <c r="K1803" s="7">
        <f t="shared" si="114"/>
        <v>46082</v>
      </c>
      <c r="L1803" t="str">
        <f t="shared" si="115"/>
        <v>Q1-2026</v>
      </c>
    </row>
    <row r="1804" spans="1:12">
      <c r="A1804" s="6">
        <v>46092</v>
      </c>
      <c r="B1804" t="s">
        <v>12</v>
      </c>
      <c r="C1804" t="s">
        <v>13</v>
      </c>
      <c r="D1804" s="2">
        <v>1260.71885801185</v>
      </c>
      <c r="E1804" s="2">
        <v>1271.975276386956</v>
      </c>
      <c r="F1804" s="2">
        <v>1244.372628687114</v>
      </c>
      <c r="G1804" s="2">
        <v>1249.266723632812</v>
      </c>
      <c r="H1804" s="3">
        <v>7868891</v>
      </c>
      <c r="I1804" s="4">
        <f t="shared" si="112"/>
        <v>-1.3</v>
      </c>
      <c r="J1804" s="2">
        <f t="shared" si="113"/>
        <v>22.71</v>
      </c>
      <c r="K1804" s="7">
        <f t="shared" si="114"/>
        <v>46082</v>
      </c>
      <c r="L1804" t="str">
        <f t="shared" si="115"/>
        <v>Q1-2026</v>
      </c>
    </row>
    <row r="1805" spans="1:12">
      <c r="A1805" s="6">
        <v>46092</v>
      </c>
      <c r="B1805" t="s">
        <v>14</v>
      </c>
      <c r="C1805" t="s">
        <v>15</v>
      </c>
      <c r="D1805" s="2">
        <v>831.25154820123225</v>
      </c>
      <c r="E1805" s="2">
        <v>835.0388833093358</v>
      </c>
      <c r="F1805" s="2">
        <v>814.13462839894976</v>
      </c>
      <c r="G1805" s="2">
        <v>820.38134765625</v>
      </c>
      <c r="H1805" s="3">
        <v>42261076</v>
      </c>
      <c r="I1805" s="4">
        <f t="shared" si="112"/>
        <v>-2.06</v>
      </c>
      <c r="J1805" s="2">
        <f t="shared" si="113"/>
        <v>14.66</v>
      </c>
      <c r="K1805" s="7">
        <f t="shared" si="114"/>
        <v>46082</v>
      </c>
      <c r="L1805" t="str">
        <f t="shared" si="115"/>
        <v>Q1-2026</v>
      </c>
    </row>
    <row r="1806" spans="1:12">
      <c r="A1806" s="6">
        <v>46092</v>
      </c>
      <c r="B1806" t="s">
        <v>16</v>
      </c>
      <c r="C1806" t="s">
        <v>17</v>
      </c>
      <c r="D1806" s="2">
        <v>1289.1319797351589</v>
      </c>
      <c r="E1806" s="2">
        <v>1295.577639633834</v>
      </c>
      <c r="F1806" s="2">
        <v>1280.1080800869729</v>
      </c>
      <c r="G1806" s="2">
        <v>1283.777099609375</v>
      </c>
      <c r="H1806" s="3">
        <v>13224259</v>
      </c>
      <c r="I1806" s="4">
        <f t="shared" si="112"/>
        <v>-0.7</v>
      </c>
      <c r="J1806" s="2">
        <f t="shared" si="113"/>
        <v>11.8</v>
      </c>
      <c r="K1806" s="7">
        <f t="shared" si="114"/>
        <v>46082</v>
      </c>
      <c r="L1806" t="str">
        <f t="shared" si="115"/>
        <v>Q1-2026</v>
      </c>
    </row>
    <row r="1807" spans="1:12">
      <c r="A1807" s="6">
        <v>46092</v>
      </c>
      <c r="B1807" t="s">
        <v>18</v>
      </c>
      <c r="C1807" t="s">
        <v>19</v>
      </c>
      <c r="D1807" s="2">
        <v>200.40126932343739</v>
      </c>
      <c r="E1807" s="2">
        <v>203.62445265408161</v>
      </c>
      <c r="F1807" s="2">
        <v>199.30380260783789</v>
      </c>
      <c r="G1807" s="2">
        <v>199.94645690917969</v>
      </c>
      <c r="H1807" s="3">
        <v>29199002</v>
      </c>
      <c r="I1807" s="4">
        <f t="shared" si="112"/>
        <v>-0.55000000000000004</v>
      </c>
      <c r="J1807" s="2">
        <f t="shared" si="113"/>
        <v>3.68</v>
      </c>
      <c r="K1807" s="7">
        <f t="shared" si="114"/>
        <v>46082</v>
      </c>
      <c r="L1807" t="str">
        <f t="shared" si="115"/>
        <v>Q1-2026</v>
      </c>
    </row>
    <row r="1808" spans="1:12">
      <c r="A1808" s="6">
        <v>46092</v>
      </c>
      <c r="B1808" t="s">
        <v>20</v>
      </c>
      <c r="C1808" t="s">
        <v>21</v>
      </c>
      <c r="D1808" s="2">
        <v>1327.9592836609329</v>
      </c>
      <c r="E1808" s="2">
        <v>1336.5067580284981</v>
      </c>
      <c r="F1808" s="2">
        <v>1308.241994925977</v>
      </c>
      <c r="G1808" s="2">
        <v>1311.54443359375</v>
      </c>
      <c r="H1808" s="3">
        <v>1837000</v>
      </c>
      <c r="I1808" s="4">
        <f t="shared" si="112"/>
        <v>-1.48</v>
      </c>
      <c r="J1808" s="2">
        <f t="shared" si="113"/>
        <v>24.96</v>
      </c>
      <c r="K1808" s="7">
        <f t="shared" si="114"/>
        <v>46082</v>
      </c>
      <c r="L1808" t="str">
        <f t="shared" si="115"/>
        <v>Q1-2026</v>
      </c>
    </row>
    <row r="1809" spans="1:12">
      <c r="A1809" s="6">
        <v>46092</v>
      </c>
      <c r="B1809" t="s">
        <v>22</v>
      </c>
      <c r="C1809" t="s">
        <v>23</v>
      </c>
      <c r="D1809" s="2">
        <v>926.50458489593018</v>
      </c>
      <c r="E1809" s="2">
        <v>935.49928031927197</v>
      </c>
      <c r="F1809" s="2">
        <v>884.56240051437135</v>
      </c>
      <c r="G1809" s="2">
        <v>888.19012451171875</v>
      </c>
      <c r="H1809" s="3">
        <v>11172537</v>
      </c>
      <c r="I1809" s="4">
        <f t="shared" si="112"/>
        <v>-4.53</v>
      </c>
      <c r="J1809" s="2">
        <f t="shared" si="113"/>
        <v>47.31</v>
      </c>
      <c r="K1809" s="7">
        <f t="shared" si="114"/>
        <v>46082</v>
      </c>
      <c r="L1809" t="str">
        <f t="shared" si="115"/>
        <v>Q1-2026</v>
      </c>
    </row>
    <row r="1810" spans="1:12">
      <c r="A1810" s="6">
        <v>46092</v>
      </c>
      <c r="B1810" t="s">
        <v>24</v>
      </c>
      <c r="C1810" t="s">
        <v>25</v>
      </c>
      <c r="D1810" s="2">
        <v>13712.28693181818</v>
      </c>
      <c r="E1810" s="2">
        <v>13809.3125</v>
      </c>
      <c r="F1810" s="2">
        <v>13307.35369318182</v>
      </c>
      <c r="G1810" s="2">
        <v>13362.796875</v>
      </c>
      <c r="H1810" s="3">
        <v>392182</v>
      </c>
      <c r="I1810" s="4">
        <f t="shared" si="112"/>
        <v>-2.95</v>
      </c>
      <c r="J1810" s="2">
        <f t="shared" si="113"/>
        <v>446.52</v>
      </c>
      <c r="K1810" s="7">
        <f t="shared" si="114"/>
        <v>46082</v>
      </c>
      <c r="L1810" t="str">
        <f t="shared" si="115"/>
        <v>Q1-2026</v>
      </c>
    </row>
    <row r="1811" spans="1:12">
      <c r="A1811" s="6">
        <v>46092</v>
      </c>
      <c r="B1811" t="s">
        <v>26</v>
      </c>
      <c r="C1811" t="s">
        <v>27</v>
      </c>
      <c r="D1811" s="2">
        <v>341.96330065993629</v>
      </c>
      <c r="E1811" s="2">
        <v>344.14521325402922</v>
      </c>
      <c r="F1811" s="2">
        <v>331.89681128232041</v>
      </c>
      <c r="G1811" s="2">
        <v>332.591064453125</v>
      </c>
      <c r="H1811" s="3">
        <v>5949596</v>
      </c>
      <c r="I1811" s="4">
        <f t="shared" si="112"/>
        <v>-2.94</v>
      </c>
      <c r="J1811" s="2">
        <f t="shared" si="113"/>
        <v>11.55</v>
      </c>
      <c r="K1811" s="7">
        <f t="shared" si="114"/>
        <v>46082</v>
      </c>
      <c r="L1811" t="str">
        <f t="shared" si="115"/>
        <v>Q1-2026</v>
      </c>
    </row>
    <row r="1812" spans="1:12">
      <c r="A1812" s="6">
        <v>46092</v>
      </c>
      <c r="B1812" t="s">
        <v>28</v>
      </c>
      <c r="C1812" t="s">
        <v>29</v>
      </c>
      <c r="D1812" s="2">
        <v>1818.2347533954421</v>
      </c>
      <c r="E1812" s="2">
        <v>1838.1824742225999</v>
      </c>
      <c r="F1812" s="2">
        <v>1813.3475374425429</v>
      </c>
      <c r="G1812" s="2">
        <v>1821.127197265625</v>
      </c>
      <c r="H1812" s="3">
        <v>2510495</v>
      </c>
      <c r="I1812" s="4">
        <f t="shared" si="112"/>
        <v>-0.27</v>
      </c>
      <c r="J1812" s="2">
        <f t="shared" si="113"/>
        <v>17.059999999999999</v>
      </c>
      <c r="K1812" s="7">
        <f t="shared" si="114"/>
        <v>46082</v>
      </c>
      <c r="L1812" t="str">
        <f t="shared" si="115"/>
        <v>Q1-2026</v>
      </c>
    </row>
    <row r="1813" spans="1:12">
      <c r="A1813" s="6">
        <v>46092</v>
      </c>
      <c r="B1813" t="s">
        <v>30</v>
      </c>
      <c r="C1813" t="s">
        <v>31</v>
      </c>
      <c r="D1813" s="2">
        <v>2270.3028787592411</v>
      </c>
      <c r="E1813" s="2">
        <v>2282.1996624033941</v>
      </c>
      <c r="F1813" s="2">
        <v>2206.8533659904228</v>
      </c>
      <c r="G1813" s="2">
        <v>2212.8017578125</v>
      </c>
      <c r="H1813" s="3">
        <v>687786</v>
      </c>
      <c r="I1813" s="4">
        <f t="shared" si="112"/>
        <v>-2.79</v>
      </c>
      <c r="J1813" s="2">
        <f t="shared" si="113"/>
        <v>69.400000000000006</v>
      </c>
      <c r="K1813" s="7">
        <f t="shared" si="114"/>
        <v>46082</v>
      </c>
      <c r="L1813" t="str">
        <f t="shared" si="115"/>
        <v>Q1-2026</v>
      </c>
    </row>
    <row r="1814" spans="1:12">
      <c r="A1814" s="6">
        <v>46092</v>
      </c>
      <c r="B1814" t="s">
        <v>32</v>
      </c>
      <c r="C1814" t="s">
        <v>33</v>
      </c>
      <c r="D1814" s="2">
        <v>2168.1465318534629</v>
      </c>
      <c r="E1814" s="2">
        <v>2172.898248341201</v>
      </c>
      <c r="F1814" s="2">
        <v>2134.2909446121321</v>
      </c>
      <c r="G1814" s="2">
        <v>2139.636474609375</v>
      </c>
      <c r="H1814" s="3">
        <v>1313256</v>
      </c>
      <c r="I1814" s="4">
        <f t="shared" si="112"/>
        <v>-1.56</v>
      </c>
      <c r="J1814" s="2">
        <f t="shared" si="113"/>
        <v>33.26</v>
      </c>
      <c r="K1814" s="7">
        <f t="shared" si="114"/>
        <v>46082</v>
      </c>
      <c r="L1814" t="str">
        <f t="shared" si="115"/>
        <v>Q1-2026</v>
      </c>
    </row>
    <row r="1815" spans="1:12">
      <c r="A1815" s="6">
        <v>46092</v>
      </c>
      <c r="B1815" t="s">
        <v>34</v>
      </c>
      <c r="C1815" t="s">
        <v>35</v>
      </c>
      <c r="D1815" s="2">
        <v>3842.1720063386028</v>
      </c>
      <c r="E1815" s="2">
        <v>3859.007567059743</v>
      </c>
      <c r="F1815" s="2">
        <v>3794.9334519651038</v>
      </c>
      <c r="G1815" s="2">
        <v>3801.667724609375</v>
      </c>
      <c r="H1815" s="3">
        <v>2066473</v>
      </c>
      <c r="I1815" s="4">
        <f t="shared" si="112"/>
        <v>-1.23</v>
      </c>
      <c r="J1815" s="2">
        <f t="shared" si="113"/>
        <v>57.34</v>
      </c>
      <c r="K1815" s="7">
        <f t="shared" si="114"/>
        <v>46082</v>
      </c>
      <c r="L1815" t="str">
        <f t="shared" si="115"/>
        <v>Q1-2026</v>
      </c>
    </row>
    <row r="1816" spans="1:12">
      <c r="A1816" s="6">
        <v>46092</v>
      </c>
      <c r="B1816" t="s">
        <v>36</v>
      </c>
      <c r="C1816" t="s">
        <v>37</v>
      </c>
      <c r="D1816" s="2">
        <v>1308.990457752961</v>
      </c>
      <c r="E1816" s="2">
        <v>1316.484677930936</v>
      </c>
      <c r="F1816" s="2">
        <v>1251.7345668027369</v>
      </c>
      <c r="G1816" s="2">
        <v>1254.832275390625</v>
      </c>
      <c r="H1816" s="3">
        <v>6859908</v>
      </c>
      <c r="I1816" s="4">
        <f t="shared" si="112"/>
        <v>-4.37</v>
      </c>
      <c r="J1816" s="2">
        <f t="shared" si="113"/>
        <v>61.65</v>
      </c>
      <c r="K1816" s="7">
        <f t="shared" si="114"/>
        <v>46082</v>
      </c>
      <c r="L1816" t="str">
        <f t="shared" si="115"/>
        <v>Q1-2026</v>
      </c>
    </row>
    <row r="1817" spans="1:12">
      <c r="A1817" s="6">
        <v>46093</v>
      </c>
      <c r="B1817" t="s">
        <v>8</v>
      </c>
      <c r="C1817" t="s">
        <v>9</v>
      </c>
      <c r="D1817" s="2">
        <v>1383.6027762448109</v>
      </c>
      <c r="E1817" s="2">
        <v>1404.406612074222</v>
      </c>
      <c r="F1817" s="2">
        <v>1374.7437125844201</v>
      </c>
      <c r="G1817" s="2">
        <v>1385.792602539062</v>
      </c>
      <c r="H1817" s="3">
        <v>20939959</v>
      </c>
      <c r="I1817" s="4">
        <f t="shared" si="112"/>
        <v>-0.64</v>
      </c>
      <c r="J1817" s="2">
        <f t="shared" si="113"/>
        <v>18.61</v>
      </c>
      <c r="K1817" s="7">
        <f t="shared" si="114"/>
        <v>46082</v>
      </c>
      <c r="L1817" t="str">
        <f t="shared" si="115"/>
        <v>Q1-2026</v>
      </c>
    </row>
    <row r="1818" spans="1:12">
      <c r="A1818" s="6">
        <v>46093</v>
      </c>
      <c r="B1818" t="s">
        <v>10</v>
      </c>
      <c r="C1818" t="s">
        <v>11</v>
      </c>
      <c r="D1818" s="2">
        <v>2413.6596961154</v>
      </c>
      <c r="E1818" s="2">
        <v>2426.5138256495229</v>
      </c>
      <c r="F1818" s="2">
        <v>2390.3060830242089</v>
      </c>
      <c r="G1818" s="2">
        <v>2396.5859375</v>
      </c>
      <c r="H1818" s="3">
        <v>2752075</v>
      </c>
      <c r="I1818" s="4">
        <f t="shared" si="112"/>
        <v>-0.97</v>
      </c>
      <c r="J1818" s="2">
        <f t="shared" si="113"/>
        <v>29.93</v>
      </c>
      <c r="K1818" s="7">
        <f t="shared" si="114"/>
        <v>46082</v>
      </c>
      <c r="L1818" t="str">
        <f t="shared" si="115"/>
        <v>Q1-2026</v>
      </c>
    </row>
    <row r="1819" spans="1:12">
      <c r="A1819" s="6">
        <v>46093</v>
      </c>
      <c r="B1819" t="s">
        <v>12</v>
      </c>
      <c r="C1819" t="s">
        <v>13</v>
      </c>
      <c r="D1819" s="2">
        <v>1245.5471752363731</v>
      </c>
      <c r="E1819" s="2">
        <v>1251.5179472285729</v>
      </c>
      <c r="F1819" s="2">
        <v>1231.354299762166</v>
      </c>
      <c r="G1819" s="2">
        <v>1238.989135742188</v>
      </c>
      <c r="H1819" s="3">
        <v>7599940</v>
      </c>
      <c r="I1819" s="4">
        <f t="shared" si="112"/>
        <v>-1.1399999999999999</v>
      </c>
      <c r="J1819" s="2">
        <f t="shared" si="113"/>
        <v>12.53</v>
      </c>
      <c r="K1819" s="7">
        <f t="shared" si="114"/>
        <v>46082</v>
      </c>
      <c r="L1819" t="str">
        <f t="shared" si="115"/>
        <v>Q1-2026</v>
      </c>
    </row>
    <row r="1820" spans="1:12">
      <c r="A1820" s="6">
        <v>46093</v>
      </c>
      <c r="B1820" t="s">
        <v>14</v>
      </c>
      <c r="C1820" t="s">
        <v>15</v>
      </c>
      <c r="D1820" s="2">
        <v>806.75666259982961</v>
      </c>
      <c r="E1820" s="2">
        <v>822.79150394145631</v>
      </c>
      <c r="F1820" s="2">
        <v>806.75666259982961</v>
      </c>
      <c r="G1820" s="2">
        <v>819.20086669921875</v>
      </c>
      <c r="H1820" s="3">
        <v>46107561</v>
      </c>
      <c r="I1820" s="4">
        <f t="shared" si="112"/>
        <v>0</v>
      </c>
      <c r="J1820" s="2">
        <f t="shared" si="113"/>
        <v>3.59</v>
      </c>
      <c r="K1820" s="7">
        <f t="shared" si="114"/>
        <v>46082</v>
      </c>
      <c r="L1820" t="str">
        <f t="shared" si="115"/>
        <v>Q1-2026</v>
      </c>
    </row>
    <row r="1821" spans="1:12">
      <c r="A1821" s="6">
        <v>46093</v>
      </c>
      <c r="B1821" t="s">
        <v>16</v>
      </c>
      <c r="C1821" t="s">
        <v>17</v>
      </c>
      <c r="D1821" s="2">
        <v>1265.035026356702</v>
      </c>
      <c r="E1821" s="2">
        <v>1269.794946501107</v>
      </c>
      <c r="F1821" s="2">
        <v>1247.780588195275</v>
      </c>
      <c r="G1821" s="2">
        <v>1255.911987304688</v>
      </c>
      <c r="H1821" s="3">
        <v>19676187</v>
      </c>
      <c r="I1821" s="4">
        <f t="shared" si="112"/>
        <v>-1.36</v>
      </c>
      <c r="J1821" s="2">
        <f t="shared" si="113"/>
        <v>13.88</v>
      </c>
      <c r="K1821" s="7">
        <f t="shared" si="114"/>
        <v>46082</v>
      </c>
      <c r="L1821" t="str">
        <f t="shared" si="115"/>
        <v>Q1-2026</v>
      </c>
    </row>
    <row r="1822" spans="1:12">
      <c r="A1822" s="6">
        <v>46093</v>
      </c>
      <c r="B1822" t="s">
        <v>18</v>
      </c>
      <c r="C1822" t="s">
        <v>19</v>
      </c>
      <c r="D1822" s="2">
        <v>198.78967321086509</v>
      </c>
      <c r="E1822" s="2">
        <v>201.4987391772234</v>
      </c>
      <c r="F1822" s="2">
        <v>197.44502942203999</v>
      </c>
      <c r="G1822" s="2">
        <v>200.2232971191406</v>
      </c>
      <c r="H1822" s="3">
        <v>19042475</v>
      </c>
      <c r="I1822" s="4">
        <f t="shared" si="112"/>
        <v>-0.68</v>
      </c>
      <c r="J1822" s="2">
        <f t="shared" si="113"/>
        <v>1.28</v>
      </c>
      <c r="K1822" s="7">
        <f t="shared" si="114"/>
        <v>46082</v>
      </c>
      <c r="L1822" t="str">
        <f t="shared" si="115"/>
        <v>Q1-2026</v>
      </c>
    </row>
    <row r="1823" spans="1:12">
      <c r="A1823" s="6">
        <v>46093</v>
      </c>
      <c r="B1823" t="s">
        <v>20</v>
      </c>
      <c r="C1823" t="s">
        <v>21</v>
      </c>
      <c r="D1823" s="2">
        <v>1311.2529891767199</v>
      </c>
      <c r="E1823" s="2">
        <v>1324.26841293078</v>
      </c>
      <c r="F1823" s="2">
        <v>1302.5113025822079</v>
      </c>
      <c r="G1823" s="2">
        <v>1319.120483398438</v>
      </c>
      <c r="H1823" s="3">
        <v>2616965</v>
      </c>
      <c r="I1823" s="4">
        <f t="shared" si="112"/>
        <v>-0.67</v>
      </c>
      <c r="J1823" s="2">
        <f t="shared" si="113"/>
        <v>5.15</v>
      </c>
      <c r="K1823" s="7">
        <f t="shared" si="114"/>
        <v>46082</v>
      </c>
      <c r="L1823" t="str">
        <f t="shared" si="115"/>
        <v>Q1-2026</v>
      </c>
    </row>
    <row r="1824" spans="1:12">
      <c r="A1824" s="6">
        <v>46093</v>
      </c>
      <c r="B1824" t="s">
        <v>22</v>
      </c>
      <c r="C1824" t="s">
        <v>23</v>
      </c>
      <c r="D1824" s="2">
        <v>874.72285683357654</v>
      </c>
      <c r="E1824" s="2">
        <v>882.77340491925577</v>
      </c>
      <c r="F1824" s="2">
        <v>853.10574211491746</v>
      </c>
      <c r="G1824" s="2">
        <v>857.82672119140625</v>
      </c>
      <c r="H1824" s="3">
        <v>15508258</v>
      </c>
      <c r="I1824" s="4">
        <f t="shared" si="112"/>
        <v>-2.4700000000000002</v>
      </c>
      <c r="J1824" s="2">
        <f t="shared" si="113"/>
        <v>24.95</v>
      </c>
      <c r="K1824" s="7">
        <f t="shared" si="114"/>
        <v>46082</v>
      </c>
      <c r="L1824" t="str">
        <f t="shared" si="115"/>
        <v>Q1-2026</v>
      </c>
    </row>
    <row r="1825" spans="1:12">
      <c r="A1825" s="6">
        <v>46093</v>
      </c>
      <c r="B1825" t="s">
        <v>24</v>
      </c>
      <c r="C1825" t="s">
        <v>25</v>
      </c>
      <c r="D1825" s="2">
        <v>13296.46270163227</v>
      </c>
      <c r="E1825" s="2">
        <v>13296.46270163227</v>
      </c>
      <c r="F1825" s="2">
        <v>12837.07635066002</v>
      </c>
      <c r="G1825" s="2">
        <v>12881.62890625</v>
      </c>
      <c r="H1825" s="3">
        <v>544683</v>
      </c>
      <c r="I1825" s="4">
        <f t="shared" si="112"/>
        <v>-3.45</v>
      </c>
      <c r="J1825" s="2">
        <f t="shared" si="113"/>
        <v>414.83</v>
      </c>
      <c r="K1825" s="7">
        <f t="shared" si="114"/>
        <v>46082</v>
      </c>
      <c r="L1825" t="str">
        <f t="shared" si="115"/>
        <v>Q1-2026</v>
      </c>
    </row>
    <row r="1826" spans="1:12">
      <c r="A1826" s="6">
        <v>46093</v>
      </c>
      <c r="B1826" t="s">
        <v>26</v>
      </c>
      <c r="C1826" t="s">
        <v>27</v>
      </c>
      <c r="D1826" s="2">
        <v>329.76452074471348</v>
      </c>
      <c r="E1826" s="2">
        <v>330.26040724207411</v>
      </c>
      <c r="F1826" s="2">
        <v>320.68980389631889</v>
      </c>
      <c r="G1826" s="2">
        <v>321.87991333007813</v>
      </c>
      <c r="H1826" s="3">
        <v>9707654</v>
      </c>
      <c r="I1826" s="4">
        <f t="shared" si="112"/>
        <v>-2.75</v>
      </c>
      <c r="J1826" s="2">
        <f t="shared" si="113"/>
        <v>8.3800000000000008</v>
      </c>
      <c r="K1826" s="7">
        <f t="shared" si="114"/>
        <v>46082</v>
      </c>
      <c r="L1826" t="str">
        <f t="shared" si="115"/>
        <v>Q1-2026</v>
      </c>
    </row>
    <row r="1827" spans="1:12">
      <c r="A1827" s="6">
        <v>46093</v>
      </c>
      <c r="B1827" t="s">
        <v>28</v>
      </c>
      <c r="C1827" t="s">
        <v>29</v>
      </c>
      <c r="D1827" s="2">
        <v>1823.221702232443</v>
      </c>
      <c r="E1827" s="2">
        <v>1828.8070397708741</v>
      </c>
      <c r="F1827" s="2">
        <v>1803.672959972318</v>
      </c>
      <c r="G1827" s="2">
        <v>1820.52880859375</v>
      </c>
      <c r="H1827" s="3">
        <v>2606057</v>
      </c>
      <c r="I1827" s="4">
        <f t="shared" si="112"/>
        <v>-1.07</v>
      </c>
      <c r="J1827" s="2">
        <f t="shared" si="113"/>
        <v>8.2799999999999994</v>
      </c>
      <c r="K1827" s="7">
        <f t="shared" si="114"/>
        <v>46082</v>
      </c>
      <c r="L1827" t="str">
        <f t="shared" si="115"/>
        <v>Q1-2026</v>
      </c>
    </row>
    <row r="1828" spans="1:12">
      <c r="A1828" s="6">
        <v>46093</v>
      </c>
      <c r="B1828" t="s">
        <v>30</v>
      </c>
      <c r="C1828" t="s">
        <v>31</v>
      </c>
      <c r="D1828" s="2">
        <v>2189.0080695446868</v>
      </c>
      <c r="E1828" s="2">
        <v>2230.547573323493</v>
      </c>
      <c r="F1828" s="2">
        <v>2182.0682794691379</v>
      </c>
      <c r="G1828" s="2">
        <v>2202.094482421875</v>
      </c>
      <c r="H1828" s="3">
        <v>1384055</v>
      </c>
      <c r="I1828" s="4">
        <f t="shared" si="112"/>
        <v>-0.32</v>
      </c>
      <c r="J1828" s="2">
        <f t="shared" si="113"/>
        <v>28.45</v>
      </c>
      <c r="K1828" s="7">
        <f t="shared" si="114"/>
        <v>46082</v>
      </c>
      <c r="L1828" t="str">
        <f t="shared" si="115"/>
        <v>Q1-2026</v>
      </c>
    </row>
    <row r="1829" spans="1:12">
      <c r="A1829" s="6">
        <v>46093</v>
      </c>
      <c r="B1829" t="s">
        <v>32</v>
      </c>
      <c r="C1829" t="s">
        <v>33</v>
      </c>
      <c r="D1829" s="2">
        <v>2143.2992989000732</v>
      </c>
      <c r="E1829" s="2">
        <v>2143.2992989000732</v>
      </c>
      <c r="F1829" s="2">
        <v>2088.0611112239581</v>
      </c>
      <c r="G1829" s="2">
        <v>2115.383056640625</v>
      </c>
      <c r="H1829" s="3">
        <v>1791973</v>
      </c>
      <c r="I1829" s="4">
        <f t="shared" si="112"/>
        <v>-2.58</v>
      </c>
      <c r="J1829" s="2">
        <f t="shared" si="113"/>
        <v>27.92</v>
      </c>
      <c r="K1829" s="7">
        <f t="shared" si="114"/>
        <v>46082</v>
      </c>
      <c r="L1829" t="str">
        <f t="shared" si="115"/>
        <v>Q1-2026</v>
      </c>
    </row>
    <row r="1830" spans="1:12">
      <c r="A1830" s="6">
        <v>46093</v>
      </c>
      <c r="B1830" t="s">
        <v>34</v>
      </c>
      <c r="C1830" t="s">
        <v>35</v>
      </c>
      <c r="D1830" s="2">
        <v>3788.001239836608</v>
      </c>
      <c r="E1830" s="2">
        <v>3792.9528754442381</v>
      </c>
      <c r="F1830" s="2">
        <v>3669.062855829713</v>
      </c>
      <c r="G1830" s="2">
        <v>3683.521728515625</v>
      </c>
      <c r="H1830" s="3">
        <v>4255443</v>
      </c>
      <c r="I1830" s="4">
        <f t="shared" si="112"/>
        <v>-3.14</v>
      </c>
      <c r="J1830" s="2">
        <f t="shared" si="113"/>
        <v>109.43</v>
      </c>
      <c r="K1830" s="7">
        <f t="shared" si="114"/>
        <v>46082</v>
      </c>
      <c r="L1830" t="str">
        <f t="shared" si="115"/>
        <v>Q1-2026</v>
      </c>
    </row>
    <row r="1831" spans="1:12">
      <c r="A1831" s="6">
        <v>46093</v>
      </c>
      <c r="B1831" t="s">
        <v>36</v>
      </c>
      <c r="C1831" t="s">
        <v>37</v>
      </c>
      <c r="D1831" s="2">
        <v>1242.2419531270291</v>
      </c>
      <c r="E1831" s="2">
        <v>1250.1358898574999</v>
      </c>
      <c r="F1831" s="2">
        <v>1230.8508354394769</v>
      </c>
      <c r="G1831" s="2">
        <v>1233.548706054688</v>
      </c>
      <c r="H1831" s="3">
        <v>9663320</v>
      </c>
      <c r="I1831" s="4">
        <f t="shared" si="112"/>
        <v>-0.92</v>
      </c>
      <c r="J1831" s="2">
        <f t="shared" si="113"/>
        <v>16.59</v>
      </c>
      <c r="K1831" s="7">
        <f t="shared" si="114"/>
        <v>46082</v>
      </c>
      <c r="L1831" t="str">
        <f t="shared" si="115"/>
        <v>Q1-2026</v>
      </c>
    </row>
    <row r="1832" spans="1:12">
      <c r="A1832" s="6">
        <v>46094</v>
      </c>
      <c r="B1832" t="s">
        <v>8</v>
      </c>
      <c r="C1832" t="s">
        <v>9</v>
      </c>
      <c r="D1832" s="2">
        <v>1378.8248707870421</v>
      </c>
      <c r="E1832" s="2">
        <v>1394.353172399344</v>
      </c>
      <c r="F1832" s="2">
        <v>1372.056239207702</v>
      </c>
      <c r="G1832" s="2">
        <v>1374.345581054688</v>
      </c>
      <c r="H1832" s="3">
        <v>17265090</v>
      </c>
      <c r="I1832" s="4">
        <f t="shared" si="112"/>
        <v>-0.49</v>
      </c>
      <c r="J1832" s="2">
        <f t="shared" si="113"/>
        <v>20.010000000000002</v>
      </c>
      <c r="K1832" s="7">
        <f t="shared" si="114"/>
        <v>46082</v>
      </c>
      <c r="L1832" t="str">
        <f t="shared" si="115"/>
        <v>Q1-2026</v>
      </c>
    </row>
    <row r="1833" spans="1:12">
      <c r="A1833" s="6">
        <v>46094</v>
      </c>
      <c r="B1833" t="s">
        <v>10</v>
      </c>
      <c r="C1833" t="s">
        <v>11</v>
      </c>
      <c r="D1833" s="2">
        <v>2391.2873432354868</v>
      </c>
      <c r="E1833" s="2">
        <v>2400.020303362955</v>
      </c>
      <c r="F1833" s="2">
        <v>2352.037653563998</v>
      </c>
      <c r="G1833" s="2">
        <v>2365.284423828125</v>
      </c>
      <c r="H1833" s="3">
        <v>2466488</v>
      </c>
      <c r="I1833" s="4">
        <f t="shared" si="112"/>
        <v>-1.64</v>
      </c>
      <c r="J1833" s="2">
        <f t="shared" si="113"/>
        <v>34.74</v>
      </c>
      <c r="K1833" s="7">
        <f t="shared" si="114"/>
        <v>46082</v>
      </c>
      <c r="L1833" t="str">
        <f t="shared" si="115"/>
        <v>Q1-2026</v>
      </c>
    </row>
    <row r="1834" spans="1:12">
      <c r="A1834" s="6">
        <v>46094</v>
      </c>
      <c r="B1834" t="s">
        <v>12</v>
      </c>
      <c r="C1834" t="s">
        <v>13</v>
      </c>
      <c r="D1834" s="2">
        <v>1224.502504578003</v>
      </c>
      <c r="E1834" s="2">
        <v>1242.7085131232229</v>
      </c>
      <c r="F1834" s="2">
        <v>1216.280401513626</v>
      </c>
      <c r="G1834" s="2">
        <v>1221.859741210938</v>
      </c>
      <c r="H1834" s="3">
        <v>7366098</v>
      </c>
      <c r="I1834" s="4">
        <f t="shared" si="112"/>
        <v>-0.67</v>
      </c>
      <c r="J1834" s="2">
        <f t="shared" si="113"/>
        <v>20.85</v>
      </c>
      <c r="K1834" s="7">
        <f t="shared" si="114"/>
        <v>46082</v>
      </c>
      <c r="L1834" t="str">
        <f t="shared" si="115"/>
        <v>Q1-2026</v>
      </c>
    </row>
    <row r="1835" spans="1:12">
      <c r="A1835" s="6">
        <v>46094</v>
      </c>
      <c r="B1835" t="s">
        <v>14</v>
      </c>
      <c r="C1835" t="s">
        <v>15</v>
      </c>
      <c r="D1835" s="2">
        <v>806.65834237779222</v>
      </c>
      <c r="E1835" s="2">
        <v>810.39650317551423</v>
      </c>
      <c r="F1835" s="2">
        <v>798.78850489117963</v>
      </c>
      <c r="G1835" s="2">
        <v>803.7071533203125</v>
      </c>
      <c r="H1835" s="3">
        <v>41700464</v>
      </c>
      <c r="I1835" s="4">
        <f t="shared" si="112"/>
        <v>-0.98</v>
      </c>
      <c r="J1835" s="2">
        <f t="shared" si="113"/>
        <v>6.69</v>
      </c>
      <c r="K1835" s="7">
        <f t="shared" si="114"/>
        <v>46082</v>
      </c>
      <c r="L1835" t="str">
        <f t="shared" si="115"/>
        <v>Q1-2026</v>
      </c>
    </row>
    <row r="1836" spans="1:12">
      <c r="A1836" s="6">
        <v>46094</v>
      </c>
      <c r="B1836" t="s">
        <v>16</v>
      </c>
      <c r="C1836" t="s">
        <v>17</v>
      </c>
      <c r="D1836" s="2">
        <v>1241.434156276259</v>
      </c>
      <c r="E1836" s="2">
        <v>1251.7472366196889</v>
      </c>
      <c r="F1836" s="2">
        <v>1238.2608356053081</v>
      </c>
      <c r="G1836" s="2">
        <v>1244.309936523438</v>
      </c>
      <c r="H1836" s="3">
        <v>17344394</v>
      </c>
      <c r="I1836" s="4">
        <f t="shared" si="112"/>
        <v>-0.26</v>
      </c>
      <c r="J1836" s="2">
        <f t="shared" si="113"/>
        <v>7.44</v>
      </c>
      <c r="K1836" s="7">
        <f t="shared" si="114"/>
        <v>46082</v>
      </c>
      <c r="L1836" t="str">
        <f t="shared" si="115"/>
        <v>Q1-2026</v>
      </c>
    </row>
    <row r="1837" spans="1:12">
      <c r="A1837" s="6">
        <v>46094</v>
      </c>
      <c r="B1837" t="s">
        <v>18</v>
      </c>
      <c r="C1837" t="s">
        <v>19</v>
      </c>
      <c r="D1837" s="2">
        <v>198.3348715023225</v>
      </c>
      <c r="E1837" s="2">
        <v>199.78827376725539</v>
      </c>
      <c r="F1837" s="2">
        <v>193.82634942522009</v>
      </c>
      <c r="G1837" s="2">
        <v>195.3489685058594</v>
      </c>
      <c r="H1837" s="3">
        <v>12629652</v>
      </c>
      <c r="I1837" s="4">
        <f t="shared" si="112"/>
        <v>-2.27</v>
      </c>
      <c r="J1837" s="2">
        <f t="shared" si="113"/>
        <v>4.4400000000000004</v>
      </c>
      <c r="K1837" s="7">
        <f t="shared" si="114"/>
        <v>46082</v>
      </c>
      <c r="L1837" t="str">
        <f t="shared" si="115"/>
        <v>Q1-2026</v>
      </c>
    </row>
    <row r="1838" spans="1:12">
      <c r="A1838" s="6">
        <v>46094</v>
      </c>
      <c r="B1838" t="s">
        <v>20</v>
      </c>
      <c r="C1838" t="s">
        <v>21</v>
      </c>
      <c r="D1838" s="2">
        <v>1311.25305164263</v>
      </c>
      <c r="E1838" s="2">
        <v>1317.760704546318</v>
      </c>
      <c r="F1838" s="2">
        <v>1283.0853934962331</v>
      </c>
      <c r="G1838" s="2">
        <v>1287.359130859375</v>
      </c>
      <c r="H1838" s="3">
        <v>2190786</v>
      </c>
      <c r="I1838" s="4">
        <f t="shared" si="112"/>
        <v>-2.15</v>
      </c>
      <c r="J1838" s="2">
        <f t="shared" si="113"/>
        <v>30.4</v>
      </c>
      <c r="K1838" s="7">
        <f t="shared" si="114"/>
        <v>46082</v>
      </c>
      <c r="L1838" t="str">
        <f t="shared" si="115"/>
        <v>Q1-2026</v>
      </c>
    </row>
    <row r="1839" spans="1:12">
      <c r="A1839" s="6">
        <v>46094</v>
      </c>
      <c r="B1839" t="s">
        <v>22</v>
      </c>
      <c r="C1839" t="s">
        <v>23</v>
      </c>
      <c r="D1839" s="2">
        <v>855.73958742218213</v>
      </c>
      <c r="E1839" s="2">
        <v>863.04465719625091</v>
      </c>
      <c r="F1839" s="2">
        <v>843.61411307538708</v>
      </c>
      <c r="G1839" s="2">
        <v>849.825927734375</v>
      </c>
      <c r="H1839" s="3">
        <v>6668639</v>
      </c>
      <c r="I1839" s="4">
        <f t="shared" si="112"/>
        <v>-1.42</v>
      </c>
      <c r="J1839" s="2">
        <f t="shared" si="113"/>
        <v>13.22</v>
      </c>
      <c r="K1839" s="7">
        <f t="shared" si="114"/>
        <v>46082</v>
      </c>
      <c r="L1839" t="str">
        <f t="shared" si="115"/>
        <v>Q1-2026</v>
      </c>
    </row>
    <row r="1840" spans="1:12">
      <c r="A1840" s="6">
        <v>46094</v>
      </c>
      <c r="B1840" t="s">
        <v>24</v>
      </c>
      <c r="C1840" t="s">
        <v>25</v>
      </c>
      <c r="D1840" s="2">
        <v>12770.743170577571</v>
      </c>
      <c r="E1840" s="2">
        <v>12833.116751455649</v>
      </c>
      <c r="F1840" s="2">
        <v>12358.879525414361</v>
      </c>
      <c r="G1840" s="2">
        <v>12465.8056640625</v>
      </c>
      <c r="H1840" s="3">
        <v>939594</v>
      </c>
      <c r="I1840" s="4">
        <f t="shared" si="112"/>
        <v>-3.23</v>
      </c>
      <c r="J1840" s="2">
        <f t="shared" si="113"/>
        <v>367.31</v>
      </c>
      <c r="K1840" s="7">
        <f t="shared" si="114"/>
        <v>46082</v>
      </c>
      <c r="L1840" t="str">
        <f t="shared" si="115"/>
        <v>Q1-2026</v>
      </c>
    </row>
    <row r="1841" spans="1:12">
      <c r="A1841" s="6">
        <v>46094</v>
      </c>
      <c r="B1841" t="s">
        <v>26</v>
      </c>
      <c r="C1841" t="s">
        <v>27</v>
      </c>
      <c r="D1841" s="2">
        <v>320.34267314353099</v>
      </c>
      <c r="E1841" s="2">
        <v>321.48320601937792</v>
      </c>
      <c r="F1841" s="2">
        <v>305.96196490643752</v>
      </c>
      <c r="G1841" s="2">
        <v>311.51589965820313</v>
      </c>
      <c r="H1841" s="3">
        <v>17073811</v>
      </c>
      <c r="I1841" s="4">
        <f t="shared" si="112"/>
        <v>-4.49</v>
      </c>
      <c r="J1841" s="2">
        <f t="shared" si="113"/>
        <v>9.9700000000000006</v>
      </c>
      <c r="K1841" s="7">
        <f t="shared" si="114"/>
        <v>46082</v>
      </c>
      <c r="L1841" t="str">
        <f t="shared" si="115"/>
        <v>Q1-2026</v>
      </c>
    </row>
    <row r="1842" spans="1:12">
      <c r="A1842" s="6">
        <v>46094</v>
      </c>
      <c r="B1842" t="s">
        <v>28</v>
      </c>
      <c r="C1842" t="s">
        <v>29</v>
      </c>
      <c r="D1842" s="2">
        <v>1817.2373241097609</v>
      </c>
      <c r="E1842" s="2">
        <v>1828.5078348093939</v>
      </c>
      <c r="F1842" s="2">
        <v>1792.302673669177</v>
      </c>
      <c r="G1842" s="2">
        <v>1796.890625</v>
      </c>
      <c r="H1842" s="3">
        <v>2554627</v>
      </c>
      <c r="I1842" s="4">
        <f t="shared" si="112"/>
        <v>-1.37</v>
      </c>
      <c r="J1842" s="2">
        <f t="shared" si="113"/>
        <v>31.62</v>
      </c>
      <c r="K1842" s="7">
        <f t="shared" si="114"/>
        <v>46082</v>
      </c>
      <c r="L1842" t="str">
        <f t="shared" si="115"/>
        <v>Q1-2026</v>
      </c>
    </row>
    <row r="1843" spans="1:12">
      <c r="A1843" s="6">
        <v>46094</v>
      </c>
      <c r="B1843" t="s">
        <v>30</v>
      </c>
      <c r="C1843" t="s">
        <v>31</v>
      </c>
      <c r="D1843" s="2">
        <v>2185.7364933124268</v>
      </c>
      <c r="E1843" s="2">
        <v>2200.607472641047</v>
      </c>
      <c r="F1843" s="2">
        <v>2171.1629819785148</v>
      </c>
      <c r="G1843" s="2">
        <v>2177.904541015625</v>
      </c>
      <c r="H1843" s="3">
        <v>949233</v>
      </c>
      <c r="I1843" s="4">
        <f t="shared" si="112"/>
        <v>-0.67</v>
      </c>
      <c r="J1843" s="2">
        <f t="shared" si="113"/>
        <v>22.7</v>
      </c>
      <c r="K1843" s="7">
        <f t="shared" si="114"/>
        <v>46082</v>
      </c>
      <c r="L1843" t="str">
        <f t="shared" si="115"/>
        <v>Q1-2026</v>
      </c>
    </row>
    <row r="1844" spans="1:12">
      <c r="A1844" s="6">
        <v>46094</v>
      </c>
      <c r="B1844" t="s">
        <v>32</v>
      </c>
      <c r="C1844" t="s">
        <v>33</v>
      </c>
      <c r="D1844" s="2">
        <v>2114.492390950521</v>
      </c>
      <c r="E1844" s="2">
        <v>2169.8294312879439</v>
      </c>
      <c r="F1844" s="2">
        <v>2098.950524241146</v>
      </c>
      <c r="G1844" s="2">
        <v>2138.250732421875</v>
      </c>
      <c r="H1844" s="3">
        <v>2298875</v>
      </c>
      <c r="I1844" s="4">
        <f t="shared" si="112"/>
        <v>-0.74</v>
      </c>
      <c r="J1844" s="2">
        <f t="shared" si="113"/>
        <v>31.58</v>
      </c>
      <c r="K1844" s="7">
        <f t="shared" si="114"/>
        <v>46082</v>
      </c>
      <c r="L1844" t="str">
        <f t="shared" si="115"/>
        <v>Q1-2026</v>
      </c>
    </row>
    <row r="1845" spans="1:12">
      <c r="A1845" s="6">
        <v>46094</v>
      </c>
      <c r="B1845" t="s">
        <v>34</v>
      </c>
      <c r="C1845" t="s">
        <v>35</v>
      </c>
      <c r="D1845" s="2">
        <v>3660.2489254688858</v>
      </c>
      <c r="E1845" s="2">
        <v>3661.2392525591108</v>
      </c>
      <c r="F1845" s="2">
        <v>3391.3751204729979</v>
      </c>
      <c r="G1845" s="2">
        <v>3405.73486328125</v>
      </c>
      <c r="H1845" s="3">
        <v>10778730</v>
      </c>
      <c r="I1845" s="4">
        <f t="shared" si="112"/>
        <v>-7.35</v>
      </c>
      <c r="J1845" s="2">
        <f t="shared" si="113"/>
        <v>255.5</v>
      </c>
      <c r="K1845" s="7">
        <f t="shared" si="114"/>
        <v>46082</v>
      </c>
      <c r="L1845" t="str">
        <f t="shared" si="115"/>
        <v>Q1-2026</v>
      </c>
    </row>
    <row r="1846" spans="1:12">
      <c r="A1846" s="6">
        <v>46094</v>
      </c>
      <c r="B1846" t="s">
        <v>36</v>
      </c>
      <c r="C1846" t="s">
        <v>37</v>
      </c>
      <c r="D1846" s="2">
        <v>1223.0566935167651</v>
      </c>
      <c r="E1846" s="2">
        <v>1233.5486014268349</v>
      </c>
      <c r="F1846" s="2">
        <v>1193.3796313616319</v>
      </c>
      <c r="G1846" s="2">
        <v>1196.377319335938</v>
      </c>
      <c r="H1846" s="3">
        <v>9098187</v>
      </c>
      <c r="I1846" s="4">
        <f t="shared" si="112"/>
        <v>-2.4300000000000002</v>
      </c>
      <c r="J1846" s="2">
        <f t="shared" si="113"/>
        <v>37.17</v>
      </c>
      <c r="K1846" s="7">
        <f t="shared" si="114"/>
        <v>46082</v>
      </c>
      <c r="L1846" t="str">
        <f t="shared" si="115"/>
        <v>Q1-2026</v>
      </c>
    </row>
    <row r="1847" spans="1:12">
      <c r="A1847" s="6">
        <v>46097</v>
      </c>
      <c r="B1847" t="s">
        <v>8</v>
      </c>
      <c r="C1847" t="s">
        <v>9</v>
      </c>
      <c r="D1847" s="2">
        <v>1373.6488401657621</v>
      </c>
      <c r="E1847" s="2">
        <v>1390.869269156751</v>
      </c>
      <c r="F1847" s="2">
        <v>1357.2247779463889</v>
      </c>
      <c r="G1847" s="2">
        <v>1388.679321289062</v>
      </c>
      <c r="H1847" s="3">
        <v>22837802</v>
      </c>
      <c r="I1847" s="4">
        <f t="shared" si="112"/>
        <v>-1.2</v>
      </c>
      <c r="J1847" s="2">
        <f t="shared" si="113"/>
        <v>2.19</v>
      </c>
      <c r="K1847" s="7">
        <f t="shared" si="114"/>
        <v>46082</v>
      </c>
      <c r="L1847" t="str">
        <f t="shared" si="115"/>
        <v>Q1-2026</v>
      </c>
    </row>
    <row r="1848" spans="1:12">
      <c r="A1848" s="6">
        <v>46097</v>
      </c>
      <c r="B1848" t="s">
        <v>10</v>
      </c>
      <c r="C1848" t="s">
        <v>11</v>
      </c>
      <c r="D1848" s="2">
        <v>2364.7938307774671</v>
      </c>
      <c r="E1848" s="2">
        <v>2379.512464578987</v>
      </c>
      <c r="F1848" s="2">
        <v>2321.7173916761249</v>
      </c>
      <c r="G1848" s="2">
        <v>2364.0087890625</v>
      </c>
      <c r="H1848" s="3">
        <v>3807907</v>
      </c>
      <c r="I1848" s="4">
        <f t="shared" si="112"/>
        <v>-1.82</v>
      </c>
      <c r="J1848" s="2">
        <f t="shared" si="113"/>
        <v>15.5</v>
      </c>
      <c r="K1848" s="7">
        <f t="shared" si="114"/>
        <v>46082</v>
      </c>
      <c r="L1848" t="str">
        <f t="shared" si="115"/>
        <v>Q1-2026</v>
      </c>
    </row>
    <row r="1849" spans="1:12">
      <c r="A1849" s="6">
        <v>46097</v>
      </c>
      <c r="B1849" t="s">
        <v>12</v>
      </c>
      <c r="C1849" t="s">
        <v>13</v>
      </c>
      <c r="D1849" s="2">
        <v>1213.9312451805081</v>
      </c>
      <c r="E1849" s="2">
        <v>1227.732688317838</v>
      </c>
      <c r="F1849" s="2">
        <v>1198.2701415781939</v>
      </c>
      <c r="G1849" s="2">
        <v>1223.328002929688</v>
      </c>
      <c r="H1849" s="3">
        <v>12314450</v>
      </c>
      <c r="I1849" s="4">
        <f t="shared" si="112"/>
        <v>-1.29</v>
      </c>
      <c r="J1849" s="2">
        <f t="shared" si="113"/>
        <v>4.4000000000000004</v>
      </c>
      <c r="K1849" s="7">
        <f t="shared" si="114"/>
        <v>46082</v>
      </c>
      <c r="L1849" t="str">
        <f t="shared" si="115"/>
        <v>Q1-2026</v>
      </c>
    </row>
    <row r="1850" spans="1:12">
      <c r="A1850" s="6">
        <v>46097</v>
      </c>
      <c r="B1850" t="s">
        <v>14</v>
      </c>
      <c r="C1850" t="s">
        <v>15</v>
      </c>
      <c r="D1850" s="2">
        <v>803.70715997731691</v>
      </c>
      <c r="E1850" s="2">
        <v>830.75972656162071</v>
      </c>
      <c r="F1850" s="2">
        <v>802.37914890728939</v>
      </c>
      <c r="G1850" s="2">
        <v>826.92315673828125</v>
      </c>
      <c r="H1850" s="3">
        <v>52182605</v>
      </c>
      <c r="I1850" s="4">
        <f t="shared" si="112"/>
        <v>-0.17</v>
      </c>
      <c r="J1850" s="2">
        <f t="shared" si="113"/>
        <v>3.84</v>
      </c>
      <c r="K1850" s="7">
        <f t="shared" si="114"/>
        <v>46082</v>
      </c>
      <c r="L1850" t="str">
        <f t="shared" si="115"/>
        <v>Q1-2026</v>
      </c>
    </row>
    <row r="1851" spans="1:12">
      <c r="A1851" s="6">
        <v>46097</v>
      </c>
      <c r="B1851" t="s">
        <v>16</v>
      </c>
      <c r="C1851" t="s">
        <v>17</v>
      </c>
      <c r="D1851" s="2">
        <v>1244.508165208149</v>
      </c>
      <c r="E1851" s="2">
        <v>1266.1259650237171</v>
      </c>
      <c r="F1851" s="2">
        <v>1229.732705411255</v>
      </c>
      <c r="G1851" s="2">
        <v>1262.258544921875</v>
      </c>
      <c r="H1851" s="3">
        <v>22740688</v>
      </c>
      <c r="I1851" s="4">
        <f t="shared" si="112"/>
        <v>-1.19</v>
      </c>
      <c r="J1851" s="2">
        <f t="shared" si="113"/>
        <v>3.87</v>
      </c>
      <c r="K1851" s="7">
        <f t="shared" si="114"/>
        <v>46082</v>
      </c>
      <c r="L1851" t="str">
        <f t="shared" si="115"/>
        <v>Q1-2026</v>
      </c>
    </row>
    <row r="1852" spans="1:12">
      <c r="A1852" s="6">
        <v>46097</v>
      </c>
      <c r="B1852" t="s">
        <v>18</v>
      </c>
      <c r="C1852" t="s">
        <v>19</v>
      </c>
      <c r="D1852" s="2">
        <v>194.0241054617228</v>
      </c>
      <c r="E1852" s="2">
        <v>196.05094523243449</v>
      </c>
      <c r="F1852" s="2">
        <v>190.59328675018611</v>
      </c>
      <c r="G1852" s="2">
        <v>192.9068603515625</v>
      </c>
      <c r="H1852" s="3">
        <v>12631649</v>
      </c>
      <c r="I1852" s="4">
        <f t="shared" si="112"/>
        <v>-1.77</v>
      </c>
      <c r="J1852" s="2">
        <f t="shared" si="113"/>
        <v>3.14</v>
      </c>
      <c r="K1852" s="7">
        <f t="shared" si="114"/>
        <v>46082</v>
      </c>
      <c r="L1852" t="str">
        <f t="shared" si="115"/>
        <v>Q1-2026</v>
      </c>
    </row>
    <row r="1853" spans="1:12">
      <c r="A1853" s="6">
        <v>46097</v>
      </c>
      <c r="B1853" t="s">
        <v>20</v>
      </c>
      <c r="C1853" t="s">
        <v>21</v>
      </c>
      <c r="D1853" s="2">
        <v>1275.120838548173</v>
      </c>
      <c r="E1853" s="2">
        <v>1299.3060786269441</v>
      </c>
      <c r="F1853" s="2">
        <v>1265.019309481642</v>
      </c>
      <c r="G1853" s="2">
        <v>1290.46728515625</v>
      </c>
      <c r="H1853" s="3">
        <v>3618375</v>
      </c>
      <c r="I1853" s="4">
        <f t="shared" si="112"/>
        <v>-0.79</v>
      </c>
      <c r="J1853" s="2">
        <f t="shared" si="113"/>
        <v>8.84</v>
      </c>
      <c r="K1853" s="7">
        <f t="shared" si="114"/>
        <v>46082</v>
      </c>
      <c r="L1853" t="str">
        <f t="shared" si="115"/>
        <v>Q1-2026</v>
      </c>
    </row>
    <row r="1854" spans="1:12">
      <c r="A1854" s="6">
        <v>46097</v>
      </c>
      <c r="B1854" t="s">
        <v>22</v>
      </c>
      <c r="C1854" t="s">
        <v>23</v>
      </c>
      <c r="D1854" s="2">
        <v>844.90617771722054</v>
      </c>
      <c r="E1854" s="2">
        <v>876.51193995485983</v>
      </c>
      <c r="F1854" s="2">
        <v>844.90617771722054</v>
      </c>
      <c r="G1854" s="2">
        <v>872.78485107421875</v>
      </c>
      <c r="H1854" s="3">
        <v>8982957</v>
      </c>
      <c r="I1854" s="4">
        <f t="shared" si="112"/>
        <v>0</v>
      </c>
      <c r="J1854" s="2">
        <f t="shared" si="113"/>
        <v>3.73</v>
      </c>
      <c r="K1854" s="7">
        <f t="shared" si="114"/>
        <v>46082</v>
      </c>
      <c r="L1854" t="str">
        <f t="shared" si="115"/>
        <v>Q1-2026</v>
      </c>
    </row>
    <row r="1855" spans="1:12">
      <c r="A1855" s="6">
        <v>46097</v>
      </c>
      <c r="B1855" t="s">
        <v>24</v>
      </c>
      <c r="C1855" t="s">
        <v>25</v>
      </c>
      <c r="D1855" s="2">
        <v>12407.391522178999</v>
      </c>
      <c r="E1855" s="2">
        <v>12745.990939716919</v>
      </c>
      <c r="F1855" s="2">
        <v>12276.704027690679</v>
      </c>
      <c r="G1855" s="2">
        <v>12630.154296875</v>
      </c>
      <c r="H1855" s="3">
        <v>1416170</v>
      </c>
      <c r="I1855" s="4">
        <f t="shared" si="112"/>
        <v>-1.05</v>
      </c>
      <c r="J1855" s="2">
        <f t="shared" si="113"/>
        <v>115.84</v>
      </c>
      <c r="K1855" s="7">
        <f t="shared" si="114"/>
        <v>46082</v>
      </c>
      <c r="L1855" t="str">
        <f t="shared" si="115"/>
        <v>Q1-2026</v>
      </c>
    </row>
    <row r="1856" spans="1:12">
      <c r="A1856" s="6">
        <v>46097</v>
      </c>
      <c r="B1856" t="s">
        <v>26</v>
      </c>
      <c r="C1856" t="s">
        <v>27</v>
      </c>
      <c r="D1856" s="2">
        <v>310.42493942347983</v>
      </c>
      <c r="E1856" s="2">
        <v>313.84656827452761</v>
      </c>
      <c r="F1856" s="2">
        <v>304.3751182568131</v>
      </c>
      <c r="G1856" s="2">
        <v>311.81341552734381</v>
      </c>
      <c r="H1856" s="3">
        <v>10394023</v>
      </c>
      <c r="I1856" s="4">
        <f t="shared" si="112"/>
        <v>-1.95</v>
      </c>
      <c r="J1856" s="2">
        <f t="shared" si="113"/>
        <v>2.0299999999999998</v>
      </c>
      <c r="K1856" s="7">
        <f t="shared" si="114"/>
        <v>46082</v>
      </c>
      <c r="L1856" t="str">
        <f t="shared" si="115"/>
        <v>Q1-2026</v>
      </c>
    </row>
    <row r="1857" spans="1:12">
      <c r="A1857" s="6">
        <v>46097</v>
      </c>
      <c r="B1857" t="s">
        <v>28</v>
      </c>
      <c r="C1857" t="s">
        <v>29</v>
      </c>
      <c r="D1857" s="2">
        <v>1796.890623346691</v>
      </c>
      <c r="E1857" s="2">
        <v>1813.2477783709089</v>
      </c>
      <c r="F1857" s="2">
        <v>1764.1764350494791</v>
      </c>
      <c r="G1857" s="2">
        <v>1778.538696289062</v>
      </c>
      <c r="H1857" s="3">
        <v>2452391</v>
      </c>
      <c r="I1857" s="4">
        <f t="shared" si="112"/>
        <v>-1.82</v>
      </c>
      <c r="J1857" s="2">
        <f t="shared" si="113"/>
        <v>34.71</v>
      </c>
      <c r="K1857" s="7">
        <f t="shared" si="114"/>
        <v>46082</v>
      </c>
      <c r="L1857" t="str">
        <f t="shared" si="115"/>
        <v>Q1-2026</v>
      </c>
    </row>
    <row r="1858" spans="1:12">
      <c r="A1858" s="6">
        <v>46097</v>
      </c>
      <c r="B1858" t="s">
        <v>30</v>
      </c>
      <c r="C1858" t="s">
        <v>31</v>
      </c>
      <c r="D1858" s="2">
        <v>2166.6025307917071</v>
      </c>
      <c r="E1858" s="2">
        <v>2208.6379791233671</v>
      </c>
      <c r="F1858" s="2">
        <v>2156.3913182449019</v>
      </c>
      <c r="G1858" s="2">
        <v>2198.624755859375</v>
      </c>
      <c r="H1858" s="3">
        <v>1111587</v>
      </c>
      <c r="I1858" s="4">
        <f t="shared" ref="I1858:I1921" si="116">ROUND(((F1858-D1858)/D1858)*100, 2)</f>
        <v>-0.47</v>
      </c>
      <c r="J1858" s="2">
        <f t="shared" ref="J1858:J1921" si="117">ROUND(E1858-G1858, 2)</f>
        <v>10.01</v>
      </c>
      <c r="K1858" s="7">
        <f t="shared" ref="K1858:K1921" si="118">DATE(YEAR(A1858),MONTH(A1858),1)</f>
        <v>46082</v>
      </c>
      <c r="L1858" t="str">
        <f t="shared" ref="L1858:L1921" si="119">"Q"&amp;INT((MONTH(A1858)-1)/3)+1&amp;"-"&amp;YEAR(A1858)</f>
        <v>Q1-2026</v>
      </c>
    </row>
    <row r="1859" spans="1:12">
      <c r="A1859" s="6">
        <v>46097</v>
      </c>
      <c r="B1859" t="s">
        <v>32</v>
      </c>
      <c r="C1859" t="s">
        <v>33</v>
      </c>
      <c r="D1859" s="2">
        <v>2147.754047353541</v>
      </c>
      <c r="E1859" s="2">
        <v>2164.681719709848</v>
      </c>
      <c r="F1859" s="2">
        <v>2132.3110295750498</v>
      </c>
      <c r="G1859" s="2">
        <v>2153.79248046875</v>
      </c>
      <c r="H1859" s="3">
        <v>1981511</v>
      </c>
      <c r="I1859" s="4">
        <f t="shared" si="116"/>
        <v>-0.72</v>
      </c>
      <c r="J1859" s="2">
        <f t="shared" si="117"/>
        <v>10.89</v>
      </c>
      <c r="K1859" s="7">
        <f t="shared" si="118"/>
        <v>46082</v>
      </c>
      <c r="L1859" t="str">
        <f t="shared" si="119"/>
        <v>Q1-2026</v>
      </c>
    </row>
    <row r="1860" spans="1:12">
      <c r="A1860" s="6">
        <v>46097</v>
      </c>
      <c r="B1860" t="s">
        <v>34</v>
      </c>
      <c r="C1860" t="s">
        <v>35</v>
      </c>
      <c r="D1860" s="2">
        <v>3420.094715784528</v>
      </c>
      <c r="E1860" s="2">
        <v>3460.9952742784371</v>
      </c>
      <c r="F1860" s="2">
        <v>3363.7451992550609</v>
      </c>
      <c r="G1860" s="2">
        <v>3435.8408203125</v>
      </c>
      <c r="H1860" s="3">
        <v>8459233</v>
      </c>
      <c r="I1860" s="4">
        <f t="shared" si="116"/>
        <v>-1.65</v>
      </c>
      <c r="J1860" s="2">
        <f t="shared" si="117"/>
        <v>25.15</v>
      </c>
      <c r="K1860" s="7">
        <f t="shared" si="118"/>
        <v>46082</v>
      </c>
      <c r="L1860" t="str">
        <f t="shared" si="119"/>
        <v>Q1-2026</v>
      </c>
    </row>
    <row r="1861" spans="1:12">
      <c r="A1861" s="6">
        <v>46097</v>
      </c>
      <c r="B1861" t="s">
        <v>36</v>
      </c>
      <c r="C1861" t="s">
        <v>37</v>
      </c>
      <c r="D1861" s="2">
        <v>1198.2758601545111</v>
      </c>
      <c r="E1861" s="2">
        <v>1218.9599821354241</v>
      </c>
      <c r="F1861" s="2">
        <v>1179.1906028112271</v>
      </c>
      <c r="G1861" s="2">
        <v>1213.763916015625</v>
      </c>
      <c r="H1861" s="3">
        <v>8743794</v>
      </c>
      <c r="I1861" s="4">
        <f t="shared" si="116"/>
        <v>-1.59</v>
      </c>
      <c r="J1861" s="2">
        <f t="shared" si="117"/>
        <v>5.2</v>
      </c>
      <c r="K1861" s="7">
        <f t="shared" si="118"/>
        <v>46082</v>
      </c>
      <c r="L1861" t="str">
        <f t="shared" si="119"/>
        <v>Q1-2026</v>
      </c>
    </row>
    <row r="1862" spans="1:12">
      <c r="A1862" s="6">
        <v>46098</v>
      </c>
      <c r="B1862" t="s">
        <v>8</v>
      </c>
      <c r="C1862" t="s">
        <v>9</v>
      </c>
      <c r="D1862" s="2">
        <v>1392.561305614335</v>
      </c>
      <c r="E1862" s="2">
        <v>1399.4295736678141</v>
      </c>
      <c r="F1862" s="2">
        <v>1381.8109624429319</v>
      </c>
      <c r="G1862" s="2">
        <v>1391.167724609375</v>
      </c>
      <c r="H1862" s="3">
        <v>19007744</v>
      </c>
      <c r="I1862" s="4">
        <f t="shared" si="116"/>
        <v>-0.77</v>
      </c>
      <c r="J1862" s="2">
        <f t="shared" si="117"/>
        <v>8.26</v>
      </c>
      <c r="K1862" s="7">
        <f t="shared" si="118"/>
        <v>46082</v>
      </c>
      <c r="L1862" t="str">
        <f t="shared" si="119"/>
        <v>Q1-2026</v>
      </c>
    </row>
    <row r="1863" spans="1:12">
      <c r="A1863" s="6">
        <v>46098</v>
      </c>
      <c r="B1863" t="s">
        <v>10</v>
      </c>
      <c r="C1863" t="s">
        <v>11</v>
      </c>
      <c r="D1863" s="2">
        <v>2374.6063631722791</v>
      </c>
      <c r="E1863" s="2">
        <v>2374.6063631722791</v>
      </c>
      <c r="F1863" s="2">
        <v>2315.731825242387</v>
      </c>
      <c r="G1863" s="2">
        <v>2346.837158203125</v>
      </c>
      <c r="H1863" s="3">
        <v>2993367</v>
      </c>
      <c r="I1863" s="4">
        <f t="shared" si="116"/>
        <v>-2.48</v>
      </c>
      <c r="J1863" s="2">
        <f t="shared" si="117"/>
        <v>27.77</v>
      </c>
      <c r="K1863" s="7">
        <f t="shared" si="118"/>
        <v>46082</v>
      </c>
      <c r="L1863" t="str">
        <f t="shared" si="119"/>
        <v>Q1-2026</v>
      </c>
    </row>
    <row r="1864" spans="1:12">
      <c r="A1864" s="6">
        <v>46098</v>
      </c>
      <c r="B1864" t="s">
        <v>12</v>
      </c>
      <c r="C1864" t="s">
        <v>13</v>
      </c>
      <c r="D1864" s="2">
        <v>1218.629573886597</v>
      </c>
      <c r="E1864" s="2">
        <v>1218.629573886597</v>
      </c>
      <c r="F1864" s="2">
        <v>1189.3628638376749</v>
      </c>
      <c r="G1864" s="2">
        <v>1206.785888671875</v>
      </c>
      <c r="H1864" s="3">
        <v>11223276</v>
      </c>
      <c r="I1864" s="4">
        <f t="shared" si="116"/>
        <v>-2.4</v>
      </c>
      <c r="J1864" s="2">
        <f t="shared" si="117"/>
        <v>11.84</v>
      </c>
      <c r="K1864" s="7">
        <f t="shared" si="118"/>
        <v>46082</v>
      </c>
      <c r="L1864" t="str">
        <f t="shared" si="119"/>
        <v>Q1-2026</v>
      </c>
    </row>
    <row r="1865" spans="1:12">
      <c r="A1865" s="6">
        <v>46098</v>
      </c>
      <c r="B1865" t="s">
        <v>14</v>
      </c>
      <c r="C1865" t="s">
        <v>15</v>
      </c>
      <c r="D1865" s="2">
        <v>833.90762586911399</v>
      </c>
      <c r="E1865" s="2">
        <v>835.0881134427475</v>
      </c>
      <c r="F1865" s="2">
        <v>821.51259640910018</v>
      </c>
      <c r="G1865" s="2">
        <v>831.5958251953125</v>
      </c>
      <c r="H1865" s="3">
        <v>38826979</v>
      </c>
      <c r="I1865" s="4">
        <f t="shared" si="116"/>
        <v>-1.49</v>
      </c>
      <c r="J1865" s="2">
        <f t="shared" si="117"/>
        <v>3.49</v>
      </c>
      <c r="K1865" s="7">
        <f t="shared" si="118"/>
        <v>46082</v>
      </c>
      <c r="L1865" t="str">
        <f t="shared" si="119"/>
        <v>Q1-2026</v>
      </c>
    </row>
    <row r="1866" spans="1:12">
      <c r="A1866" s="6">
        <v>46098</v>
      </c>
      <c r="B1866" t="s">
        <v>16</v>
      </c>
      <c r="C1866" t="s">
        <v>17</v>
      </c>
      <c r="D1866" s="2">
        <v>1268.2083924442079</v>
      </c>
      <c r="E1866" s="2">
        <v>1283.578812107693</v>
      </c>
      <c r="F1866" s="2">
        <v>1262.3576923623409</v>
      </c>
      <c r="G1866" s="2">
        <v>1277.926391601562</v>
      </c>
      <c r="H1866" s="3">
        <v>22303102</v>
      </c>
      <c r="I1866" s="4">
        <f t="shared" si="116"/>
        <v>-0.46</v>
      </c>
      <c r="J1866" s="2">
        <f t="shared" si="117"/>
        <v>5.65</v>
      </c>
      <c r="K1866" s="7">
        <f t="shared" si="118"/>
        <v>46082</v>
      </c>
      <c r="L1866" t="str">
        <f t="shared" si="119"/>
        <v>Q1-2026</v>
      </c>
    </row>
    <row r="1867" spans="1:12">
      <c r="A1867" s="6">
        <v>46098</v>
      </c>
      <c r="B1867" t="s">
        <v>18</v>
      </c>
      <c r="C1867" t="s">
        <v>19</v>
      </c>
      <c r="D1867" s="2">
        <v>192.79809150296359</v>
      </c>
      <c r="E1867" s="2">
        <v>192.90685000419401</v>
      </c>
      <c r="F1867" s="2">
        <v>186.12431141247629</v>
      </c>
      <c r="G1867" s="2">
        <v>189.15965270996091</v>
      </c>
      <c r="H1867" s="3">
        <v>21778468</v>
      </c>
      <c r="I1867" s="4">
        <f t="shared" si="116"/>
        <v>-3.46</v>
      </c>
      <c r="J1867" s="2">
        <f t="shared" si="117"/>
        <v>3.75</v>
      </c>
      <c r="K1867" s="7">
        <f t="shared" si="118"/>
        <v>46082</v>
      </c>
      <c r="L1867" t="str">
        <f t="shared" si="119"/>
        <v>Q1-2026</v>
      </c>
    </row>
    <row r="1868" spans="1:12">
      <c r="A1868" s="6">
        <v>46098</v>
      </c>
      <c r="B1868" t="s">
        <v>20</v>
      </c>
      <c r="C1868" t="s">
        <v>21</v>
      </c>
      <c r="D1868" s="2">
        <v>1290.4672342673121</v>
      </c>
      <c r="E1868" s="2">
        <v>1290.4672342673121</v>
      </c>
      <c r="F1868" s="2">
        <v>1260.4540852554569</v>
      </c>
      <c r="G1868" s="2">
        <v>1283.182495117188</v>
      </c>
      <c r="H1868" s="3">
        <v>2285672</v>
      </c>
      <c r="I1868" s="4">
        <f t="shared" si="116"/>
        <v>-2.33</v>
      </c>
      <c r="J1868" s="2">
        <f t="shared" si="117"/>
        <v>7.28</v>
      </c>
      <c r="K1868" s="7">
        <f t="shared" si="118"/>
        <v>46082</v>
      </c>
      <c r="L1868" t="str">
        <f t="shared" si="119"/>
        <v>Q1-2026</v>
      </c>
    </row>
    <row r="1869" spans="1:12">
      <c r="A1869" s="6">
        <v>46098</v>
      </c>
      <c r="B1869" t="s">
        <v>22</v>
      </c>
      <c r="C1869" t="s">
        <v>23</v>
      </c>
      <c r="D1869" s="2">
        <v>872.78485342689009</v>
      </c>
      <c r="E1869" s="2">
        <v>875.66709910500288</v>
      </c>
      <c r="F1869" s="2">
        <v>854.29845613172643</v>
      </c>
      <c r="G1869" s="2">
        <v>863.29315185546875</v>
      </c>
      <c r="H1869" s="3">
        <v>7941385</v>
      </c>
      <c r="I1869" s="4">
        <f t="shared" si="116"/>
        <v>-2.12</v>
      </c>
      <c r="J1869" s="2">
        <f t="shared" si="117"/>
        <v>12.37</v>
      </c>
      <c r="K1869" s="7">
        <f t="shared" si="118"/>
        <v>46082</v>
      </c>
      <c r="L1869" t="str">
        <f t="shared" si="119"/>
        <v>Q1-2026</v>
      </c>
    </row>
    <row r="1870" spans="1:12">
      <c r="A1870" s="6">
        <v>46098</v>
      </c>
      <c r="B1870" t="s">
        <v>24</v>
      </c>
      <c r="C1870" t="s">
        <v>25</v>
      </c>
      <c r="D1870" s="2">
        <v>12662.826266881309</v>
      </c>
      <c r="E1870" s="2">
        <v>12969.743869909709</v>
      </c>
      <c r="F1870" s="2">
        <v>12559.8603613492</v>
      </c>
      <c r="G1870" s="2">
        <v>12843.0166015625</v>
      </c>
      <c r="H1870" s="3">
        <v>1178941</v>
      </c>
      <c r="I1870" s="4">
        <f t="shared" si="116"/>
        <v>-0.81</v>
      </c>
      <c r="J1870" s="2">
        <f t="shared" si="117"/>
        <v>126.73</v>
      </c>
      <c r="K1870" s="7">
        <f t="shared" si="118"/>
        <v>46082</v>
      </c>
      <c r="L1870" t="str">
        <f t="shared" si="119"/>
        <v>Q1-2026</v>
      </c>
    </row>
    <row r="1871" spans="1:12">
      <c r="A1871" s="6">
        <v>46098</v>
      </c>
      <c r="B1871" t="s">
        <v>26</v>
      </c>
      <c r="C1871" t="s">
        <v>27</v>
      </c>
      <c r="D1871" s="2">
        <v>312.40848551170382</v>
      </c>
      <c r="E1871" s="2">
        <v>318.3591233309744</v>
      </c>
      <c r="F1871" s="2">
        <v>310.42493957194699</v>
      </c>
      <c r="G1871" s="2">
        <v>316.57394409179688</v>
      </c>
      <c r="H1871" s="3">
        <v>7953108</v>
      </c>
      <c r="I1871" s="4">
        <f t="shared" si="116"/>
        <v>-0.63</v>
      </c>
      <c r="J1871" s="2">
        <f t="shared" si="117"/>
        <v>1.79</v>
      </c>
      <c r="K1871" s="7">
        <f t="shared" si="118"/>
        <v>46082</v>
      </c>
      <c r="L1871" t="str">
        <f t="shared" si="119"/>
        <v>Q1-2026</v>
      </c>
    </row>
    <row r="1872" spans="1:12">
      <c r="A1872" s="6">
        <v>46098</v>
      </c>
      <c r="B1872" t="s">
        <v>28</v>
      </c>
      <c r="C1872" t="s">
        <v>29</v>
      </c>
      <c r="D1872" s="2">
        <v>1789.410208154105</v>
      </c>
      <c r="E1872" s="2">
        <v>1801.378840220352</v>
      </c>
      <c r="F1872" s="2">
        <v>1776.444190082339</v>
      </c>
      <c r="G1872" s="2">
        <v>1789.70947265625</v>
      </c>
      <c r="H1872" s="3">
        <v>1979497</v>
      </c>
      <c r="I1872" s="4">
        <f t="shared" si="116"/>
        <v>-0.72</v>
      </c>
      <c r="J1872" s="2">
        <f t="shared" si="117"/>
        <v>11.67</v>
      </c>
      <c r="K1872" s="7">
        <f t="shared" si="118"/>
        <v>46082</v>
      </c>
      <c r="L1872" t="str">
        <f t="shared" si="119"/>
        <v>Q1-2026</v>
      </c>
    </row>
    <row r="1873" spans="1:12">
      <c r="A1873" s="6">
        <v>46098</v>
      </c>
      <c r="B1873" t="s">
        <v>30</v>
      </c>
      <c r="C1873" t="s">
        <v>31</v>
      </c>
      <c r="D1873" s="2">
        <v>2198.624813304225</v>
      </c>
      <c r="E1873" s="2">
        <v>2242.048124075623</v>
      </c>
      <c r="F1873" s="2">
        <v>2198.129113962179</v>
      </c>
      <c r="G1873" s="2">
        <v>2218.948486328125</v>
      </c>
      <c r="H1873" s="3">
        <v>875461</v>
      </c>
      <c r="I1873" s="4">
        <f t="shared" si="116"/>
        <v>-0.02</v>
      </c>
      <c r="J1873" s="2">
        <f t="shared" si="117"/>
        <v>23.1</v>
      </c>
      <c r="K1873" s="7">
        <f t="shared" si="118"/>
        <v>46082</v>
      </c>
      <c r="L1873" t="str">
        <f t="shared" si="119"/>
        <v>Q1-2026</v>
      </c>
    </row>
    <row r="1874" spans="1:12">
      <c r="A1874" s="6">
        <v>46098</v>
      </c>
      <c r="B1874" t="s">
        <v>32</v>
      </c>
      <c r="C1874" t="s">
        <v>33</v>
      </c>
      <c r="D1874" s="2">
        <v>2150.9218373390991</v>
      </c>
      <c r="E1874" s="2">
        <v>2162.8010077496442</v>
      </c>
      <c r="F1874" s="2">
        <v>2123.8966763186422</v>
      </c>
      <c r="G1874" s="2">
        <v>2136.46875</v>
      </c>
      <c r="H1874" s="3">
        <v>1705956</v>
      </c>
      <c r="I1874" s="4">
        <f t="shared" si="116"/>
        <v>-1.26</v>
      </c>
      <c r="J1874" s="2">
        <f t="shared" si="117"/>
        <v>26.33</v>
      </c>
      <c r="K1874" s="7">
        <f t="shared" si="118"/>
        <v>46082</v>
      </c>
      <c r="L1874" t="str">
        <f t="shared" si="119"/>
        <v>Q1-2026</v>
      </c>
    </row>
    <row r="1875" spans="1:12">
      <c r="A1875" s="6">
        <v>46098</v>
      </c>
      <c r="B1875" t="s">
        <v>34</v>
      </c>
      <c r="C1875" t="s">
        <v>35</v>
      </c>
      <c r="D1875" s="2">
        <v>3444.357759455057</v>
      </c>
      <c r="E1875" s="2">
        <v>3515.66131284228</v>
      </c>
      <c r="F1875" s="2">
        <v>3416.62859980447</v>
      </c>
      <c r="G1875" s="2">
        <v>3508.531005859375</v>
      </c>
      <c r="H1875" s="3">
        <v>5003418</v>
      </c>
      <c r="I1875" s="4">
        <f t="shared" si="116"/>
        <v>-0.81</v>
      </c>
      <c r="J1875" s="2">
        <f t="shared" si="117"/>
        <v>7.13</v>
      </c>
      <c r="K1875" s="7">
        <f t="shared" si="118"/>
        <v>46082</v>
      </c>
      <c r="L1875" t="str">
        <f t="shared" si="119"/>
        <v>Q1-2026</v>
      </c>
    </row>
    <row r="1876" spans="1:12">
      <c r="A1876" s="6">
        <v>46098</v>
      </c>
      <c r="B1876" t="s">
        <v>36</v>
      </c>
      <c r="C1876" t="s">
        <v>37</v>
      </c>
      <c r="D1876" s="2">
        <v>1218.760013352945</v>
      </c>
      <c r="E1876" s="2">
        <v>1231.3504009913361</v>
      </c>
      <c r="F1876" s="2">
        <v>1209.0675372579849</v>
      </c>
      <c r="G1876" s="2">
        <v>1227.153564453125</v>
      </c>
      <c r="H1876" s="3">
        <v>5707317</v>
      </c>
      <c r="I1876" s="4">
        <f t="shared" si="116"/>
        <v>-0.8</v>
      </c>
      <c r="J1876" s="2">
        <f t="shared" si="117"/>
        <v>4.2</v>
      </c>
      <c r="K1876" s="7">
        <f t="shared" si="118"/>
        <v>46082</v>
      </c>
      <c r="L1876" t="str">
        <f t="shared" si="119"/>
        <v>Q1-2026</v>
      </c>
    </row>
    <row r="1877" spans="1:12">
      <c r="A1877" s="6">
        <v>46099</v>
      </c>
      <c r="B1877" t="s">
        <v>8</v>
      </c>
      <c r="C1877" t="s">
        <v>9</v>
      </c>
      <c r="D1877" s="2">
        <v>1390.769647373806</v>
      </c>
      <c r="E1877" s="2">
        <v>1406.397464500815</v>
      </c>
      <c r="F1877" s="2">
        <v>1390.769647373806</v>
      </c>
      <c r="G1877" s="2">
        <v>1401.619506835938</v>
      </c>
      <c r="H1877" s="3">
        <v>9559327</v>
      </c>
      <c r="I1877" s="4">
        <f t="shared" si="116"/>
        <v>0</v>
      </c>
      <c r="J1877" s="2">
        <f t="shared" si="117"/>
        <v>4.78</v>
      </c>
      <c r="K1877" s="7">
        <f t="shared" si="118"/>
        <v>46082</v>
      </c>
      <c r="L1877" t="str">
        <f t="shared" si="119"/>
        <v>Q1-2026</v>
      </c>
    </row>
    <row r="1878" spans="1:12">
      <c r="A1878" s="6">
        <v>46099</v>
      </c>
      <c r="B1878" t="s">
        <v>10</v>
      </c>
      <c r="C1878" t="s">
        <v>11</v>
      </c>
      <c r="D1878" s="2">
        <v>2364.7938043016079</v>
      </c>
      <c r="E1878" s="2">
        <v>2436.3262679516879</v>
      </c>
      <c r="F1878" s="2">
        <v>2364.7938043016079</v>
      </c>
      <c r="G1878" s="2">
        <v>2395.01611328125</v>
      </c>
      <c r="H1878" s="3">
        <v>3082388</v>
      </c>
      <c r="I1878" s="4">
        <f t="shared" si="116"/>
        <v>0</v>
      </c>
      <c r="J1878" s="2">
        <f t="shared" si="117"/>
        <v>41.31</v>
      </c>
      <c r="K1878" s="7">
        <f t="shared" si="118"/>
        <v>46082</v>
      </c>
      <c r="L1878" t="str">
        <f t="shared" si="119"/>
        <v>Q1-2026</v>
      </c>
    </row>
    <row r="1879" spans="1:12">
      <c r="A1879" s="6">
        <v>46099</v>
      </c>
      <c r="B1879" t="s">
        <v>12</v>
      </c>
      <c r="C1879" t="s">
        <v>13</v>
      </c>
      <c r="D1879" s="2">
        <v>1211.7778669014499</v>
      </c>
      <c r="E1879" s="2">
        <v>1263.4595555454221</v>
      </c>
      <c r="F1879" s="2">
        <v>1208.7435520363661</v>
      </c>
      <c r="G1879" s="2">
        <v>1240.261474609375</v>
      </c>
      <c r="H1879" s="3">
        <v>12365381</v>
      </c>
      <c r="I1879" s="4">
        <f t="shared" si="116"/>
        <v>-0.25</v>
      </c>
      <c r="J1879" s="2">
        <f t="shared" si="117"/>
        <v>23.2</v>
      </c>
      <c r="K1879" s="7">
        <f t="shared" si="118"/>
        <v>46082</v>
      </c>
      <c r="L1879" t="str">
        <f t="shared" si="119"/>
        <v>Q1-2026</v>
      </c>
    </row>
    <row r="1880" spans="1:12">
      <c r="A1880" s="6">
        <v>46099</v>
      </c>
      <c r="B1880" t="s">
        <v>14</v>
      </c>
      <c r="C1880" t="s">
        <v>15</v>
      </c>
      <c r="D1880" s="2">
        <v>831.59581809204258</v>
      </c>
      <c r="E1880" s="2">
        <v>833.02223806291181</v>
      </c>
      <c r="F1880" s="2">
        <v>818.06953568949086</v>
      </c>
      <c r="G1880" s="2">
        <v>829.333251953125</v>
      </c>
      <c r="H1880" s="3">
        <v>23507063</v>
      </c>
      <c r="I1880" s="4">
        <f t="shared" si="116"/>
        <v>-1.63</v>
      </c>
      <c r="J1880" s="2">
        <f t="shared" si="117"/>
        <v>3.69</v>
      </c>
      <c r="K1880" s="7">
        <f t="shared" si="118"/>
        <v>46082</v>
      </c>
      <c r="L1880" t="str">
        <f t="shared" si="119"/>
        <v>Q1-2026</v>
      </c>
    </row>
    <row r="1881" spans="1:12">
      <c r="A1881" s="6">
        <v>46099</v>
      </c>
      <c r="B1881" t="s">
        <v>16</v>
      </c>
      <c r="C1881" t="s">
        <v>17</v>
      </c>
      <c r="D1881" s="2">
        <v>1275.249023996146</v>
      </c>
      <c r="E1881" s="2">
        <v>1286.256203648049</v>
      </c>
      <c r="F1881" s="2">
        <v>1260.176144605226</v>
      </c>
      <c r="G1881" s="2">
        <v>1278.521484375</v>
      </c>
      <c r="H1881" s="3">
        <v>12961135</v>
      </c>
      <c r="I1881" s="4">
        <f t="shared" si="116"/>
        <v>-1.18</v>
      </c>
      <c r="J1881" s="2">
        <f t="shared" si="117"/>
        <v>7.73</v>
      </c>
      <c r="K1881" s="7">
        <f t="shared" si="118"/>
        <v>46082</v>
      </c>
      <c r="L1881" t="str">
        <f t="shared" si="119"/>
        <v>Q1-2026</v>
      </c>
    </row>
    <row r="1882" spans="1:12">
      <c r="A1882" s="6">
        <v>46099</v>
      </c>
      <c r="B1882" t="s">
        <v>18</v>
      </c>
      <c r="C1882" t="s">
        <v>19</v>
      </c>
      <c r="D1882" s="2">
        <v>190.8206791535338</v>
      </c>
      <c r="E1882" s="2">
        <v>195.7642200642471</v>
      </c>
      <c r="F1882" s="2">
        <v>190.5141820309079</v>
      </c>
      <c r="G1882" s="2">
        <v>192.10600280761719</v>
      </c>
      <c r="H1882" s="3">
        <v>24529164</v>
      </c>
      <c r="I1882" s="4">
        <f t="shared" si="116"/>
        <v>-0.16</v>
      </c>
      <c r="J1882" s="2">
        <f t="shared" si="117"/>
        <v>3.66</v>
      </c>
      <c r="K1882" s="7">
        <f t="shared" si="118"/>
        <v>46082</v>
      </c>
      <c r="L1882" t="str">
        <f t="shared" si="119"/>
        <v>Q1-2026</v>
      </c>
    </row>
    <row r="1883" spans="1:12">
      <c r="A1883" s="6">
        <v>46099</v>
      </c>
      <c r="B1883" t="s">
        <v>20</v>
      </c>
      <c r="C1883" t="s">
        <v>21</v>
      </c>
      <c r="D1883" s="2">
        <v>1288.427400675758</v>
      </c>
      <c r="E1883" s="2">
        <v>1338.8378142082261</v>
      </c>
      <c r="F1883" s="2">
        <v>1288.427400675758</v>
      </c>
      <c r="G1883" s="2">
        <v>1318.246215820312</v>
      </c>
      <c r="H1883" s="3">
        <v>2564106</v>
      </c>
      <c r="I1883" s="4">
        <f t="shared" si="116"/>
        <v>0</v>
      </c>
      <c r="J1883" s="2">
        <f t="shared" si="117"/>
        <v>20.59</v>
      </c>
      <c r="K1883" s="7">
        <f t="shared" si="118"/>
        <v>46082</v>
      </c>
      <c r="L1883" t="str">
        <f t="shared" si="119"/>
        <v>Q1-2026</v>
      </c>
    </row>
    <row r="1884" spans="1:12">
      <c r="A1884" s="6">
        <v>46099</v>
      </c>
      <c r="B1884" t="s">
        <v>22</v>
      </c>
      <c r="C1884" t="s">
        <v>23</v>
      </c>
      <c r="D1884" s="2">
        <v>870.74727810733611</v>
      </c>
      <c r="E1884" s="2">
        <v>888.48825657447799</v>
      </c>
      <c r="F1884" s="2">
        <v>852.95667791929316</v>
      </c>
      <c r="G1884" s="2">
        <v>874.72283935546875</v>
      </c>
      <c r="H1884" s="3">
        <v>12375517</v>
      </c>
      <c r="I1884" s="4">
        <f t="shared" si="116"/>
        <v>-2.04</v>
      </c>
      <c r="J1884" s="2">
        <f t="shared" si="117"/>
        <v>13.77</v>
      </c>
      <c r="K1884" s="7">
        <f t="shared" si="118"/>
        <v>46082</v>
      </c>
      <c r="L1884" t="str">
        <f t="shared" si="119"/>
        <v>Q1-2026</v>
      </c>
    </row>
    <row r="1885" spans="1:12">
      <c r="A1885" s="6">
        <v>46099</v>
      </c>
      <c r="B1885" t="s">
        <v>24</v>
      </c>
      <c r="C1885" t="s">
        <v>25</v>
      </c>
      <c r="D1885" s="2">
        <v>12969.744674710681</v>
      </c>
      <c r="E1885" s="2">
        <v>13044.98899496091</v>
      </c>
      <c r="F1885" s="2">
        <v>12885.58984285187</v>
      </c>
      <c r="G1885" s="2">
        <v>12918.26171875</v>
      </c>
      <c r="H1885" s="3">
        <v>458827</v>
      </c>
      <c r="I1885" s="4">
        <f t="shared" si="116"/>
        <v>-0.65</v>
      </c>
      <c r="J1885" s="2">
        <f t="shared" si="117"/>
        <v>126.73</v>
      </c>
      <c r="K1885" s="7">
        <f t="shared" si="118"/>
        <v>46082</v>
      </c>
      <c r="L1885" t="str">
        <f t="shared" si="119"/>
        <v>Q1-2026</v>
      </c>
    </row>
    <row r="1886" spans="1:12">
      <c r="A1886" s="6">
        <v>46099</v>
      </c>
      <c r="B1886" t="s">
        <v>26</v>
      </c>
      <c r="C1886" t="s">
        <v>27</v>
      </c>
      <c r="D1886" s="2">
        <v>318.35912888595192</v>
      </c>
      <c r="E1886" s="2">
        <v>327.48345247464539</v>
      </c>
      <c r="F1886" s="2">
        <v>317.26817254674802</v>
      </c>
      <c r="G1886" s="2">
        <v>322.07827758789063</v>
      </c>
      <c r="H1886" s="3">
        <v>7533727</v>
      </c>
      <c r="I1886" s="4">
        <f t="shared" si="116"/>
        <v>-0.34</v>
      </c>
      <c r="J1886" s="2">
        <f t="shared" si="117"/>
        <v>5.41</v>
      </c>
      <c r="K1886" s="7">
        <f t="shared" si="118"/>
        <v>46082</v>
      </c>
      <c r="L1886" t="str">
        <f t="shared" si="119"/>
        <v>Q1-2026</v>
      </c>
    </row>
    <row r="1887" spans="1:12">
      <c r="A1887" s="6">
        <v>46099</v>
      </c>
      <c r="B1887" t="s">
        <v>28</v>
      </c>
      <c r="C1887" t="s">
        <v>29</v>
      </c>
      <c r="D1887" s="2">
        <v>1794.895860542458</v>
      </c>
      <c r="E1887" s="2">
        <v>1800.281769410607</v>
      </c>
      <c r="F1887" s="2">
        <v>1768.564845215792</v>
      </c>
      <c r="G1887" s="2">
        <v>1773.651611328125</v>
      </c>
      <c r="H1887" s="3">
        <v>2436459</v>
      </c>
      <c r="I1887" s="4">
        <f t="shared" si="116"/>
        <v>-1.47</v>
      </c>
      <c r="J1887" s="2">
        <f t="shared" si="117"/>
        <v>26.63</v>
      </c>
      <c r="K1887" s="7">
        <f t="shared" si="118"/>
        <v>46082</v>
      </c>
      <c r="L1887" t="str">
        <f t="shared" si="119"/>
        <v>Q1-2026</v>
      </c>
    </row>
    <row r="1888" spans="1:12">
      <c r="A1888" s="6">
        <v>46099</v>
      </c>
      <c r="B1888" t="s">
        <v>30</v>
      </c>
      <c r="C1888" t="s">
        <v>31</v>
      </c>
      <c r="D1888" s="2">
        <v>2215.8750606338972</v>
      </c>
      <c r="E1888" s="2">
        <v>2250.871236838399</v>
      </c>
      <c r="F1888" s="2">
        <v>2209.4309698707029</v>
      </c>
      <c r="G1888" s="2">
        <v>2242.642822265625</v>
      </c>
      <c r="H1888" s="3">
        <v>844912</v>
      </c>
      <c r="I1888" s="4">
        <f t="shared" si="116"/>
        <v>-0.28999999999999998</v>
      </c>
      <c r="J1888" s="2">
        <f t="shared" si="117"/>
        <v>8.23</v>
      </c>
      <c r="K1888" s="7">
        <f t="shared" si="118"/>
        <v>46082</v>
      </c>
      <c r="L1888" t="str">
        <f t="shared" si="119"/>
        <v>Q1-2026</v>
      </c>
    </row>
    <row r="1889" spans="1:12">
      <c r="A1889" s="6">
        <v>46099</v>
      </c>
      <c r="B1889" t="s">
        <v>32</v>
      </c>
      <c r="C1889" t="s">
        <v>33</v>
      </c>
      <c r="D1889" s="2">
        <v>2143.2002132585981</v>
      </c>
      <c r="E1889" s="2">
        <v>2153.099521402979</v>
      </c>
      <c r="F1889" s="2">
        <v>2108.2556071724648</v>
      </c>
      <c r="G1889" s="2">
        <v>2113.79931640625</v>
      </c>
      <c r="H1889" s="3">
        <v>2441148</v>
      </c>
      <c r="I1889" s="4">
        <f t="shared" si="116"/>
        <v>-1.63</v>
      </c>
      <c r="J1889" s="2">
        <f t="shared" si="117"/>
        <v>39.299999999999997</v>
      </c>
      <c r="K1889" s="7">
        <f t="shared" si="118"/>
        <v>46082</v>
      </c>
      <c r="L1889" t="str">
        <f t="shared" si="119"/>
        <v>Q1-2026</v>
      </c>
    </row>
    <row r="1890" spans="1:12">
      <c r="A1890" s="6">
        <v>46099</v>
      </c>
      <c r="B1890" t="s">
        <v>34</v>
      </c>
      <c r="C1890" t="s">
        <v>35</v>
      </c>
      <c r="D1890" s="2">
        <v>3534.4775913559911</v>
      </c>
      <c r="E1890" s="2">
        <v>3603.6024746450248</v>
      </c>
      <c r="F1890" s="2">
        <v>3520.6130112834262</v>
      </c>
      <c r="G1890" s="2">
        <v>3573.001220703125</v>
      </c>
      <c r="H1890" s="3">
        <v>4190485</v>
      </c>
      <c r="I1890" s="4">
        <f t="shared" si="116"/>
        <v>-0.39</v>
      </c>
      <c r="J1890" s="2">
        <f t="shared" si="117"/>
        <v>30.6</v>
      </c>
      <c r="K1890" s="7">
        <f t="shared" si="118"/>
        <v>46082</v>
      </c>
      <c r="L1890" t="str">
        <f t="shared" si="119"/>
        <v>Q1-2026</v>
      </c>
    </row>
    <row r="1891" spans="1:12">
      <c r="A1891" s="6">
        <v>46099</v>
      </c>
      <c r="B1891" t="s">
        <v>36</v>
      </c>
      <c r="C1891" t="s">
        <v>37</v>
      </c>
      <c r="D1891" s="2">
        <v>1227.0537204854679</v>
      </c>
      <c r="E1891" s="2">
        <v>1259.029061735904</v>
      </c>
      <c r="F1891" s="2">
        <v>1223.2565999214801</v>
      </c>
      <c r="G1891" s="2">
        <v>1252.234252929688</v>
      </c>
      <c r="H1891" s="3">
        <v>6018952</v>
      </c>
      <c r="I1891" s="4">
        <f t="shared" si="116"/>
        <v>-0.31</v>
      </c>
      <c r="J1891" s="2">
        <f t="shared" si="117"/>
        <v>6.79</v>
      </c>
      <c r="K1891" s="7">
        <f t="shared" si="118"/>
        <v>46082</v>
      </c>
      <c r="L1891" t="str">
        <f t="shared" si="119"/>
        <v>Q1-2026</v>
      </c>
    </row>
    <row r="1892" spans="1:12">
      <c r="A1892" s="6">
        <v>46100</v>
      </c>
      <c r="B1892" t="s">
        <v>8</v>
      </c>
      <c r="C1892" t="s">
        <v>9</v>
      </c>
      <c r="D1892" s="2">
        <v>1381.6119817895919</v>
      </c>
      <c r="E1892" s="2">
        <v>1409.1844489610969</v>
      </c>
      <c r="F1892" s="2">
        <v>1369.766725079176</v>
      </c>
      <c r="G1892" s="2">
        <v>1378.4267578125</v>
      </c>
      <c r="H1892" s="3">
        <v>16498373</v>
      </c>
      <c r="I1892" s="4">
        <f t="shared" si="116"/>
        <v>-0.86</v>
      </c>
      <c r="J1892" s="2">
        <f t="shared" si="117"/>
        <v>30.76</v>
      </c>
      <c r="K1892" s="7">
        <f t="shared" si="118"/>
        <v>46082</v>
      </c>
      <c r="L1892" t="str">
        <f t="shared" si="119"/>
        <v>Q1-2026</v>
      </c>
    </row>
    <row r="1893" spans="1:12">
      <c r="A1893" s="6">
        <v>46100</v>
      </c>
      <c r="B1893" t="s">
        <v>10</v>
      </c>
      <c r="C1893" t="s">
        <v>11</v>
      </c>
      <c r="D1893" s="2">
        <v>2371.662415276156</v>
      </c>
      <c r="E1893" s="2">
        <v>2378.531110727929</v>
      </c>
      <c r="F1893" s="2">
        <v>2306.1153879098861</v>
      </c>
      <c r="G1893" s="2">
        <v>2311.806640625</v>
      </c>
      <c r="H1893" s="3">
        <v>2757060</v>
      </c>
      <c r="I1893" s="4">
        <f t="shared" si="116"/>
        <v>-2.76</v>
      </c>
      <c r="J1893" s="2">
        <f t="shared" si="117"/>
        <v>66.72</v>
      </c>
      <c r="K1893" s="7">
        <f t="shared" si="118"/>
        <v>46082</v>
      </c>
      <c r="L1893" t="str">
        <f t="shared" si="119"/>
        <v>Q1-2026</v>
      </c>
    </row>
    <row r="1894" spans="1:12">
      <c r="A1894" s="6">
        <v>46100</v>
      </c>
      <c r="B1894" t="s">
        <v>12</v>
      </c>
      <c r="C1894" t="s">
        <v>13</v>
      </c>
      <c r="D1894" s="2">
        <v>1217.8465293278809</v>
      </c>
      <c r="E1894" s="2">
        <v>1228.4178221249231</v>
      </c>
      <c r="F1894" s="2">
        <v>1189.3629208552391</v>
      </c>
      <c r="G1894" s="2">
        <v>1194.942260742188</v>
      </c>
      <c r="H1894" s="3">
        <v>9156461</v>
      </c>
      <c r="I1894" s="4">
        <f t="shared" si="116"/>
        <v>-2.34</v>
      </c>
      <c r="J1894" s="2">
        <f t="shared" si="117"/>
        <v>33.479999999999997</v>
      </c>
      <c r="K1894" s="7">
        <f t="shared" si="118"/>
        <v>46082</v>
      </c>
      <c r="L1894" t="str">
        <f t="shared" si="119"/>
        <v>Q1-2026</v>
      </c>
    </row>
    <row r="1895" spans="1:12">
      <c r="A1895" s="6">
        <v>46100</v>
      </c>
      <c r="B1895" t="s">
        <v>14</v>
      </c>
      <c r="C1895" t="s">
        <v>15</v>
      </c>
      <c r="D1895" s="2">
        <v>757.47182476686089</v>
      </c>
      <c r="E1895" s="2">
        <v>802.37910696630456</v>
      </c>
      <c r="F1895" s="2">
        <v>757.47182476686089</v>
      </c>
      <c r="G1895" s="2">
        <v>785.2130126953125</v>
      </c>
      <c r="H1895" s="3">
        <v>171637393</v>
      </c>
      <c r="I1895" s="4">
        <f t="shared" si="116"/>
        <v>0</v>
      </c>
      <c r="J1895" s="2">
        <f t="shared" si="117"/>
        <v>17.170000000000002</v>
      </c>
      <c r="K1895" s="7">
        <f t="shared" si="118"/>
        <v>46082</v>
      </c>
      <c r="L1895" t="str">
        <f t="shared" si="119"/>
        <v>Q1-2026</v>
      </c>
    </row>
    <row r="1896" spans="1:12">
      <c r="A1896" s="6">
        <v>46100</v>
      </c>
      <c r="B1896" t="s">
        <v>16</v>
      </c>
      <c r="C1896" t="s">
        <v>17</v>
      </c>
      <c r="D1896" s="2">
        <v>1257.0027465645269</v>
      </c>
      <c r="E1896" s="2">
        <v>1275.1498056385731</v>
      </c>
      <c r="F1896" s="2">
        <v>1233.3025281122909</v>
      </c>
      <c r="G1896" s="2">
        <v>1239.649047851562</v>
      </c>
      <c r="H1896" s="3">
        <v>14422899</v>
      </c>
      <c r="I1896" s="4">
        <f t="shared" si="116"/>
        <v>-1.89</v>
      </c>
      <c r="J1896" s="2">
        <f t="shared" si="117"/>
        <v>35.5</v>
      </c>
      <c r="K1896" s="7">
        <f t="shared" si="118"/>
        <v>46082</v>
      </c>
      <c r="L1896" t="str">
        <f t="shared" si="119"/>
        <v>Q1-2026</v>
      </c>
    </row>
    <row r="1897" spans="1:12">
      <c r="A1897" s="6">
        <v>46100</v>
      </c>
      <c r="B1897" t="s">
        <v>18</v>
      </c>
      <c r="C1897" t="s">
        <v>19</v>
      </c>
      <c r="D1897" s="2">
        <v>189.8121969255088</v>
      </c>
      <c r="E1897" s="2">
        <v>190.61304815752561</v>
      </c>
      <c r="F1897" s="2">
        <v>185.560748627745</v>
      </c>
      <c r="G1897" s="2">
        <v>186.28251647949219</v>
      </c>
      <c r="H1897" s="3">
        <v>13685195</v>
      </c>
      <c r="I1897" s="4">
        <f t="shared" si="116"/>
        <v>-2.2400000000000002</v>
      </c>
      <c r="J1897" s="2">
        <f t="shared" si="117"/>
        <v>4.33</v>
      </c>
      <c r="K1897" s="7">
        <f t="shared" si="118"/>
        <v>46082</v>
      </c>
      <c r="L1897" t="str">
        <f t="shared" si="119"/>
        <v>Q1-2026</v>
      </c>
    </row>
    <row r="1898" spans="1:12">
      <c r="A1898" s="6">
        <v>46100</v>
      </c>
      <c r="B1898" t="s">
        <v>20</v>
      </c>
      <c r="C1898" t="s">
        <v>21</v>
      </c>
      <c r="D1898" s="2">
        <v>1302.8998258213489</v>
      </c>
      <c r="E1898" s="2">
        <v>1315.332375426053</v>
      </c>
      <c r="F1898" s="2">
        <v>1271.623943120358</v>
      </c>
      <c r="G1898" s="2">
        <v>1274.1494140625</v>
      </c>
      <c r="H1898" s="3">
        <v>1663249</v>
      </c>
      <c r="I1898" s="4">
        <f t="shared" si="116"/>
        <v>-2.4</v>
      </c>
      <c r="J1898" s="2">
        <f t="shared" si="117"/>
        <v>41.18</v>
      </c>
      <c r="K1898" s="7">
        <f t="shared" si="118"/>
        <v>46082</v>
      </c>
      <c r="L1898" t="str">
        <f t="shared" si="119"/>
        <v>Q1-2026</v>
      </c>
    </row>
    <row r="1899" spans="1:12">
      <c r="A1899" s="6">
        <v>46100</v>
      </c>
      <c r="B1899" t="s">
        <v>22</v>
      </c>
      <c r="C1899" t="s">
        <v>23</v>
      </c>
      <c r="D1899" s="2">
        <v>862.89559120550359</v>
      </c>
      <c r="E1899" s="2">
        <v>864.5852168883157</v>
      </c>
      <c r="F1899" s="2">
        <v>821.64914277019864</v>
      </c>
      <c r="G1899" s="2">
        <v>827.11553955078125</v>
      </c>
      <c r="H1899" s="3">
        <v>11585591</v>
      </c>
      <c r="I1899" s="4">
        <f t="shared" si="116"/>
        <v>-4.78</v>
      </c>
      <c r="J1899" s="2">
        <f t="shared" si="117"/>
        <v>37.47</v>
      </c>
      <c r="K1899" s="7">
        <f t="shared" si="118"/>
        <v>46082</v>
      </c>
      <c r="L1899" t="str">
        <f t="shared" si="119"/>
        <v>Q1-2026</v>
      </c>
    </row>
    <row r="1900" spans="1:12">
      <c r="A1900" s="6">
        <v>46100</v>
      </c>
      <c r="B1900" t="s">
        <v>24</v>
      </c>
      <c r="C1900" t="s">
        <v>25</v>
      </c>
      <c r="D1900" s="2">
        <v>12641.045184637671</v>
      </c>
      <c r="E1900" s="2">
        <v>12710.34916043064</v>
      </c>
      <c r="F1900" s="2">
        <v>12380.66024701551</v>
      </c>
      <c r="G1900" s="2">
        <v>12473.7255859375</v>
      </c>
      <c r="H1900" s="3">
        <v>569346</v>
      </c>
      <c r="I1900" s="4">
        <f t="shared" si="116"/>
        <v>-2.06</v>
      </c>
      <c r="J1900" s="2">
        <f t="shared" si="117"/>
        <v>236.62</v>
      </c>
      <c r="K1900" s="7">
        <f t="shared" si="118"/>
        <v>46082</v>
      </c>
      <c r="L1900" t="str">
        <f t="shared" si="119"/>
        <v>Q1-2026</v>
      </c>
    </row>
    <row r="1901" spans="1:12">
      <c r="A1901" s="6">
        <v>46100</v>
      </c>
      <c r="B1901" t="s">
        <v>26</v>
      </c>
      <c r="C1901" t="s">
        <v>27</v>
      </c>
      <c r="D1901" s="2">
        <v>315.38380814003392</v>
      </c>
      <c r="E1901" s="2">
        <v>316.32600457913151</v>
      </c>
      <c r="F1901" s="2">
        <v>304.97019183352342</v>
      </c>
      <c r="G1901" s="2">
        <v>306.75537109375</v>
      </c>
      <c r="H1901" s="3">
        <v>10146164</v>
      </c>
      <c r="I1901" s="4">
        <f t="shared" si="116"/>
        <v>-3.3</v>
      </c>
      <c r="J1901" s="2">
        <f t="shared" si="117"/>
        <v>9.57</v>
      </c>
      <c r="K1901" s="7">
        <f t="shared" si="118"/>
        <v>46082</v>
      </c>
      <c r="L1901" t="str">
        <f t="shared" si="119"/>
        <v>Q1-2026</v>
      </c>
    </row>
    <row r="1902" spans="1:12">
      <c r="A1902" s="6">
        <v>46100</v>
      </c>
      <c r="B1902" t="s">
        <v>28</v>
      </c>
      <c r="C1902" t="s">
        <v>29</v>
      </c>
      <c r="D1902" s="2">
        <v>1755.8981006464251</v>
      </c>
      <c r="E1902" s="2">
        <v>1779.336672282433</v>
      </c>
      <c r="F1902" s="2">
        <v>1733.35720078502</v>
      </c>
      <c r="G1902" s="2">
        <v>1739.840209960938</v>
      </c>
      <c r="H1902" s="3">
        <v>2301164</v>
      </c>
      <c r="I1902" s="4">
        <f t="shared" si="116"/>
        <v>-1.28</v>
      </c>
      <c r="J1902" s="2">
        <f t="shared" si="117"/>
        <v>39.5</v>
      </c>
      <c r="K1902" s="7">
        <f t="shared" si="118"/>
        <v>46082</v>
      </c>
      <c r="L1902" t="str">
        <f t="shared" si="119"/>
        <v>Q1-2026</v>
      </c>
    </row>
    <row r="1903" spans="1:12">
      <c r="A1903" s="6">
        <v>46100</v>
      </c>
      <c r="B1903" t="s">
        <v>30</v>
      </c>
      <c r="C1903" t="s">
        <v>31</v>
      </c>
      <c r="D1903" s="2">
        <v>2200.9050648123002</v>
      </c>
      <c r="E1903" s="2">
        <v>2219.7416396913241</v>
      </c>
      <c r="F1903" s="2">
        <v>2161.8440537215479</v>
      </c>
      <c r="G1903" s="2">
        <v>2167.197509765625</v>
      </c>
      <c r="H1903" s="3">
        <v>889334</v>
      </c>
      <c r="I1903" s="4">
        <f t="shared" si="116"/>
        <v>-1.77</v>
      </c>
      <c r="J1903" s="2">
        <f t="shared" si="117"/>
        <v>52.54</v>
      </c>
      <c r="K1903" s="7">
        <f t="shared" si="118"/>
        <v>46082</v>
      </c>
      <c r="L1903" t="str">
        <f t="shared" si="119"/>
        <v>Q1-2026</v>
      </c>
    </row>
    <row r="1904" spans="1:12">
      <c r="A1904" s="6">
        <v>46100</v>
      </c>
      <c r="B1904" t="s">
        <v>32</v>
      </c>
      <c r="C1904" t="s">
        <v>33</v>
      </c>
      <c r="D1904" s="2">
        <v>2090.7340994504279</v>
      </c>
      <c r="E1904" s="2">
        <v>2112.116703958658</v>
      </c>
      <c r="F1904" s="2">
        <v>2049.2560906465828</v>
      </c>
      <c r="G1904" s="2">
        <v>2056.383544921875</v>
      </c>
      <c r="H1904" s="3">
        <v>2098905</v>
      </c>
      <c r="I1904" s="4">
        <f t="shared" si="116"/>
        <v>-1.98</v>
      </c>
      <c r="J1904" s="2">
        <f t="shared" si="117"/>
        <v>55.73</v>
      </c>
      <c r="K1904" s="7">
        <f t="shared" si="118"/>
        <v>46082</v>
      </c>
      <c r="L1904" t="str">
        <f t="shared" si="119"/>
        <v>Q1-2026</v>
      </c>
    </row>
    <row r="1905" spans="1:12">
      <c r="A1905" s="6">
        <v>46100</v>
      </c>
      <c r="B1905" t="s">
        <v>34</v>
      </c>
      <c r="C1905" t="s">
        <v>35</v>
      </c>
      <c r="D1905" s="2">
        <v>3492.5866784623031</v>
      </c>
      <c r="E1905" s="2">
        <v>3494.171298598927</v>
      </c>
      <c r="F1905" s="2">
        <v>3388.8994751953978</v>
      </c>
      <c r="G1905" s="2">
        <v>3401.278564453125</v>
      </c>
      <c r="H1905" s="3">
        <v>4898518</v>
      </c>
      <c r="I1905" s="4">
        <f t="shared" si="116"/>
        <v>-2.97</v>
      </c>
      <c r="J1905" s="2">
        <f t="shared" si="117"/>
        <v>92.89</v>
      </c>
      <c r="K1905" s="7">
        <f t="shared" si="118"/>
        <v>46082</v>
      </c>
      <c r="L1905" t="str">
        <f t="shared" si="119"/>
        <v>Q1-2026</v>
      </c>
    </row>
    <row r="1906" spans="1:12">
      <c r="A1906" s="6">
        <v>46100</v>
      </c>
      <c r="B1906" t="s">
        <v>36</v>
      </c>
      <c r="C1906" t="s">
        <v>37</v>
      </c>
      <c r="D1906" s="2">
        <v>1220.0590351044691</v>
      </c>
      <c r="E1906" s="2">
        <v>1240.543236758557</v>
      </c>
      <c r="F1906" s="2">
        <v>1201.07367747385</v>
      </c>
      <c r="G1906" s="2">
        <v>1206.06982421875</v>
      </c>
      <c r="H1906" s="3">
        <v>8264698</v>
      </c>
      <c r="I1906" s="4">
        <f t="shared" si="116"/>
        <v>-1.56</v>
      </c>
      <c r="J1906" s="2">
        <f t="shared" si="117"/>
        <v>34.47</v>
      </c>
      <c r="K1906" s="7">
        <f t="shared" si="118"/>
        <v>46082</v>
      </c>
      <c r="L1906" t="str">
        <f t="shared" si="119"/>
        <v>Q1-2026</v>
      </c>
    </row>
    <row r="1907" spans="1:12">
      <c r="A1907" s="6">
        <v>46101</v>
      </c>
      <c r="B1907" t="s">
        <v>8</v>
      </c>
      <c r="C1907" t="s">
        <v>9</v>
      </c>
      <c r="D1907" s="2">
        <v>1391.5659566755689</v>
      </c>
      <c r="E1907" s="2">
        <v>1423.4186824363831</v>
      </c>
      <c r="F1907" s="2">
        <v>1389.674676781819</v>
      </c>
      <c r="G1907" s="2">
        <v>1407.890502929688</v>
      </c>
      <c r="H1907" s="3">
        <v>22994918</v>
      </c>
      <c r="I1907" s="4">
        <f t="shared" si="116"/>
        <v>-0.14000000000000001</v>
      </c>
      <c r="J1907" s="2">
        <f t="shared" si="117"/>
        <v>15.53</v>
      </c>
      <c r="K1907" s="7">
        <f t="shared" si="118"/>
        <v>46082</v>
      </c>
      <c r="L1907" t="str">
        <f t="shared" si="119"/>
        <v>Q1-2026</v>
      </c>
    </row>
    <row r="1908" spans="1:12">
      <c r="A1908" s="6">
        <v>46101</v>
      </c>
      <c r="B1908" t="s">
        <v>10</v>
      </c>
      <c r="C1908" t="s">
        <v>11</v>
      </c>
      <c r="D1908" s="2">
        <v>2341.244002337442</v>
      </c>
      <c r="E1908" s="2">
        <v>2362.6351312433571</v>
      </c>
      <c r="F1908" s="2">
        <v>2319.8528734315291</v>
      </c>
      <c r="G1908" s="2">
        <v>2345.7578125</v>
      </c>
      <c r="H1908" s="3">
        <v>4206320</v>
      </c>
      <c r="I1908" s="4">
        <f t="shared" si="116"/>
        <v>-0.91</v>
      </c>
      <c r="J1908" s="2">
        <f t="shared" si="117"/>
        <v>16.88</v>
      </c>
      <c r="K1908" s="7">
        <f t="shared" si="118"/>
        <v>46082</v>
      </c>
      <c r="L1908" t="str">
        <f t="shared" si="119"/>
        <v>Q1-2026</v>
      </c>
    </row>
    <row r="1909" spans="1:12">
      <c r="A1909" s="6">
        <v>46101</v>
      </c>
      <c r="B1909" t="s">
        <v>12</v>
      </c>
      <c r="C1909" t="s">
        <v>13</v>
      </c>
      <c r="D1909" s="2">
        <v>1215.6930991638781</v>
      </c>
      <c r="E1909" s="2">
        <v>1238.010218343388</v>
      </c>
      <c r="F1909" s="2">
        <v>1203.164169188587</v>
      </c>
      <c r="G1909" s="2">
        <v>1229.298706054688</v>
      </c>
      <c r="H1909" s="3">
        <v>27299975</v>
      </c>
      <c r="I1909" s="4">
        <f t="shared" si="116"/>
        <v>-1.03</v>
      </c>
      <c r="J1909" s="2">
        <f t="shared" si="117"/>
        <v>8.7100000000000009</v>
      </c>
      <c r="K1909" s="7">
        <f t="shared" si="118"/>
        <v>46082</v>
      </c>
      <c r="L1909" t="str">
        <f t="shared" si="119"/>
        <v>Q1-2026</v>
      </c>
    </row>
    <row r="1910" spans="1:12">
      <c r="A1910" s="6">
        <v>46101</v>
      </c>
      <c r="B1910" t="s">
        <v>14</v>
      </c>
      <c r="C1910" t="s">
        <v>15</v>
      </c>
      <c r="D1910" s="2">
        <v>772.22778903366134</v>
      </c>
      <c r="E1910" s="2">
        <v>780.8354236248008</v>
      </c>
      <c r="F1910" s="2">
        <v>765.53843930268022</v>
      </c>
      <c r="G1910" s="2">
        <v>767.7518310546875</v>
      </c>
      <c r="H1910" s="3">
        <v>103129469</v>
      </c>
      <c r="I1910" s="4">
        <f t="shared" si="116"/>
        <v>-0.87</v>
      </c>
      <c r="J1910" s="2">
        <f t="shared" si="117"/>
        <v>13.08</v>
      </c>
      <c r="K1910" s="7">
        <f t="shared" si="118"/>
        <v>46082</v>
      </c>
      <c r="L1910" t="str">
        <f t="shared" si="119"/>
        <v>Q1-2026</v>
      </c>
    </row>
    <row r="1911" spans="1:12">
      <c r="A1911" s="6">
        <v>46101</v>
      </c>
      <c r="B1911" t="s">
        <v>16</v>
      </c>
      <c r="C1911" t="s">
        <v>17</v>
      </c>
      <c r="D1911" s="2">
        <v>1247.879722517707</v>
      </c>
      <c r="E1911" s="2">
        <v>1263.3492813446201</v>
      </c>
      <c r="F1911" s="2">
        <v>1231.3192629188679</v>
      </c>
      <c r="G1911" s="2">
        <v>1234.988403320312</v>
      </c>
      <c r="H1911" s="3">
        <v>16421006</v>
      </c>
      <c r="I1911" s="4">
        <f t="shared" si="116"/>
        <v>-1.33</v>
      </c>
      <c r="J1911" s="2">
        <f t="shared" si="117"/>
        <v>28.36</v>
      </c>
      <c r="K1911" s="7">
        <f t="shared" si="118"/>
        <v>46082</v>
      </c>
      <c r="L1911" t="str">
        <f t="shared" si="119"/>
        <v>Q1-2026</v>
      </c>
    </row>
    <row r="1912" spans="1:12">
      <c r="A1912" s="6">
        <v>46101</v>
      </c>
      <c r="B1912" t="s">
        <v>18</v>
      </c>
      <c r="C1912" t="s">
        <v>19</v>
      </c>
      <c r="D1912" s="2">
        <v>189.03111858510189</v>
      </c>
      <c r="E1912" s="2">
        <v>190.12858526393211</v>
      </c>
      <c r="F1912" s="2">
        <v>186.28251106271449</v>
      </c>
      <c r="G1912" s="2">
        <v>188.744384765625</v>
      </c>
      <c r="H1912" s="3">
        <v>24395304</v>
      </c>
      <c r="I1912" s="4">
        <f t="shared" si="116"/>
        <v>-1.45</v>
      </c>
      <c r="J1912" s="2">
        <f t="shared" si="117"/>
        <v>1.38</v>
      </c>
      <c r="K1912" s="7">
        <f t="shared" si="118"/>
        <v>46082</v>
      </c>
      <c r="L1912" t="str">
        <f t="shared" si="119"/>
        <v>Q1-2026</v>
      </c>
    </row>
    <row r="1913" spans="1:12">
      <c r="A1913" s="6">
        <v>46101</v>
      </c>
      <c r="B1913" t="s">
        <v>20</v>
      </c>
      <c r="C1913" t="s">
        <v>21</v>
      </c>
      <c r="D1913" s="2">
        <v>1296.5864057201211</v>
      </c>
      <c r="E1913" s="2">
        <v>1313.6812357960659</v>
      </c>
      <c r="F1913" s="2">
        <v>1290.7586146555909</v>
      </c>
      <c r="G1913" s="2">
        <v>1295.420776367188</v>
      </c>
      <c r="H1913" s="3">
        <v>5050431</v>
      </c>
      <c r="I1913" s="4">
        <f t="shared" si="116"/>
        <v>-0.45</v>
      </c>
      <c r="J1913" s="2">
        <f t="shared" si="117"/>
        <v>18.260000000000002</v>
      </c>
      <c r="K1913" s="7">
        <f t="shared" si="118"/>
        <v>46082</v>
      </c>
      <c r="L1913" t="str">
        <f t="shared" si="119"/>
        <v>Q1-2026</v>
      </c>
    </row>
    <row r="1914" spans="1:12">
      <c r="A1914" s="6">
        <v>46101</v>
      </c>
      <c r="B1914" t="s">
        <v>22</v>
      </c>
      <c r="C1914" t="s">
        <v>23</v>
      </c>
      <c r="D1914" s="2">
        <v>831.58803561704133</v>
      </c>
      <c r="E1914" s="2">
        <v>836.80595975149106</v>
      </c>
      <c r="F1914" s="2">
        <v>814.24463755199156</v>
      </c>
      <c r="G1914" s="2">
        <v>825.4755859375</v>
      </c>
      <c r="H1914" s="3">
        <v>14881843</v>
      </c>
      <c r="I1914" s="4">
        <f t="shared" si="116"/>
        <v>-2.09</v>
      </c>
      <c r="J1914" s="2">
        <f t="shared" si="117"/>
        <v>11.33</v>
      </c>
      <c r="K1914" s="7">
        <f t="shared" si="118"/>
        <v>46082</v>
      </c>
      <c r="L1914" t="str">
        <f t="shared" si="119"/>
        <v>Q1-2026</v>
      </c>
    </row>
    <row r="1915" spans="1:12">
      <c r="A1915" s="6">
        <v>46101</v>
      </c>
      <c r="B1915" t="s">
        <v>24</v>
      </c>
      <c r="C1915" t="s">
        <v>25</v>
      </c>
      <c r="D1915" s="2">
        <v>12479.66628198841</v>
      </c>
      <c r="E1915" s="2">
        <v>12629.16486259771</v>
      </c>
      <c r="F1915" s="2">
        <v>12431.153497552281</v>
      </c>
      <c r="G1915" s="2">
        <v>12475.7060546875</v>
      </c>
      <c r="H1915" s="3">
        <v>725481</v>
      </c>
      <c r="I1915" s="4">
        <f t="shared" si="116"/>
        <v>-0.39</v>
      </c>
      <c r="J1915" s="2">
        <f t="shared" si="117"/>
        <v>153.46</v>
      </c>
      <c r="K1915" s="7">
        <f t="shared" si="118"/>
        <v>46082</v>
      </c>
      <c r="L1915" t="str">
        <f t="shared" si="119"/>
        <v>Q1-2026</v>
      </c>
    </row>
    <row r="1916" spans="1:12">
      <c r="A1916" s="6">
        <v>46101</v>
      </c>
      <c r="B1916" t="s">
        <v>26</v>
      </c>
      <c r="C1916" t="s">
        <v>27</v>
      </c>
      <c r="D1916" s="2">
        <v>308.44139736110878</v>
      </c>
      <c r="E1916" s="2">
        <v>314.29285190083118</v>
      </c>
      <c r="F1916" s="2">
        <v>308.24303065813137</v>
      </c>
      <c r="G1916" s="2">
        <v>311.51589965820313</v>
      </c>
      <c r="H1916" s="3">
        <v>13905760</v>
      </c>
      <c r="I1916" s="4">
        <f t="shared" si="116"/>
        <v>-0.06</v>
      </c>
      <c r="J1916" s="2">
        <f t="shared" si="117"/>
        <v>2.78</v>
      </c>
      <c r="K1916" s="7">
        <f t="shared" si="118"/>
        <v>46082</v>
      </c>
      <c r="L1916" t="str">
        <f t="shared" si="119"/>
        <v>Q1-2026</v>
      </c>
    </row>
    <row r="1917" spans="1:12">
      <c r="A1917" s="6">
        <v>46101</v>
      </c>
      <c r="B1917" t="s">
        <v>28</v>
      </c>
      <c r="C1917" t="s">
        <v>29</v>
      </c>
      <c r="D1917" s="2">
        <v>1750.5122189773599</v>
      </c>
      <c r="E1917" s="2">
        <v>1776.6438063436231</v>
      </c>
      <c r="F1917" s="2">
        <v>1749.714383194033</v>
      </c>
      <c r="G1917" s="2">
        <v>1772.454711914062</v>
      </c>
      <c r="H1917" s="3">
        <v>3591446</v>
      </c>
      <c r="I1917" s="4">
        <f t="shared" si="116"/>
        <v>-0.05</v>
      </c>
      <c r="J1917" s="2">
        <f t="shared" si="117"/>
        <v>4.1900000000000004</v>
      </c>
      <c r="K1917" s="7">
        <f t="shared" si="118"/>
        <v>46082</v>
      </c>
      <c r="L1917" t="str">
        <f t="shared" si="119"/>
        <v>Q1-2026</v>
      </c>
    </row>
    <row r="1918" spans="1:12">
      <c r="A1918" s="6">
        <v>46101</v>
      </c>
      <c r="B1918" t="s">
        <v>30</v>
      </c>
      <c r="C1918" t="s">
        <v>31</v>
      </c>
      <c r="D1918" s="2">
        <v>2191.883035494523</v>
      </c>
      <c r="E1918" s="2">
        <v>2205.366153071308</v>
      </c>
      <c r="F1918" s="2">
        <v>2166.2059089506888</v>
      </c>
      <c r="G1918" s="2">
        <v>2176.516357421875</v>
      </c>
      <c r="H1918" s="3">
        <v>875920</v>
      </c>
      <c r="I1918" s="4">
        <f t="shared" si="116"/>
        <v>-1.17</v>
      </c>
      <c r="J1918" s="2">
        <f t="shared" si="117"/>
        <v>28.85</v>
      </c>
      <c r="K1918" s="7">
        <f t="shared" si="118"/>
        <v>46082</v>
      </c>
      <c r="L1918" t="str">
        <f t="shared" si="119"/>
        <v>Q1-2026</v>
      </c>
    </row>
    <row r="1919" spans="1:12">
      <c r="A1919" s="6">
        <v>46101</v>
      </c>
      <c r="B1919" t="s">
        <v>32</v>
      </c>
      <c r="C1919" t="s">
        <v>33</v>
      </c>
      <c r="D1919" s="2">
        <v>2078.5578289353589</v>
      </c>
      <c r="E1919" s="2">
        <v>2078.656918696704</v>
      </c>
      <c r="F1919" s="2">
        <v>2048.166999131025</v>
      </c>
      <c r="G1919" s="2">
        <v>2061.72900390625</v>
      </c>
      <c r="H1919" s="3">
        <v>2429744</v>
      </c>
      <c r="I1919" s="4">
        <f t="shared" si="116"/>
        <v>-1.46</v>
      </c>
      <c r="J1919" s="2">
        <f t="shared" si="117"/>
        <v>16.93</v>
      </c>
      <c r="K1919" s="7">
        <f t="shared" si="118"/>
        <v>46082</v>
      </c>
      <c r="L1919" t="str">
        <f t="shared" si="119"/>
        <v>Q1-2026</v>
      </c>
    </row>
    <row r="1920" spans="1:12">
      <c r="A1920" s="6">
        <v>46101</v>
      </c>
      <c r="B1920" t="s">
        <v>34</v>
      </c>
      <c r="C1920" t="s">
        <v>35</v>
      </c>
      <c r="D1920" s="2">
        <v>3441.3867859706002</v>
      </c>
      <c r="E1920" s="2">
        <v>3489.9128154706168</v>
      </c>
      <c r="F1920" s="2">
        <v>3377.0155223481279</v>
      </c>
      <c r="G1920" s="2">
        <v>3401.57568359375</v>
      </c>
      <c r="H1920" s="3">
        <v>4743217</v>
      </c>
      <c r="I1920" s="4">
        <f t="shared" si="116"/>
        <v>-1.87</v>
      </c>
      <c r="J1920" s="2">
        <f t="shared" si="117"/>
        <v>88.34</v>
      </c>
      <c r="K1920" s="7">
        <f t="shared" si="118"/>
        <v>46082</v>
      </c>
      <c r="L1920" t="str">
        <f t="shared" si="119"/>
        <v>Q1-2026</v>
      </c>
    </row>
    <row r="1921" spans="1:12">
      <c r="A1921" s="6">
        <v>46101</v>
      </c>
      <c r="B1921" t="s">
        <v>36</v>
      </c>
      <c r="C1921" t="s">
        <v>37</v>
      </c>
      <c r="D1921" s="2">
        <v>1207.668619393366</v>
      </c>
      <c r="E1921" s="2">
        <v>1230.850814485364</v>
      </c>
      <c r="F1921" s="2">
        <v>1198.7754534047699</v>
      </c>
      <c r="G1921" s="2">
        <v>1202.972290039062</v>
      </c>
      <c r="H1921" s="3">
        <v>7518686</v>
      </c>
      <c r="I1921" s="4">
        <f t="shared" si="116"/>
        <v>-0.74</v>
      </c>
      <c r="J1921" s="2">
        <f t="shared" si="117"/>
        <v>27.88</v>
      </c>
      <c r="K1921" s="7">
        <f t="shared" si="118"/>
        <v>46082</v>
      </c>
      <c r="L1921" t="str">
        <f t="shared" si="119"/>
        <v>Q1-2026</v>
      </c>
    </row>
    <row r="1922" spans="1:12">
      <c r="A1922" s="6">
        <v>46104</v>
      </c>
      <c r="B1922" t="s">
        <v>8</v>
      </c>
      <c r="C1922" t="s">
        <v>9</v>
      </c>
      <c r="D1922" s="2">
        <v>1393.5567722314411</v>
      </c>
      <c r="E1922" s="2">
        <v>1409.0849519631761</v>
      </c>
      <c r="F1922" s="2">
        <v>1384.598192981382</v>
      </c>
      <c r="G1922" s="2">
        <v>1401.320922851562</v>
      </c>
      <c r="H1922" s="3">
        <v>18979554</v>
      </c>
      <c r="I1922" s="4">
        <f t="shared" ref="I1922:I1985" si="120">ROUND(((F1922-D1922)/D1922)*100, 2)</f>
        <v>-0.64</v>
      </c>
      <c r="J1922" s="2">
        <f t="shared" ref="J1922:J1985" si="121">ROUND(E1922-G1922, 2)</f>
        <v>7.76</v>
      </c>
      <c r="K1922" s="7">
        <f t="shared" ref="K1922:K1985" si="122">DATE(YEAR(A1922),MONTH(A1922),1)</f>
        <v>46082</v>
      </c>
      <c r="L1922" t="str">
        <f t="shared" ref="L1922:L1985" si="123">"Q"&amp;INT((MONTH(A1922)-1)/3)+1&amp;"-"&amp;YEAR(A1922)</f>
        <v>Q1-2026</v>
      </c>
    </row>
    <row r="1923" spans="1:12">
      <c r="A1923" s="6">
        <v>46104</v>
      </c>
      <c r="B1923" t="s">
        <v>10</v>
      </c>
      <c r="C1923" t="s">
        <v>11</v>
      </c>
      <c r="D1923" s="2">
        <v>2320.6378037995519</v>
      </c>
      <c r="E1923" s="2">
        <v>2361.6537756859011</v>
      </c>
      <c r="F1923" s="2">
        <v>2303.9566863938048</v>
      </c>
      <c r="G1923" s="2">
        <v>2339.085205078125</v>
      </c>
      <c r="H1923" s="3">
        <v>3860515</v>
      </c>
      <c r="I1923" s="4">
        <f t="shared" si="120"/>
        <v>-0.72</v>
      </c>
      <c r="J1923" s="2">
        <f t="shared" si="121"/>
        <v>22.57</v>
      </c>
      <c r="K1923" s="7">
        <f t="shared" si="122"/>
        <v>46082</v>
      </c>
      <c r="L1923" t="str">
        <f t="shared" si="123"/>
        <v>Q1-2026</v>
      </c>
    </row>
    <row r="1924" spans="1:12">
      <c r="A1924" s="6">
        <v>46104</v>
      </c>
      <c r="B1924" t="s">
        <v>12</v>
      </c>
      <c r="C1924" t="s">
        <v>13</v>
      </c>
      <c r="D1924" s="2">
        <v>1211.9735596886819</v>
      </c>
      <c r="E1924" s="2">
        <v>1234.388537237181</v>
      </c>
      <c r="F1924" s="2">
        <v>1201.4023868626341</v>
      </c>
      <c r="G1924" s="2">
        <v>1230.1796875</v>
      </c>
      <c r="H1924" s="3">
        <v>12420293</v>
      </c>
      <c r="I1924" s="4">
        <f t="shared" si="120"/>
        <v>-0.87</v>
      </c>
      <c r="J1924" s="2">
        <f t="shared" si="121"/>
        <v>4.21</v>
      </c>
      <c r="K1924" s="7">
        <f t="shared" si="122"/>
        <v>46082</v>
      </c>
      <c r="L1924" t="str">
        <f t="shared" si="123"/>
        <v>Q1-2026</v>
      </c>
    </row>
    <row r="1925" spans="1:12">
      <c r="A1925" s="6">
        <v>46104</v>
      </c>
      <c r="B1925" t="s">
        <v>14</v>
      </c>
      <c r="C1925" t="s">
        <v>15</v>
      </c>
      <c r="D1925" s="2">
        <v>750.73334477377762</v>
      </c>
      <c r="E1925" s="2">
        <v>756.1930326018271</v>
      </c>
      <c r="F1925" s="2">
        <v>728.99288237267217</v>
      </c>
      <c r="G1925" s="2">
        <v>732.04248046875</v>
      </c>
      <c r="H1925" s="3">
        <v>72341738</v>
      </c>
      <c r="I1925" s="4">
        <f t="shared" si="120"/>
        <v>-2.9</v>
      </c>
      <c r="J1925" s="2">
        <f t="shared" si="121"/>
        <v>24.15</v>
      </c>
      <c r="K1925" s="7">
        <f t="shared" si="122"/>
        <v>46082</v>
      </c>
      <c r="L1925" t="str">
        <f t="shared" si="123"/>
        <v>Q1-2026</v>
      </c>
    </row>
    <row r="1926" spans="1:12">
      <c r="A1926" s="6">
        <v>46104</v>
      </c>
      <c r="B1926" t="s">
        <v>16</v>
      </c>
      <c r="C1926" t="s">
        <v>17</v>
      </c>
      <c r="D1926" s="2">
        <v>1216.345569527803</v>
      </c>
      <c r="E1926" s="2">
        <v>1224.576229742949</v>
      </c>
      <c r="F1926" s="2">
        <v>1207.916629737512</v>
      </c>
      <c r="G1926" s="2">
        <v>1212.478149414062</v>
      </c>
      <c r="H1926" s="3">
        <v>17049534</v>
      </c>
      <c r="I1926" s="4">
        <f t="shared" si="120"/>
        <v>-0.69</v>
      </c>
      <c r="J1926" s="2">
        <f t="shared" si="121"/>
        <v>12.1</v>
      </c>
      <c r="K1926" s="7">
        <f t="shared" si="122"/>
        <v>46082</v>
      </c>
      <c r="L1926" t="str">
        <f t="shared" si="123"/>
        <v>Q1-2026</v>
      </c>
    </row>
    <row r="1927" spans="1:12">
      <c r="A1927" s="6">
        <v>46104</v>
      </c>
      <c r="B1927" t="s">
        <v>18</v>
      </c>
      <c r="C1927" t="s">
        <v>19</v>
      </c>
      <c r="D1927" s="2">
        <v>187.27122739211961</v>
      </c>
      <c r="E1927" s="2">
        <v>188.4675558887426</v>
      </c>
      <c r="F1927" s="2">
        <v>184.88843696343741</v>
      </c>
      <c r="G1927" s="2">
        <v>185.4223327636719</v>
      </c>
      <c r="H1927" s="3">
        <v>12014988</v>
      </c>
      <c r="I1927" s="4">
        <f t="shared" si="120"/>
        <v>-1.27</v>
      </c>
      <c r="J1927" s="2">
        <f t="shared" si="121"/>
        <v>3.05</v>
      </c>
      <c r="K1927" s="7">
        <f t="shared" si="122"/>
        <v>46082</v>
      </c>
      <c r="L1927" t="str">
        <f t="shared" si="123"/>
        <v>Q1-2026</v>
      </c>
    </row>
    <row r="1928" spans="1:12">
      <c r="A1928" s="6">
        <v>46104</v>
      </c>
      <c r="B1928" t="s">
        <v>20</v>
      </c>
      <c r="C1928" t="s">
        <v>21</v>
      </c>
      <c r="D1928" s="2">
        <v>1277.0633953429881</v>
      </c>
      <c r="E1928" s="2">
        <v>1325.822535675198</v>
      </c>
      <c r="F1928" s="2">
        <v>1272.401114823816</v>
      </c>
      <c r="G1928" s="2">
        <v>1319.606201171875</v>
      </c>
      <c r="H1928" s="3">
        <v>5166409</v>
      </c>
      <c r="I1928" s="4">
        <f t="shared" si="120"/>
        <v>-0.37</v>
      </c>
      <c r="J1928" s="2">
        <f t="shared" si="121"/>
        <v>6.22</v>
      </c>
      <c r="K1928" s="7">
        <f t="shared" si="122"/>
        <v>46082</v>
      </c>
      <c r="L1928" t="str">
        <f t="shared" si="123"/>
        <v>Q1-2026</v>
      </c>
    </row>
    <row r="1929" spans="1:12">
      <c r="A1929" s="6">
        <v>46104</v>
      </c>
      <c r="B1929" t="s">
        <v>22</v>
      </c>
      <c r="C1929" t="s">
        <v>23</v>
      </c>
      <c r="D1929" s="2">
        <v>813.10165069426546</v>
      </c>
      <c r="E1929" s="2">
        <v>813.79738605428133</v>
      </c>
      <c r="F1929" s="2">
        <v>783.08621140623643</v>
      </c>
      <c r="G1929" s="2">
        <v>807.63525390625</v>
      </c>
      <c r="H1929" s="3">
        <v>15835828</v>
      </c>
      <c r="I1929" s="4">
        <f t="shared" si="120"/>
        <v>-3.69</v>
      </c>
      <c r="J1929" s="2">
        <f t="shared" si="121"/>
        <v>6.16</v>
      </c>
      <c r="K1929" s="7">
        <f t="shared" si="122"/>
        <v>46082</v>
      </c>
      <c r="L1929" t="str">
        <f t="shared" si="123"/>
        <v>Q1-2026</v>
      </c>
    </row>
    <row r="1930" spans="1:12">
      <c r="A1930" s="6">
        <v>46104</v>
      </c>
      <c r="B1930" t="s">
        <v>24</v>
      </c>
      <c r="C1930" t="s">
        <v>25</v>
      </c>
      <c r="D1930" s="2">
        <v>12376.700643400951</v>
      </c>
      <c r="E1930" s="2">
        <v>12376.700643400951</v>
      </c>
      <c r="F1930" s="2">
        <v>12155.91796653683</v>
      </c>
      <c r="G1930" s="2">
        <v>12232.15234375</v>
      </c>
      <c r="H1930" s="3">
        <v>517985</v>
      </c>
      <c r="I1930" s="4">
        <f t="shared" si="120"/>
        <v>-1.78</v>
      </c>
      <c r="J1930" s="2">
        <f t="shared" si="121"/>
        <v>144.55000000000001</v>
      </c>
      <c r="K1930" s="7">
        <f t="shared" si="122"/>
        <v>46082</v>
      </c>
      <c r="L1930" t="str">
        <f t="shared" si="123"/>
        <v>Q1-2026</v>
      </c>
    </row>
    <row r="1931" spans="1:12">
      <c r="A1931" s="6">
        <v>46104</v>
      </c>
      <c r="B1931" t="s">
        <v>26</v>
      </c>
      <c r="C1931" t="s">
        <v>27</v>
      </c>
      <c r="D1931" s="2">
        <v>308.49094869672979</v>
      </c>
      <c r="E1931" s="2">
        <v>308.49094869672979</v>
      </c>
      <c r="F1931" s="2">
        <v>301.00307540206222</v>
      </c>
      <c r="G1931" s="2">
        <v>302.73867797851563</v>
      </c>
      <c r="H1931" s="3">
        <v>10816349</v>
      </c>
      <c r="I1931" s="4">
        <f t="shared" si="120"/>
        <v>-2.4300000000000002</v>
      </c>
      <c r="J1931" s="2">
        <f t="shared" si="121"/>
        <v>5.75</v>
      </c>
      <c r="K1931" s="7">
        <f t="shared" si="122"/>
        <v>46082</v>
      </c>
      <c r="L1931" t="str">
        <f t="shared" si="123"/>
        <v>Q1-2026</v>
      </c>
    </row>
    <row r="1932" spans="1:12">
      <c r="A1932" s="6">
        <v>46104</v>
      </c>
      <c r="B1932" t="s">
        <v>28</v>
      </c>
      <c r="C1932" t="s">
        <v>29</v>
      </c>
      <c r="D1932" s="2">
        <v>1770.160743823709</v>
      </c>
      <c r="E1932" s="2">
        <v>1770.3601723257359</v>
      </c>
      <c r="F1932" s="2">
        <v>1736.5487621491011</v>
      </c>
      <c r="G1932" s="2">
        <v>1753.803588867188</v>
      </c>
      <c r="H1932" s="3">
        <v>2783613</v>
      </c>
      <c r="I1932" s="4">
        <f t="shared" si="120"/>
        <v>-1.9</v>
      </c>
      <c r="J1932" s="2">
        <f t="shared" si="121"/>
        <v>16.559999999999999</v>
      </c>
      <c r="K1932" s="7">
        <f t="shared" si="122"/>
        <v>46082</v>
      </c>
      <c r="L1932" t="str">
        <f t="shared" si="123"/>
        <v>Q1-2026</v>
      </c>
    </row>
    <row r="1933" spans="1:12">
      <c r="A1933" s="6">
        <v>46104</v>
      </c>
      <c r="B1933" t="s">
        <v>30</v>
      </c>
      <c r="C1933" t="s">
        <v>31</v>
      </c>
      <c r="D1933" s="2">
        <v>2161.2490060531641</v>
      </c>
      <c r="E1933" s="2">
        <v>2161.2490060531641</v>
      </c>
      <c r="F1933" s="2">
        <v>2096.8080953222211</v>
      </c>
      <c r="G1933" s="2">
        <v>2103.053955078125</v>
      </c>
      <c r="H1933" s="3">
        <v>978398</v>
      </c>
      <c r="I1933" s="4">
        <f t="shared" si="120"/>
        <v>-2.98</v>
      </c>
      <c r="J1933" s="2">
        <f t="shared" si="121"/>
        <v>58.2</v>
      </c>
      <c r="K1933" s="7">
        <f t="shared" si="122"/>
        <v>46082</v>
      </c>
      <c r="L1933" t="str">
        <f t="shared" si="123"/>
        <v>Q1-2026</v>
      </c>
    </row>
    <row r="1934" spans="1:12">
      <c r="A1934" s="6">
        <v>46104</v>
      </c>
      <c r="B1934" t="s">
        <v>32</v>
      </c>
      <c r="C1934" t="s">
        <v>33</v>
      </c>
      <c r="D1934" s="2">
        <v>2041.5345315172119</v>
      </c>
      <c r="E1934" s="2">
        <v>2075.8850852106948</v>
      </c>
      <c r="F1934" s="2">
        <v>2012.826535584398</v>
      </c>
      <c r="G1934" s="2">
        <v>2031.5361328125</v>
      </c>
      <c r="H1934" s="3">
        <v>2599535</v>
      </c>
      <c r="I1934" s="4">
        <f t="shared" si="120"/>
        <v>-1.41</v>
      </c>
      <c r="J1934" s="2">
        <f t="shared" si="121"/>
        <v>44.35</v>
      </c>
      <c r="K1934" s="7">
        <f t="shared" si="122"/>
        <v>46082</v>
      </c>
      <c r="L1934" t="str">
        <f t="shared" si="123"/>
        <v>Q1-2026</v>
      </c>
    </row>
    <row r="1935" spans="1:12">
      <c r="A1935" s="6">
        <v>46104</v>
      </c>
      <c r="B1935" t="s">
        <v>34</v>
      </c>
      <c r="C1935" t="s">
        <v>35</v>
      </c>
      <c r="D1935" s="2">
        <v>3372.1630410371399</v>
      </c>
      <c r="E1935" s="2">
        <v>3376.9164178857459</v>
      </c>
      <c r="F1935" s="2">
        <v>3256.2947656601809</v>
      </c>
      <c r="G1935" s="2">
        <v>3310.0693359375</v>
      </c>
      <c r="H1935" s="3">
        <v>5645839</v>
      </c>
      <c r="I1935" s="4">
        <f t="shared" si="120"/>
        <v>-3.44</v>
      </c>
      <c r="J1935" s="2">
        <f t="shared" si="121"/>
        <v>66.849999999999994</v>
      </c>
      <c r="K1935" s="7">
        <f t="shared" si="122"/>
        <v>46082</v>
      </c>
      <c r="L1935" t="str">
        <f t="shared" si="123"/>
        <v>Q1-2026</v>
      </c>
    </row>
    <row r="1936" spans="1:12">
      <c r="A1936" s="6">
        <v>46104</v>
      </c>
      <c r="B1936" t="s">
        <v>36</v>
      </c>
      <c r="C1936" t="s">
        <v>37</v>
      </c>
      <c r="D1936" s="2">
        <v>1180.089885818476</v>
      </c>
      <c r="E1936" s="2">
        <v>1184.186701839702</v>
      </c>
      <c r="F1936" s="2">
        <v>1164.102215900529</v>
      </c>
      <c r="G1936" s="2">
        <v>1169.697875976562</v>
      </c>
      <c r="H1936" s="3">
        <v>6697446</v>
      </c>
      <c r="I1936" s="4">
        <f t="shared" si="120"/>
        <v>-1.35</v>
      </c>
      <c r="J1936" s="2">
        <f t="shared" si="121"/>
        <v>14.49</v>
      </c>
      <c r="K1936" s="7">
        <f t="shared" si="122"/>
        <v>46082</v>
      </c>
      <c r="L1936" t="str">
        <f t="shared" si="123"/>
        <v>Q1-2026</v>
      </c>
    </row>
    <row r="1937" spans="1:12">
      <c r="A1937" s="6">
        <v>46105</v>
      </c>
      <c r="B1937" t="s">
        <v>8</v>
      </c>
      <c r="C1937" t="s">
        <v>9</v>
      </c>
      <c r="D1937" s="2">
        <v>1413.464702589589</v>
      </c>
      <c r="E1937" s="2">
        <v>1415.853681318202</v>
      </c>
      <c r="F1937" s="2">
        <v>1400.126349404296</v>
      </c>
      <c r="G1937" s="2">
        <v>1405.302490234375</v>
      </c>
      <c r="H1937" s="3">
        <v>18620893</v>
      </c>
      <c r="I1937" s="4">
        <f t="shared" si="120"/>
        <v>-0.94</v>
      </c>
      <c r="J1937" s="2">
        <f t="shared" si="121"/>
        <v>10.55</v>
      </c>
      <c r="K1937" s="7">
        <f t="shared" si="122"/>
        <v>46082</v>
      </c>
      <c r="L1937" t="str">
        <f t="shared" si="123"/>
        <v>Q1-2026</v>
      </c>
    </row>
    <row r="1938" spans="1:12">
      <c r="A1938" s="6">
        <v>46105</v>
      </c>
      <c r="B1938" t="s">
        <v>10</v>
      </c>
      <c r="C1938" t="s">
        <v>11</v>
      </c>
      <c r="D1938" s="2">
        <v>2359.0045869106289</v>
      </c>
      <c r="E1938" s="2">
        <v>2389.7172776589059</v>
      </c>
      <c r="F1938" s="2">
        <v>2334.4735306828702</v>
      </c>
      <c r="G1938" s="2">
        <v>2353.803955078125</v>
      </c>
      <c r="H1938" s="3">
        <v>3420182</v>
      </c>
      <c r="I1938" s="4">
        <f t="shared" si="120"/>
        <v>-1.04</v>
      </c>
      <c r="J1938" s="2">
        <f t="shared" si="121"/>
        <v>35.909999999999997</v>
      </c>
      <c r="K1938" s="7">
        <f t="shared" si="122"/>
        <v>46082</v>
      </c>
      <c r="L1938" t="str">
        <f t="shared" si="123"/>
        <v>Q1-2026</v>
      </c>
    </row>
    <row r="1939" spans="1:12">
      <c r="A1939" s="6">
        <v>46105</v>
      </c>
      <c r="B1939" t="s">
        <v>12</v>
      </c>
      <c r="C1939" t="s">
        <v>13</v>
      </c>
      <c r="D1939" s="2">
        <v>1242.1213008151201</v>
      </c>
      <c r="E1939" s="2">
        <v>1269.5282325903941</v>
      </c>
      <c r="F1939" s="2">
        <v>1224.5025589595859</v>
      </c>
      <c r="G1939" s="2">
        <v>1251.224365234375</v>
      </c>
      <c r="H1939" s="3">
        <v>13613495</v>
      </c>
      <c r="I1939" s="4">
        <f t="shared" si="120"/>
        <v>-1.42</v>
      </c>
      <c r="J1939" s="2">
        <f t="shared" si="121"/>
        <v>18.3</v>
      </c>
      <c r="K1939" s="7">
        <f t="shared" si="122"/>
        <v>46082</v>
      </c>
      <c r="L1939" t="str">
        <f t="shared" si="123"/>
        <v>Q1-2026</v>
      </c>
    </row>
    <row r="1940" spans="1:12">
      <c r="A1940" s="6">
        <v>46105</v>
      </c>
      <c r="B1940" t="s">
        <v>14</v>
      </c>
      <c r="C1940" t="s">
        <v>15</v>
      </c>
      <c r="D1940" s="2">
        <v>742.71588642370375</v>
      </c>
      <c r="E1940" s="2">
        <v>760.17708772704248</v>
      </c>
      <c r="F1940" s="2">
        <v>735.53467198060844</v>
      </c>
      <c r="G1940" s="2">
        <v>752.454833984375</v>
      </c>
      <c r="H1940" s="3">
        <v>61269986</v>
      </c>
      <c r="I1940" s="4">
        <f t="shared" si="120"/>
        <v>-0.97</v>
      </c>
      <c r="J1940" s="2">
        <f t="shared" si="121"/>
        <v>7.72</v>
      </c>
      <c r="K1940" s="7">
        <f t="shared" si="122"/>
        <v>46082</v>
      </c>
      <c r="L1940" t="str">
        <f t="shared" si="123"/>
        <v>Q1-2026</v>
      </c>
    </row>
    <row r="1941" spans="1:12">
      <c r="A1941" s="6">
        <v>46105</v>
      </c>
      <c r="B1941" t="s">
        <v>16</v>
      </c>
      <c r="C1941" t="s">
        <v>17</v>
      </c>
      <c r="D1941" s="2">
        <v>1226.7577689534389</v>
      </c>
      <c r="E1941" s="2">
        <v>1243.4173686829899</v>
      </c>
      <c r="F1941" s="2">
        <v>1213.4697692941299</v>
      </c>
      <c r="G1941" s="2">
        <v>1240.739868164062</v>
      </c>
      <c r="H1941" s="3">
        <v>20617782</v>
      </c>
      <c r="I1941" s="4">
        <f t="shared" si="120"/>
        <v>-1.08</v>
      </c>
      <c r="J1941" s="2">
        <f t="shared" si="121"/>
        <v>2.68</v>
      </c>
      <c r="K1941" s="7">
        <f t="shared" si="122"/>
        <v>46082</v>
      </c>
      <c r="L1941" t="str">
        <f t="shared" si="123"/>
        <v>Q1-2026</v>
      </c>
    </row>
    <row r="1942" spans="1:12">
      <c r="A1942" s="6">
        <v>46105</v>
      </c>
      <c r="B1942" t="s">
        <v>18</v>
      </c>
      <c r="C1942" t="s">
        <v>19</v>
      </c>
      <c r="D1942" s="2">
        <v>189.33762442635029</v>
      </c>
      <c r="E1942" s="2">
        <v>189.33762442635029</v>
      </c>
      <c r="F1942" s="2">
        <v>185.67940702392249</v>
      </c>
      <c r="G1942" s="2">
        <v>186.6087951660156</v>
      </c>
      <c r="H1942" s="3">
        <v>11843191</v>
      </c>
      <c r="I1942" s="4">
        <f t="shared" si="120"/>
        <v>-1.93</v>
      </c>
      <c r="J1942" s="2">
        <f t="shared" si="121"/>
        <v>2.73</v>
      </c>
      <c r="K1942" s="7">
        <f t="shared" si="122"/>
        <v>46082</v>
      </c>
      <c r="L1942" t="str">
        <f t="shared" si="123"/>
        <v>Q1-2026</v>
      </c>
    </row>
    <row r="1943" spans="1:12">
      <c r="A1943" s="6">
        <v>46105</v>
      </c>
      <c r="B1943" t="s">
        <v>20</v>
      </c>
      <c r="C1943" t="s">
        <v>21</v>
      </c>
      <c r="D1943" s="2">
        <v>1340.3920525322769</v>
      </c>
      <c r="E1943" s="2">
        <v>1353.990232775358</v>
      </c>
      <c r="F1943" s="2">
        <v>1320.9660807564469</v>
      </c>
      <c r="G1943" s="2">
        <v>1333.884399414062</v>
      </c>
      <c r="H1943" s="3">
        <v>3555664</v>
      </c>
      <c r="I1943" s="4">
        <f t="shared" si="120"/>
        <v>-1.45</v>
      </c>
      <c r="J1943" s="2">
        <f t="shared" si="121"/>
        <v>20.11</v>
      </c>
      <c r="K1943" s="7">
        <f t="shared" si="122"/>
        <v>46082</v>
      </c>
      <c r="L1943" t="str">
        <f t="shared" si="123"/>
        <v>Q1-2026</v>
      </c>
    </row>
    <row r="1944" spans="1:12">
      <c r="A1944" s="6">
        <v>46105</v>
      </c>
      <c r="B1944" t="s">
        <v>22</v>
      </c>
      <c r="C1944" t="s">
        <v>23</v>
      </c>
      <c r="D1944" s="2">
        <v>824.92901014635788</v>
      </c>
      <c r="E1944" s="2">
        <v>848.78237911444523</v>
      </c>
      <c r="F1944" s="2">
        <v>812.60474524794427</v>
      </c>
      <c r="G1944" s="2">
        <v>843.81292724609375</v>
      </c>
      <c r="H1944" s="3">
        <v>18828248</v>
      </c>
      <c r="I1944" s="4">
        <f t="shared" si="120"/>
        <v>-1.49</v>
      </c>
      <c r="J1944" s="2">
        <f t="shared" si="121"/>
        <v>4.97</v>
      </c>
      <c r="K1944" s="7">
        <f t="shared" si="122"/>
        <v>46082</v>
      </c>
      <c r="L1944" t="str">
        <f t="shared" si="123"/>
        <v>Q1-2026</v>
      </c>
    </row>
    <row r="1945" spans="1:12">
      <c r="A1945" s="6">
        <v>46105</v>
      </c>
      <c r="B1945" t="s">
        <v>24</v>
      </c>
      <c r="C1945" t="s">
        <v>25</v>
      </c>
      <c r="D1945" s="2">
        <v>12474.716088585121</v>
      </c>
      <c r="E1945" s="2">
        <v>12524.218930206491</v>
      </c>
      <c r="F1945" s="2">
        <v>12209.38085749458</v>
      </c>
      <c r="G1945" s="2">
        <v>12340.068359375</v>
      </c>
      <c r="H1945" s="3">
        <v>583568</v>
      </c>
      <c r="I1945" s="4">
        <f t="shared" si="120"/>
        <v>-2.13</v>
      </c>
      <c r="J1945" s="2">
        <f t="shared" si="121"/>
        <v>184.15</v>
      </c>
      <c r="K1945" s="7">
        <f t="shared" si="122"/>
        <v>46082</v>
      </c>
      <c r="L1945" t="str">
        <f t="shared" si="123"/>
        <v>Q1-2026</v>
      </c>
    </row>
    <row r="1946" spans="1:12">
      <c r="A1946" s="6">
        <v>46105</v>
      </c>
      <c r="B1946" t="s">
        <v>26</v>
      </c>
      <c r="C1946" t="s">
        <v>27</v>
      </c>
      <c r="D1946" s="2">
        <v>310.37534257312763</v>
      </c>
      <c r="E1946" s="2">
        <v>311.61505870376561</v>
      </c>
      <c r="F1946" s="2">
        <v>302.98662232792242</v>
      </c>
      <c r="G1946" s="2">
        <v>308.63973999023438</v>
      </c>
      <c r="H1946" s="3">
        <v>8524890</v>
      </c>
      <c r="I1946" s="4">
        <f t="shared" si="120"/>
        <v>-2.38</v>
      </c>
      <c r="J1946" s="2">
        <f t="shared" si="121"/>
        <v>2.98</v>
      </c>
      <c r="K1946" s="7">
        <f t="shared" si="122"/>
        <v>46082</v>
      </c>
      <c r="L1946" t="str">
        <f t="shared" si="123"/>
        <v>Q1-2026</v>
      </c>
    </row>
    <row r="1947" spans="1:12">
      <c r="A1947" s="6">
        <v>46105</v>
      </c>
      <c r="B1947" t="s">
        <v>28</v>
      </c>
      <c r="C1947" t="s">
        <v>29</v>
      </c>
      <c r="D1947" s="2">
        <v>1770.3602699819551</v>
      </c>
      <c r="E1947" s="2">
        <v>1775.247486063419</v>
      </c>
      <c r="F1947" s="2">
        <v>1740.538402210605</v>
      </c>
      <c r="G1947" s="2">
        <v>1748.717041015625</v>
      </c>
      <c r="H1947" s="3">
        <v>2040152</v>
      </c>
      <c r="I1947" s="4">
        <f t="shared" si="120"/>
        <v>-1.68</v>
      </c>
      <c r="J1947" s="2">
        <f t="shared" si="121"/>
        <v>26.53</v>
      </c>
      <c r="K1947" s="7">
        <f t="shared" si="122"/>
        <v>46082</v>
      </c>
      <c r="L1947" t="str">
        <f t="shared" si="123"/>
        <v>Q1-2026</v>
      </c>
    </row>
    <row r="1948" spans="1:12">
      <c r="A1948" s="6">
        <v>46105</v>
      </c>
      <c r="B1948" t="s">
        <v>30</v>
      </c>
      <c r="C1948" t="s">
        <v>31</v>
      </c>
      <c r="D1948" s="2">
        <v>2165.2146480848351</v>
      </c>
      <c r="E1948" s="2">
        <v>2205.366293344649</v>
      </c>
      <c r="F1948" s="2">
        <v>2134.778757987383</v>
      </c>
      <c r="G1948" s="2">
        <v>2198.228271484375</v>
      </c>
      <c r="H1948" s="3">
        <v>1561016</v>
      </c>
      <c r="I1948" s="4">
        <f t="shared" si="120"/>
        <v>-1.41</v>
      </c>
      <c r="J1948" s="2">
        <f t="shared" si="121"/>
        <v>7.14</v>
      </c>
      <c r="K1948" s="7">
        <f t="shared" si="122"/>
        <v>46082</v>
      </c>
      <c r="L1948" t="str">
        <f t="shared" si="123"/>
        <v>Q1-2026</v>
      </c>
    </row>
    <row r="1949" spans="1:12">
      <c r="A1949" s="6">
        <v>46105</v>
      </c>
      <c r="B1949" t="s">
        <v>32</v>
      </c>
      <c r="C1949" t="s">
        <v>33</v>
      </c>
      <c r="D1949" s="2">
        <v>2049.156896357913</v>
      </c>
      <c r="E1949" s="2">
        <v>2093.7037854091732</v>
      </c>
      <c r="F1949" s="2">
        <v>2045.1971728866911</v>
      </c>
      <c r="G1949" s="2">
        <v>2064.005859375</v>
      </c>
      <c r="H1949" s="3">
        <v>1702418</v>
      </c>
      <c r="I1949" s="4">
        <f t="shared" si="120"/>
        <v>-0.19</v>
      </c>
      <c r="J1949" s="2">
        <f t="shared" si="121"/>
        <v>29.7</v>
      </c>
      <c r="K1949" s="7">
        <f t="shared" si="122"/>
        <v>46082</v>
      </c>
      <c r="L1949" t="str">
        <f t="shared" si="123"/>
        <v>Q1-2026</v>
      </c>
    </row>
    <row r="1950" spans="1:12">
      <c r="A1950" s="6">
        <v>46105</v>
      </c>
      <c r="B1950" t="s">
        <v>34</v>
      </c>
      <c r="C1950" t="s">
        <v>35</v>
      </c>
      <c r="D1950" s="2">
        <v>3406.7252993843099</v>
      </c>
      <c r="E1950" s="2">
        <v>3512.7894308529371</v>
      </c>
      <c r="F1950" s="2">
        <v>3357.7041068495651</v>
      </c>
      <c r="G1950" s="2">
        <v>3482.782470703125</v>
      </c>
      <c r="H1950" s="3">
        <v>6037848</v>
      </c>
      <c r="I1950" s="4">
        <f t="shared" si="120"/>
        <v>-1.44</v>
      </c>
      <c r="J1950" s="2">
        <f t="shared" si="121"/>
        <v>30.01</v>
      </c>
      <c r="K1950" s="7">
        <f t="shared" si="122"/>
        <v>46082</v>
      </c>
      <c r="L1950" t="str">
        <f t="shared" si="123"/>
        <v>Q1-2026</v>
      </c>
    </row>
    <row r="1951" spans="1:12">
      <c r="A1951" s="6">
        <v>46105</v>
      </c>
      <c r="B1951" t="s">
        <v>36</v>
      </c>
      <c r="C1951" t="s">
        <v>37</v>
      </c>
      <c r="D1951" s="2">
        <v>1186.0852033826379</v>
      </c>
      <c r="E1951" s="2">
        <v>1201.873075436356</v>
      </c>
      <c r="F1951" s="2">
        <v>1168.698588811437</v>
      </c>
      <c r="G1951" s="2">
        <v>1191.78076171875</v>
      </c>
      <c r="H1951" s="3">
        <v>8274701</v>
      </c>
      <c r="I1951" s="4">
        <f t="shared" si="120"/>
        <v>-1.47</v>
      </c>
      <c r="J1951" s="2">
        <f t="shared" si="121"/>
        <v>10.09</v>
      </c>
      <c r="K1951" s="7">
        <f t="shared" si="122"/>
        <v>46082</v>
      </c>
      <c r="L1951" t="str">
        <f t="shared" si="123"/>
        <v>Q1-2026</v>
      </c>
    </row>
    <row r="1952" spans="1:12">
      <c r="A1952" s="6">
        <v>46106</v>
      </c>
      <c r="B1952" t="s">
        <v>8</v>
      </c>
      <c r="C1952" t="s">
        <v>9</v>
      </c>
      <c r="D1952" s="2">
        <v>1413.4647038319849</v>
      </c>
      <c r="E1952" s="2">
        <v>1423.9163794589119</v>
      </c>
      <c r="F1952" s="2">
        <v>1401.9181150601289</v>
      </c>
      <c r="G1952" s="2">
        <v>1406.596435546875</v>
      </c>
      <c r="H1952" s="3">
        <v>19041331</v>
      </c>
      <c r="I1952" s="4">
        <f t="shared" si="120"/>
        <v>-0.82</v>
      </c>
      <c r="J1952" s="2">
        <f t="shared" si="121"/>
        <v>17.32</v>
      </c>
      <c r="K1952" s="7">
        <f t="shared" si="122"/>
        <v>46082</v>
      </c>
      <c r="L1952" t="str">
        <f t="shared" si="123"/>
        <v>Q1-2026</v>
      </c>
    </row>
    <row r="1953" spans="1:12">
      <c r="A1953" s="6">
        <v>46106</v>
      </c>
      <c r="B1953" t="s">
        <v>10</v>
      </c>
      <c r="C1953" t="s">
        <v>11</v>
      </c>
      <c r="D1953" s="2">
        <v>2355.8643681269782</v>
      </c>
      <c r="E1953" s="2">
        <v>2376.176273884641</v>
      </c>
      <c r="F1953" s="2">
        <v>2325.3478785890729</v>
      </c>
      <c r="G1953" s="2">
        <v>2332.80517578125</v>
      </c>
      <c r="H1953" s="3">
        <v>5843778</v>
      </c>
      <c r="I1953" s="4">
        <f t="shared" si="120"/>
        <v>-1.3</v>
      </c>
      <c r="J1953" s="2">
        <f t="shared" si="121"/>
        <v>43.37</v>
      </c>
      <c r="K1953" s="7">
        <f t="shared" si="122"/>
        <v>46082</v>
      </c>
      <c r="L1953" t="str">
        <f t="shared" si="123"/>
        <v>Q1-2026</v>
      </c>
    </row>
    <row r="1954" spans="1:12">
      <c r="A1954" s="6">
        <v>46106</v>
      </c>
      <c r="B1954" t="s">
        <v>12</v>
      </c>
      <c r="C1954" t="s">
        <v>13</v>
      </c>
      <c r="D1954" s="2">
        <v>1243.1000954631661</v>
      </c>
      <c r="E1954" s="2">
        <v>1263.2637424060149</v>
      </c>
      <c r="F1954" s="2">
        <v>1230.473306817026</v>
      </c>
      <c r="G1954" s="2">
        <v>1252.00732421875</v>
      </c>
      <c r="H1954" s="3">
        <v>10824030</v>
      </c>
      <c r="I1954" s="4">
        <f t="shared" si="120"/>
        <v>-1.02</v>
      </c>
      <c r="J1954" s="2">
        <f t="shared" si="121"/>
        <v>11.26</v>
      </c>
      <c r="K1954" s="7">
        <f t="shared" si="122"/>
        <v>46082</v>
      </c>
      <c r="L1954" t="str">
        <f t="shared" si="123"/>
        <v>Q1-2026</v>
      </c>
    </row>
    <row r="1955" spans="1:12">
      <c r="A1955" s="6">
        <v>46106</v>
      </c>
      <c r="B1955" t="s">
        <v>14</v>
      </c>
      <c r="C1955" t="s">
        <v>15</v>
      </c>
      <c r="D1955" s="2">
        <v>755.70115184368569</v>
      </c>
      <c r="E1955" s="2">
        <v>781.86833730304943</v>
      </c>
      <c r="F1955" s="2">
        <v>755.70115184368569</v>
      </c>
      <c r="G1955" s="2">
        <v>769.57171630859375</v>
      </c>
      <c r="H1955" s="3">
        <v>59230640</v>
      </c>
      <c r="I1955" s="4">
        <f t="shared" si="120"/>
        <v>0</v>
      </c>
      <c r="J1955" s="2">
        <f t="shared" si="121"/>
        <v>12.3</v>
      </c>
      <c r="K1955" s="7">
        <f t="shared" si="122"/>
        <v>46082</v>
      </c>
      <c r="L1955" t="str">
        <f t="shared" si="123"/>
        <v>Q1-2026</v>
      </c>
    </row>
    <row r="1956" spans="1:12">
      <c r="A1956" s="6">
        <v>46106</v>
      </c>
      <c r="B1956" t="s">
        <v>16</v>
      </c>
      <c r="C1956" t="s">
        <v>17</v>
      </c>
      <c r="D1956" s="2">
        <v>1248.3755838951449</v>
      </c>
      <c r="E1956" s="2">
        <v>1262.2585434912951</v>
      </c>
      <c r="F1956" s="2">
        <v>1243.913204024954</v>
      </c>
      <c r="G1956" s="2">
        <v>1249.168823242188</v>
      </c>
      <c r="H1956" s="3">
        <v>17290030</v>
      </c>
      <c r="I1956" s="4">
        <f t="shared" si="120"/>
        <v>-0.36</v>
      </c>
      <c r="J1956" s="2">
        <f t="shared" si="121"/>
        <v>13.09</v>
      </c>
      <c r="K1956" s="7">
        <f t="shared" si="122"/>
        <v>46082</v>
      </c>
      <c r="L1956" t="str">
        <f t="shared" si="123"/>
        <v>Q1-2026</v>
      </c>
    </row>
    <row r="1957" spans="1:12">
      <c r="A1957" s="6">
        <v>46106</v>
      </c>
      <c r="B1957" t="s">
        <v>18</v>
      </c>
      <c r="C1957" t="s">
        <v>19</v>
      </c>
      <c r="D1957" s="2">
        <v>186.8658447771559</v>
      </c>
      <c r="E1957" s="2">
        <v>188.4675471904263</v>
      </c>
      <c r="F1957" s="2">
        <v>185.7782597517936</v>
      </c>
      <c r="G1957" s="2">
        <v>186.915283203125</v>
      </c>
      <c r="H1957" s="3">
        <v>13862888</v>
      </c>
      <c r="I1957" s="4">
        <f t="shared" si="120"/>
        <v>-0.57999999999999996</v>
      </c>
      <c r="J1957" s="2">
        <f t="shared" si="121"/>
        <v>1.55</v>
      </c>
      <c r="K1957" s="7">
        <f t="shared" si="122"/>
        <v>46082</v>
      </c>
      <c r="L1957" t="str">
        <f t="shared" si="123"/>
        <v>Q1-2026</v>
      </c>
    </row>
    <row r="1958" spans="1:12">
      <c r="A1958" s="6">
        <v>46106</v>
      </c>
      <c r="B1958" t="s">
        <v>20</v>
      </c>
      <c r="C1958" t="s">
        <v>21</v>
      </c>
      <c r="D1958" s="2">
        <v>1309.3104947943591</v>
      </c>
      <c r="E1958" s="2">
        <v>1370.8908489008511</v>
      </c>
      <c r="F1958" s="2">
        <v>1309.3104947943591</v>
      </c>
      <c r="G1958" s="2">
        <v>1341.65478515625</v>
      </c>
      <c r="H1958" s="3">
        <v>4167275</v>
      </c>
      <c r="I1958" s="4">
        <f t="shared" si="120"/>
        <v>0</v>
      </c>
      <c r="J1958" s="2">
        <f t="shared" si="121"/>
        <v>29.24</v>
      </c>
      <c r="K1958" s="7">
        <f t="shared" si="122"/>
        <v>46082</v>
      </c>
      <c r="L1958" t="str">
        <f t="shared" si="123"/>
        <v>Q1-2026</v>
      </c>
    </row>
    <row r="1959" spans="1:12">
      <c r="A1959" s="6">
        <v>46106</v>
      </c>
      <c r="B1959" t="s">
        <v>22</v>
      </c>
      <c r="C1959" t="s">
        <v>23</v>
      </c>
      <c r="D1959" s="2">
        <v>856.7831474745351</v>
      </c>
      <c r="E1959" s="2">
        <v>883.36971382159948</v>
      </c>
      <c r="F1959" s="2">
        <v>848.08660708063553</v>
      </c>
      <c r="G1959" s="2">
        <v>877.356689453125</v>
      </c>
      <c r="H1959" s="3">
        <v>15995501</v>
      </c>
      <c r="I1959" s="4">
        <f t="shared" si="120"/>
        <v>-1.02</v>
      </c>
      <c r="J1959" s="2">
        <f t="shared" si="121"/>
        <v>6.01</v>
      </c>
      <c r="K1959" s="7">
        <f t="shared" si="122"/>
        <v>46082</v>
      </c>
      <c r="L1959" t="str">
        <f t="shared" si="123"/>
        <v>Q1-2026</v>
      </c>
    </row>
    <row r="1960" spans="1:12">
      <c r="A1960" s="6">
        <v>46106</v>
      </c>
      <c r="B1960" t="s">
        <v>24</v>
      </c>
      <c r="C1960" t="s">
        <v>25</v>
      </c>
      <c r="D1960" s="2">
        <v>12424.22309901058</v>
      </c>
      <c r="E1960" s="2">
        <v>12652.926225623971</v>
      </c>
      <c r="F1960" s="2">
        <v>12381.65065552843</v>
      </c>
      <c r="G1960" s="2">
        <v>12584.6123046875</v>
      </c>
      <c r="H1960" s="3">
        <v>540649</v>
      </c>
      <c r="I1960" s="4">
        <f t="shared" si="120"/>
        <v>-0.34</v>
      </c>
      <c r="J1960" s="2">
        <f t="shared" si="121"/>
        <v>68.31</v>
      </c>
      <c r="K1960" s="7">
        <f t="shared" si="122"/>
        <v>46082</v>
      </c>
      <c r="L1960" t="str">
        <f t="shared" si="123"/>
        <v>Q1-2026</v>
      </c>
    </row>
    <row r="1961" spans="1:12">
      <c r="A1961" s="6">
        <v>46106</v>
      </c>
      <c r="B1961" t="s">
        <v>26</v>
      </c>
      <c r="C1961" t="s">
        <v>27</v>
      </c>
      <c r="D1961" s="2">
        <v>313.40025911385669</v>
      </c>
      <c r="E1961" s="2">
        <v>319.59884018810232</v>
      </c>
      <c r="F1961" s="2">
        <v>312.01178300652748</v>
      </c>
      <c r="G1961" s="2">
        <v>315.334228515625</v>
      </c>
      <c r="H1961" s="3">
        <v>7857557</v>
      </c>
      <c r="I1961" s="4">
        <f t="shared" si="120"/>
        <v>-0.44</v>
      </c>
      <c r="J1961" s="2">
        <f t="shared" si="121"/>
        <v>4.26</v>
      </c>
      <c r="K1961" s="7">
        <f t="shared" si="122"/>
        <v>46082</v>
      </c>
      <c r="L1961" t="str">
        <f t="shared" si="123"/>
        <v>Q1-2026</v>
      </c>
    </row>
    <row r="1962" spans="1:12">
      <c r="A1962" s="6">
        <v>46106</v>
      </c>
      <c r="B1962" t="s">
        <v>28</v>
      </c>
      <c r="C1962" t="s">
        <v>29</v>
      </c>
      <c r="D1962" s="2">
        <v>1762.0818569629701</v>
      </c>
      <c r="E1962" s="2">
        <v>1804.7700279040189</v>
      </c>
      <c r="F1962" s="2">
        <v>1750.911182086491</v>
      </c>
      <c r="G1962" s="2">
        <v>1790.706909179688</v>
      </c>
      <c r="H1962" s="3">
        <v>1900794</v>
      </c>
      <c r="I1962" s="4">
        <f t="shared" si="120"/>
        <v>-0.63</v>
      </c>
      <c r="J1962" s="2">
        <f t="shared" si="121"/>
        <v>14.06</v>
      </c>
      <c r="K1962" s="7">
        <f t="shared" si="122"/>
        <v>46082</v>
      </c>
      <c r="L1962" t="str">
        <f t="shared" si="123"/>
        <v>Q1-2026</v>
      </c>
    </row>
    <row r="1963" spans="1:12">
      <c r="A1963" s="6">
        <v>46106</v>
      </c>
      <c r="B1963" t="s">
        <v>30</v>
      </c>
      <c r="C1963" t="s">
        <v>31</v>
      </c>
      <c r="D1963" s="2">
        <v>2205.9611632253841</v>
      </c>
      <c r="E1963" s="2">
        <v>2270.0053687672471</v>
      </c>
      <c r="F1963" s="2">
        <v>2202.8877306912259</v>
      </c>
      <c r="G1963" s="2">
        <v>2250.673095703125</v>
      </c>
      <c r="H1963" s="3">
        <v>1270855</v>
      </c>
      <c r="I1963" s="4">
        <f t="shared" si="120"/>
        <v>-0.14000000000000001</v>
      </c>
      <c r="J1963" s="2">
        <f t="shared" si="121"/>
        <v>19.329999999999998</v>
      </c>
      <c r="K1963" s="7">
        <f t="shared" si="122"/>
        <v>46082</v>
      </c>
      <c r="L1963" t="str">
        <f t="shared" si="123"/>
        <v>Q1-2026</v>
      </c>
    </row>
    <row r="1964" spans="1:12">
      <c r="A1964" s="6">
        <v>46106</v>
      </c>
      <c r="B1964" t="s">
        <v>32</v>
      </c>
      <c r="C1964" t="s">
        <v>33</v>
      </c>
      <c r="D1964" s="2">
        <v>2076.874939459462</v>
      </c>
      <c r="E1964" s="2">
        <v>2133.0039707547162</v>
      </c>
      <c r="F1964" s="2">
        <v>2064.9957691670338</v>
      </c>
      <c r="G1964" s="2">
        <v>2113.304443359375</v>
      </c>
      <c r="H1964" s="3">
        <v>2069217</v>
      </c>
      <c r="I1964" s="4">
        <f t="shared" si="120"/>
        <v>-0.56999999999999995</v>
      </c>
      <c r="J1964" s="2">
        <f t="shared" si="121"/>
        <v>19.7</v>
      </c>
      <c r="K1964" s="7">
        <f t="shared" si="122"/>
        <v>46082</v>
      </c>
      <c r="L1964" t="str">
        <f t="shared" si="123"/>
        <v>Q1-2026</v>
      </c>
    </row>
    <row r="1965" spans="1:12">
      <c r="A1965" s="6">
        <v>46106</v>
      </c>
      <c r="B1965" t="s">
        <v>34</v>
      </c>
      <c r="C1965" t="s">
        <v>35</v>
      </c>
      <c r="D1965" s="2">
        <v>3535.3686156571589</v>
      </c>
      <c r="E1965" s="2">
        <v>3624.5971840303009</v>
      </c>
      <c r="F1965" s="2">
        <v>3511.6998946916519</v>
      </c>
      <c r="G1965" s="2">
        <v>3614.000732421875</v>
      </c>
      <c r="H1965" s="3">
        <v>5090205</v>
      </c>
      <c r="I1965" s="4">
        <f t="shared" si="120"/>
        <v>-0.67</v>
      </c>
      <c r="J1965" s="2">
        <f t="shared" si="121"/>
        <v>10.6</v>
      </c>
      <c r="K1965" s="7">
        <f t="shared" si="122"/>
        <v>46082</v>
      </c>
      <c r="L1965" t="str">
        <f t="shared" si="123"/>
        <v>Q1-2026</v>
      </c>
    </row>
    <row r="1966" spans="1:12">
      <c r="A1966" s="6">
        <v>46106</v>
      </c>
      <c r="B1966" t="s">
        <v>36</v>
      </c>
      <c r="C1966" t="s">
        <v>37</v>
      </c>
      <c r="D1966" s="2">
        <v>1199.075258182062</v>
      </c>
      <c r="E1966" s="2">
        <v>1238.045204072979</v>
      </c>
      <c r="F1966" s="2">
        <v>1197.076799418425</v>
      </c>
      <c r="G1966" s="2">
        <v>1221.158203125</v>
      </c>
      <c r="H1966" s="3">
        <v>9645791</v>
      </c>
      <c r="I1966" s="4">
        <f t="shared" si="120"/>
        <v>-0.17</v>
      </c>
      <c r="J1966" s="2">
        <f t="shared" si="121"/>
        <v>16.89</v>
      </c>
      <c r="K1966" s="7">
        <f t="shared" si="122"/>
        <v>46082</v>
      </c>
      <c r="L1966" t="str">
        <f t="shared" si="123"/>
        <v>Q1-2026</v>
      </c>
    </row>
    <row r="1967" spans="1:12">
      <c r="A1967" s="6">
        <v>46108</v>
      </c>
      <c r="B1967" t="s">
        <v>8</v>
      </c>
      <c r="C1967" t="s">
        <v>9</v>
      </c>
      <c r="D1967" s="2">
        <v>1394.5521930958421</v>
      </c>
      <c r="E1967" s="2">
        <v>1398.235116023098</v>
      </c>
      <c r="F1967" s="2">
        <v>1338.809921280448</v>
      </c>
      <c r="G1967" s="2">
        <v>1341.895629882812</v>
      </c>
      <c r="H1967" s="3">
        <v>23266517</v>
      </c>
      <c r="I1967" s="4">
        <f t="shared" si="120"/>
        <v>-4</v>
      </c>
      <c r="J1967" s="2">
        <f t="shared" si="121"/>
        <v>56.34</v>
      </c>
      <c r="K1967" s="7">
        <f t="shared" si="122"/>
        <v>46082</v>
      </c>
      <c r="L1967" t="str">
        <f t="shared" si="123"/>
        <v>Q1-2026</v>
      </c>
    </row>
    <row r="1968" spans="1:12">
      <c r="A1968" s="6">
        <v>46108</v>
      </c>
      <c r="B1968" t="s">
        <v>10</v>
      </c>
      <c r="C1968" t="s">
        <v>11</v>
      </c>
      <c r="D1968" s="2">
        <v>2358.8080275261391</v>
      </c>
      <c r="E1968" s="2">
        <v>2376.6668272056968</v>
      </c>
      <c r="F1968" s="2">
        <v>2340.262645780238</v>
      </c>
      <c r="G1968" s="2">
        <v>2344.97265625</v>
      </c>
      <c r="H1968" s="3">
        <v>4979411</v>
      </c>
      <c r="I1968" s="4">
        <f t="shared" si="120"/>
        <v>-0.79</v>
      </c>
      <c r="J1968" s="2">
        <f t="shared" si="121"/>
        <v>31.69</v>
      </c>
      <c r="K1968" s="7">
        <f t="shared" si="122"/>
        <v>46082</v>
      </c>
      <c r="L1968" t="str">
        <f t="shared" si="123"/>
        <v>Q1-2026</v>
      </c>
    </row>
    <row r="1969" spans="1:12">
      <c r="A1969" s="6">
        <v>46108</v>
      </c>
      <c r="B1969" t="s">
        <v>12</v>
      </c>
      <c r="C1969" t="s">
        <v>13</v>
      </c>
      <c r="D1969" s="2">
        <v>1257.978090495805</v>
      </c>
      <c r="E1969" s="2">
        <v>1267.3748481809971</v>
      </c>
      <c r="F1969" s="2">
        <v>1236.4440731892589</v>
      </c>
      <c r="G1969" s="2">
        <v>1242.806396484375</v>
      </c>
      <c r="H1969" s="3">
        <v>13092541</v>
      </c>
      <c r="I1969" s="4">
        <f t="shared" si="120"/>
        <v>-1.71</v>
      </c>
      <c r="J1969" s="2">
        <f t="shared" si="121"/>
        <v>24.57</v>
      </c>
      <c r="K1969" s="7">
        <f t="shared" si="122"/>
        <v>46082</v>
      </c>
      <c r="L1969" t="str">
        <f t="shared" si="123"/>
        <v>Q1-2026</v>
      </c>
    </row>
    <row r="1970" spans="1:12">
      <c r="A1970" s="6">
        <v>46108</v>
      </c>
      <c r="B1970" t="s">
        <v>14</v>
      </c>
      <c r="C1970" t="s">
        <v>15</v>
      </c>
      <c r="D1970" s="2">
        <v>760.6197661066401</v>
      </c>
      <c r="E1970" s="2">
        <v>762.29211849525382</v>
      </c>
      <c r="F1970" s="2">
        <v>742.27318438942586</v>
      </c>
      <c r="G1970" s="2">
        <v>743.8963623046875</v>
      </c>
      <c r="H1970" s="3">
        <v>65485199</v>
      </c>
      <c r="I1970" s="4">
        <f t="shared" si="120"/>
        <v>-2.41</v>
      </c>
      <c r="J1970" s="2">
        <f t="shared" si="121"/>
        <v>18.399999999999999</v>
      </c>
      <c r="K1970" s="7">
        <f t="shared" si="122"/>
        <v>46082</v>
      </c>
      <c r="L1970" t="str">
        <f t="shared" si="123"/>
        <v>Q1-2026</v>
      </c>
    </row>
    <row r="1971" spans="1:12">
      <c r="A1971" s="6">
        <v>46108</v>
      </c>
      <c r="B1971" t="s">
        <v>16</v>
      </c>
      <c r="C1971" t="s">
        <v>17</v>
      </c>
      <c r="D1971" s="2">
        <v>1245.499833090769</v>
      </c>
      <c r="E1971" s="2">
        <v>1250.358893273775</v>
      </c>
      <c r="F1971" s="2">
        <v>1219.816333023284</v>
      </c>
      <c r="G1971" s="2">
        <v>1223.485473632812</v>
      </c>
      <c r="H1971" s="3">
        <v>23630905</v>
      </c>
      <c r="I1971" s="4">
        <f t="shared" si="120"/>
        <v>-2.06</v>
      </c>
      <c r="J1971" s="2">
        <f t="shared" si="121"/>
        <v>26.87</v>
      </c>
      <c r="K1971" s="7">
        <f t="shared" si="122"/>
        <v>46082</v>
      </c>
      <c r="L1971" t="str">
        <f t="shared" si="123"/>
        <v>Q1-2026</v>
      </c>
    </row>
    <row r="1972" spans="1:12">
      <c r="A1972" s="6">
        <v>46108</v>
      </c>
      <c r="B1972" t="s">
        <v>18</v>
      </c>
      <c r="C1972" t="s">
        <v>19</v>
      </c>
      <c r="D1972" s="2">
        <v>186.91528404898321</v>
      </c>
      <c r="E1972" s="2">
        <v>190.11868889002051</v>
      </c>
      <c r="F1972" s="2">
        <v>185.77826059250631</v>
      </c>
      <c r="G1972" s="2">
        <v>189.4364929199219</v>
      </c>
      <c r="H1972" s="3">
        <v>26269256</v>
      </c>
      <c r="I1972" s="4">
        <f t="shared" si="120"/>
        <v>-0.61</v>
      </c>
      <c r="J1972" s="2">
        <f t="shared" si="121"/>
        <v>0.68</v>
      </c>
      <c r="K1972" s="7">
        <f t="shared" si="122"/>
        <v>46082</v>
      </c>
      <c r="L1972" t="str">
        <f t="shared" si="123"/>
        <v>Q1-2026</v>
      </c>
    </row>
    <row r="1973" spans="1:12">
      <c r="A1973" s="6">
        <v>46108</v>
      </c>
      <c r="B1973" t="s">
        <v>20</v>
      </c>
      <c r="C1973" t="s">
        <v>21</v>
      </c>
      <c r="D1973" s="2">
        <v>1337.478083932732</v>
      </c>
      <c r="E1973" s="2">
        <v>1367.0055831374009</v>
      </c>
      <c r="F1973" s="2">
        <v>1320.7717965419581</v>
      </c>
      <c r="G1973" s="2">
        <v>1325.23974609375</v>
      </c>
      <c r="H1973" s="3">
        <v>8956139</v>
      </c>
      <c r="I1973" s="4">
        <f t="shared" si="120"/>
        <v>-1.25</v>
      </c>
      <c r="J1973" s="2">
        <f t="shared" si="121"/>
        <v>41.77</v>
      </c>
      <c r="K1973" s="7">
        <f t="shared" si="122"/>
        <v>46082</v>
      </c>
      <c r="L1973" t="str">
        <f t="shared" si="123"/>
        <v>Q1-2026</v>
      </c>
    </row>
    <row r="1974" spans="1:12">
      <c r="A1974" s="6">
        <v>46108</v>
      </c>
      <c r="B1974" t="s">
        <v>22</v>
      </c>
      <c r="C1974" t="s">
        <v>23</v>
      </c>
      <c r="D1974" s="2">
        <v>869.65404393359506</v>
      </c>
      <c r="E1974" s="2">
        <v>869.80315174888449</v>
      </c>
      <c r="F1974" s="2">
        <v>836.1102450961564</v>
      </c>
      <c r="G1974" s="2">
        <v>838.6446533203125</v>
      </c>
      <c r="H1974" s="3">
        <v>11282824</v>
      </c>
      <c r="I1974" s="4">
        <f t="shared" si="120"/>
        <v>-3.86</v>
      </c>
      <c r="J1974" s="2">
        <f t="shared" si="121"/>
        <v>31.16</v>
      </c>
      <c r="K1974" s="7">
        <f t="shared" si="122"/>
        <v>46082</v>
      </c>
      <c r="L1974" t="str">
        <f t="shared" si="123"/>
        <v>Q1-2026</v>
      </c>
    </row>
    <row r="1975" spans="1:12">
      <c r="A1975" s="6">
        <v>46108</v>
      </c>
      <c r="B1975" t="s">
        <v>24</v>
      </c>
      <c r="C1975" t="s">
        <v>25</v>
      </c>
      <c r="D1975" s="2">
        <v>12500.456933979989</v>
      </c>
      <c r="E1975" s="2">
        <v>12520.25806962704</v>
      </c>
      <c r="F1975" s="2">
        <v>12219.28080779194</v>
      </c>
      <c r="G1975" s="2">
        <v>12265.8134765625</v>
      </c>
      <c r="H1975" s="3">
        <v>775339</v>
      </c>
      <c r="I1975" s="4">
        <f t="shared" si="120"/>
        <v>-2.25</v>
      </c>
      <c r="J1975" s="2">
        <f t="shared" si="121"/>
        <v>254.44</v>
      </c>
      <c r="K1975" s="7">
        <f t="shared" si="122"/>
        <v>46082</v>
      </c>
      <c r="L1975" t="str">
        <f t="shared" si="123"/>
        <v>Q1-2026</v>
      </c>
    </row>
    <row r="1976" spans="1:12">
      <c r="A1976" s="6">
        <v>46108</v>
      </c>
      <c r="B1976" t="s">
        <v>26</v>
      </c>
      <c r="C1976" t="s">
        <v>27</v>
      </c>
      <c r="D1976" s="2">
        <v>309.92904260765039</v>
      </c>
      <c r="E1976" s="2">
        <v>310.27616918867272</v>
      </c>
      <c r="F1976" s="2">
        <v>298.57323037990301</v>
      </c>
      <c r="G1976" s="2">
        <v>300.70556640625</v>
      </c>
      <c r="H1976" s="3">
        <v>19009638</v>
      </c>
      <c r="I1976" s="4">
        <f t="shared" si="120"/>
        <v>-3.66</v>
      </c>
      <c r="J1976" s="2">
        <f t="shared" si="121"/>
        <v>9.57</v>
      </c>
      <c r="K1976" s="7">
        <f t="shared" si="122"/>
        <v>46082</v>
      </c>
      <c r="L1976" t="str">
        <f t="shared" si="123"/>
        <v>Q1-2026</v>
      </c>
    </row>
    <row r="1977" spans="1:12">
      <c r="A1977" s="6">
        <v>46108</v>
      </c>
      <c r="B1977" t="s">
        <v>28</v>
      </c>
      <c r="C1977" t="s">
        <v>29</v>
      </c>
      <c r="D1977" s="2">
        <v>1780.3341252885441</v>
      </c>
      <c r="E1977" s="2">
        <v>1814.2452514845161</v>
      </c>
      <c r="F1977" s="2">
        <v>1780.3341252885441</v>
      </c>
      <c r="G1977" s="2">
        <v>1788.91162109375</v>
      </c>
      <c r="H1977" s="3">
        <v>2975423</v>
      </c>
      <c r="I1977" s="4">
        <f t="shared" si="120"/>
        <v>0</v>
      </c>
      <c r="J1977" s="2">
        <f t="shared" si="121"/>
        <v>25.33</v>
      </c>
      <c r="K1977" s="7">
        <f t="shared" si="122"/>
        <v>46082</v>
      </c>
      <c r="L1977" t="str">
        <f t="shared" si="123"/>
        <v>Q1-2026</v>
      </c>
    </row>
    <row r="1978" spans="1:12">
      <c r="A1978" s="6">
        <v>46108</v>
      </c>
      <c r="B1978" t="s">
        <v>30</v>
      </c>
      <c r="C1978" t="s">
        <v>31</v>
      </c>
      <c r="D1978" s="2">
        <v>2226.9788836137618</v>
      </c>
      <c r="E1978" s="2">
        <v>2249.4835850427639</v>
      </c>
      <c r="F1978" s="2">
        <v>2182.1677120818681</v>
      </c>
      <c r="G1978" s="2">
        <v>2188.413330078125</v>
      </c>
      <c r="H1978" s="3">
        <v>1089010</v>
      </c>
      <c r="I1978" s="4">
        <f t="shared" si="120"/>
        <v>-2.0099999999999998</v>
      </c>
      <c r="J1978" s="2">
        <f t="shared" si="121"/>
        <v>61.07</v>
      </c>
      <c r="K1978" s="7">
        <f t="shared" si="122"/>
        <v>46082</v>
      </c>
      <c r="L1978" t="str">
        <f t="shared" si="123"/>
        <v>Q1-2026</v>
      </c>
    </row>
    <row r="1979" spans="1:12">
      <c r="A1979" s="6">
        <v>46108</v>
      </c>
      <c r="B1979" t="s">
        <v>32</v>
      </c>
      <c r="C1979" t="s">
        <v>33</v>
      </c>
      <c r="D1979" s="2">
        <v>2101.9202145719491</v>
      </c>
      <c r="E1979" s="2">
        <v>2105.5829103672909</v>
      </c>
      <c r="F1979" s="2">
        <v>2048.6618866972781</v>
      </c>
      <c r="G1979" s="2">
        <v>2053.512451171875</v>
      </c>
      <c r="H1979" s="3">
        <v>2789151</v>
      </c>
      <c r="I1979" s="4">
        <f t="shared" si="120"/>
        <v>-2.5299999999999998</v>
      </c>
      <c r="J1979" s="2">
        <f t="shared" si="121"/>
        <v>52.07</v>
      </c>
      <c r="K1979" s="7">
        <f t="shared" si="122"/>
        <v>46082</v>
      </c>
      <c r="L1979" t="str">
        <f t="shared" si="123"/>
        <v>Q1-2026</v>
      </c>
    </row>
    <row r="1980" spans="1:12">
      <c r="A1980" s="6">
        <v>46108</v>
      </c>
      <c r="B1980" t="s">
        <v>34</v>
      </c>
      <c r="C1980" t="s">
        <v>35</v>
      </c>
      <c r="D1980" s="2">
        <v>3604.790732013596</v>
      </c>
      <c r="E1980" s="2">
        <v>3604.790732013596</v>
      </c>
      <c r="F1980" s="2">
        <v>3512.690309464896</v>
      </c>
      <c r="G1980" s="2">
        <v>3529.625</v>
      </c>
      <c r="H1980" s="3">
        <v>3991388</v>
      </c>
      <c r="I1980" s="4">
        <f t="shared" si="120"/>
        <v>-2.5499999999999998</v>
      </c>
      <c r="J1980" s="2">
        <f t="shared" si="121"/>
        <v>75.17</v>
      </c>
      <c r="K1980" s="7">
        <f t="shared" si="122"/>
        <v>46082</v>
      </c>
      <c r="L1980" t="str">
        <f t="shared" si="123"/>
        <v>Q1-2026</v>
      </c>
    </row>
    <row r="1981" spans="1:12">
      <c r="A1981" s="6">
        <v>46108</v>
      </c>
      <c r="B1981" t="s">
        <v>36</v>
      </c>
      <c r="C1981" t="s">
        <v>37</v>
      </c>
      <c r="D1981" s="2">
        <v>1208.567975502476</v>
      </c>
      <c r="E1981" s="2">
        <v>1212.5648931560611</v>
      </c>
      <c r="F1981" s="2">
        <v>1201.0737549020059</v>
      </c>
      <c r="G1981" s="2">
        <v>1204.271240234375</v>
      </c>
      <c r="H1981" s="3">
        <v>9479301</v>
      </c>
      <c r="I1981" s="4">
        <f t="shared" si="120"/>
        <v>-0.62</v>
      </c>
      <c r="J1981" s="2">
        <f t="shared" si="121"/>
        <v>8.2899999999999991</v>
      </c>
      <c r="K1981" s="7">
        <f t="shared" si="122"/>
        <v>46082</v>
      </c>
      <c r="L1981" t="str">
        <f t="shared" si="123"/>
        <v>Q1-2026</v>
      </c>
    </row>
    <row r="1982" spans="1:12">
      <c r="A1982" s="6">
        <v>46111</v>
      </c>
      <c r="B1982" t="s">
        <v>8</v>
      </c>
      <c r="C1982" t="s">
        <v>9</v>
      </c>
      <c r="D1982" s="2">
        <v>1328.8559021708061</v>
      </c>
      <c r="E1982" s="2">
        <v>1358.717832556667</v>
      </c>
      <c r="F1982" s="2">
        <v>1327.9600199575291</v>
      </c>
      <c r="G1982" s="2">
        <v>1337.714965820312</v>
      </c>
      <c r="H1982" s="3">
        <v>24393861</v>
      </c>
      <c r="I1982" s="4">
        <f t="shared" si="120"/>
        <v>-7.0000000000000007E-2</v>
      </c>
      <c r="J1982" s="2">
        <f t="shared" si="121"/>
        <v>21</v>
      </c>
      <c r="K1982" s="7">
        <f t="shared" si="122"/>
        <v>46082</v>
      </c>
      <c r="L1982" t="str">
        <f t="shared" si="123"/>
        <v>Q1-2026</v>
      </c>
    </row>
    <row r="1983" spans="1:12">
      <c r="A1983" s="6">
        <v>46111</v>
      </c>
      <c r="B1983" t="s">
        <v>10</v>
      </c>
      <c r="C1983" t="s">
        <v>11</v>
      </c>
      <c r="D1983" s="2">
        <v>2330.5484146912081</v>
      </c>
      <c r="E1983" s="2">
        <v>2353.018764954119</v>
      </c>
      <c r="F1983" s="2">
        <v>2302.190371743895</v>
      </c>
      <c r="G1983" s="2">
        <v>2314.652099609375</v>
      </c>
      <c r="H1983" s="3">
        <v>6804756</v>
      </c>
      <c r="I1983" s="4">
        <f t="shared" si="120"/>
        <v>-1.22</v>
      </c>
      <c r="J1983" s="2">
        <f t="shared" si="121"/>
        <v>38.369999999999997</v>
      </c>
      <c r="K1983" s="7">
        <f t="shared" si="122"/>
        <v>46082</v>
      </c>
      <c r="L1983" t="str">
        <f t="shared" si="123"/>
        <v>Q1-2026</v>
      </c>
    </row>
    <row r="1984" spans="1:12">
      <c r="A1984" s="6">
        <v>46111</v>
      </c>
      <c r="B1984" t="s">
        <v>12</v>
      </c>
      <c r="C1984" t="s">
        <v>13</v>
      </c>
      <c r="D1984" s="2">
        <v>1223.52369443768</v>
      </c>
      <c r="E1984" s="2">
        <v>1238.6953882487071</v>
      </c>
      <c r="F1984" s="2">
        <v>1216.6719617488291</v>
      </c>
      <c r="G1984" s="2">
        <v>1224.110961914062</v>
      </c>
      <c r="H1984" s="3">
        <v>14108486</v>
      </c>
      <c r="I1984" s="4">
        <f t="shared" si="120"/>
        <v>-0.56000000000000005</v>
      </c>
      <c r="J1984" s="2">
        <f t="shared" si="121"/>
        <v>14.58</v>
      </c>
      <c r="K1984" s="7">
        <f t="shared" si="122"/>
        <v>46082</v>
      </c>
      <c r="L1984" t="str">
        <f t="shared" si="123"/>
        <v>Q1-2026</v>
      </c>
    </row>
    <row r="1985" spans="1:12">
      <c r="A1985" s="6">
        <v>46111</v>
      </c>
      <c r="B1985" t="s">
        <v>14</v>
      </c>
      <c r="C1985" t="s">
        <v>15</v>
      </c>
      <c r="D1985" s="2">
        <v>733.07533338891176</v>
      </c>
      <c r="E1985" s="2">
        <v>738.78095324308981</v>
      </c>
      <c r="F1985" s="2">
        <v>714.82716073333631</v>
      </c>
      <c r="G1985" s="2">
        <v>719.64739990234375</v>
      </c>
      <c r="H1985" s="3">
        <v>103500135</v>
      </c>
      <c r="I1985" s="4">
        <f t="shared" si="120"/>
        <v>-2.4900000000000002</v>
      </c>
      <c r="J1985" s="2">
        <f t="shared" si="121"/>
        <v>19.13</v>
      </c>
      <c r="K1985" s="7">
        <f t="shared" si="122"/>
        <v>46082</v>
      </c>
      <c r="L1985" t="str">
        <f t="shared" si="123"/>
        <v>Q1-2026</v>
      </c>
    </row>
    <row r="1986" spans="1:12">
      <c r="A1986" s="6">
        <v>46111</v>
      </c>
      <c r="B1986" t="s">
        <v>16</v>
      </c>
      <c r="C1986" t="s">
        <v>17</v>
      </c>
      <c r="D1986" s="2">
        <v>1206.330085599034</v>
      </c>
      <c r="E1986" s="2">
        <v>1212.3790655174359</v>
      </c>
      <c r="F1986" s="2">
        <v>1190.3647054702001</v>
      </c>
      <c r="G1986" s="2">
        <v>1195.818725585938</v>
      </c>
      <c r="H1986" s="3">
        <v>23952775</v>
      </c>
      <c r="I1986" s="4">
        <f t="shared" ref="I1986:I2049" si="124">ROUND(((F1986-D1986)/D1986)*100, 2)</f>
        <v>-1.32</v>
      </c>
      <c r="J1986" s="2">
        <f t="shared" ref="J1986:J2049" si="125">ROUND(E1986-G1986, 2)</f>
        <v>16.559999999999999</v>
      </c>
      <c r="K1986" s="7">
        <f t="shared" ref="K1986:K2049" si="126">DATE(YEAR(A1986),MONTH(A1986),1)</f>
        <v>46082</v>
      </c>
      <c r="L1986" t="str">
        <f t="shared" ref="L1986:L2049" si="127">"Q"&amp;INT((MONTH(A1986)-1)/3)+1&amp;"-"&amp;YEAR(A1986)</f>
        <v>Q1-2026</v>
      </c>
    </row>
    <row r="1987" spans="1:12">
      <c r="A1987" s="6">
        <v>46111</v>
      </c>
      <c r="B1987" t="s">
        <v>18</v>
      </c>
      <c r="C1987" t="s">
        <v>19</v>
      </c>
      <c r="D1987" s="2">
        <v>187.84468006738419</v>
      </c>
      <c r="E1987" s="2">
        <v>189.46616094402069</v>
      </c>
      <c r="F1987" s="2">
        <v>184.39408294994581</v>
      </c>
      <c r="G1987" s="2">
        <v>185.5212097167969</v>
      </c>
      <c r="H1987" s="3">
        <v>27946986</v>
      </c>
      <c r="I1987" s="4">
        <f t="shared" si="124"/>
        <v>-1.84</v>
      </c>
      <c r="J1987" s="2">
        <f t="shared" si="125"/>
        <v>3.94</v>
      </c>
      <c r="K1987" s="7">
        <f t="shared" si="126"/>
        <v>46082</v>
      </c>
      <c r="L1987" t="str">
        <f t="shared" si="127"/>
        <v>Q1-2026</v>
      </c>
    </row>
    <row r="1988" spans="1:12">
      <c r="A1988" s="6">
        <v>46111</v>
      </c>
      <c r="B1988" t="s">
        <v>20</v>
      </c>
      <c r="C1988" t="s">
        <v>21</v>
      </c>
      <c r="D1988" s="2">
        <v>1311.2530477771161</v>
      </c>
      <c r="E1988" s="2">
        <v>1320.1889470463921</v>
      </c>
      <c r="F1988" s="2">
        <v>1297.8490803064849</v>
      </c>
      <c r="G1988" s="2">
        <v>1303.094116210938</v>
      </c>
      <c r="H1988" s="3">
        <v>5541018</v>
      </c>
      <c r="I1988" s="4">
        <f t="shared" si="124"/>
        <v>-1.02</v>
      </c>
      <c r="J1988" s="2">
        <f t="shared" si="125"/>
        <v>17.09</v>
      </c>
      <c r="K1988" s="7">
        <f t="shared" si="126"/>
        <v>46082</v>
      </c>
      <c r="L1988" t="str">
        <f t="shared" si="127"/>
        <v>Q1-2026</v>
      </c>
    </row>
    <row r="1989" spans="1:12">
      <c r="A1989" s="6">
        <v>46111</v>
      </c>
      <c r="B1989" t="s">
        <v>22</v>
      </c>
      <c r="C1989" t="s">
        <v>23</v>
      </c>
      <c r="D1989" s="2">
        <v>825.92285294718977</v>
      </c>
      <c r="E1989" s="2">
        <v>829.79904944613827</v>
      </c>
      <c r="F1989" s="2">
        <v>794.11836282166621</v>
      </c>
      <c r="G1989" s="2">
        <v>796.65277099609375</v>
      </c>
      <c r="H1989" s="3">
        <v>20377282</v>
      </c>
      <c r="I1989" s="4">
        <f t="shared" si="124"/>
        <v>-3.85</v>
      </c>
      <c r="J1989" s="2">
        <f t="shared" si="125"/>
        <v>33.15</v>
      </c>
      <c r="K1989" s="7">
        <f t="shared" si="126"/>
        <v>46082</v>
      </c>
      <c r="L1989" t="str">
        <f t="shared" si="127"/>
        <v>Q1-2026</v>
      </c>
    </row>
    <row r="1990" spans="1:12">
      <c r="A1990" s="6">
        <v>46111</v>
      </c>
      <c r="B1990" t="s">
        <v>24</v>
      </c>
      <c r="C1990" t="s">
        <v>25</v>
      </c>
      <c r="D1990" s="2">
        <v>12177.69833122562</v>
      </c>
      <c r="E1990" s="2">
        <v>12300.46537131277</v>
      </c>
      <c r="F1990" s="2">
        <v>12079.68271051088</v>
      </c>
      <c r="G1990" s="2">
        <v>12183.638671875</v>
      </c>
      <c r="H1990" s="3">
        <v>635675</v>
      </c>
      <c r="I1990" s="4">
        <f t="shared" si="124"/>
        <v>-0.8</v>
      </c>
      <c r="J1990" s="2">
        <f t="shared" si="125"/>
        <v>116.83</v>
      </c>
      <c r="K1990" s="7">
        <f t="shared" si="126"/>
        <v>46082</v>
      </c>
      <c r="L1990" t="str">
        <f t="shared" si="127"/>
        <v>Q1-2026</v>
      </c>
    </row>
    <row r="1991" spans="1:12">
      <c r="A1991" s="6">
        <v>46111</v>
      </c>
      <c r="B1991" t="s">
        <v>26</v>
      </c>
      <c r="C1991" t="s">
        <v>27</v>
      </c>
      <c r="D1991" s="2">
        <v>294.80450254289099</v>
      </c>
      <c r="E1991" s="2">
        <v>301.00308333647581</v>
      </c>
      <c r="F1991" s="2">
        <v>291.87876030171589</v>
      </c>
      <c r="G1991" s="2">
        <v>293.76315307617188</v>
      </c>
      <c r="H1991" s="3">
        <v>16410266</v>
      </c>
      <c r="I1991" s="4">
        <f t="shared" si="124"/>
        <v>-0.99</v>
      </c>
      <c r="J1991" s="2">
        <f t="shared" si="125"/>
        <v>7.24</v>
      </c>
      <c r="K1991" s="7">
        <f t="shared" si="126"/>
        <v>46082</v>
      </c>
      <c r="L1991" t="str">
        <f t="shared" si="127"/>
        <v>Q1-2026</v>
      </c>
    </row>
    <row r="1992" spans="1:12">
      <c r="A1992" s="6">
        <v>46111</v>
      </c>
      <c r="B1992" t="s">
        <v>28</v>
      </c>
      <c r="C1992" t="s">
        <v>29</v>
      </c>
      <c r="D1992" s="2">
        <v>1782.129413447178</v>
      </c>
      <c r="E1992" s="2">
        <v>1785.3210000540471</v>
      </c>
      <c r="F1992" s="2">
        <v>1745.525272965167</v>
      </c>
      <c r="G1992" s="2">
        <v>1752.606689453125</v>
      </c>
      <c r="H1992" s="3">
        <v>4182503</v>
      </c>
      <c r="I1992" s="4">
        <f t="shared" si="124"/>
        <v>-2.0499999999999998</v>
      </c>
      <c r="J1992" s="2">
        <f t="shared" si="125"/>
        <v>32.71</v>
      </c>
      <c r="K1992" s="7">
        <f t="shared" si="126"/>
        <v>46082</v>
      </c>
      <c r="L1992" t="str">
        <f t="shared" si="127"/>
        <v>Q1-2026</v>
      </c>
    </row>
    <row r="1993" spans="1:12">
      <c r="A1993" s="6">
        <v>46111</v>
      </c>
      <c r="B1993" t="s">
        <v>30</v>
      </c>
      <c r="C1993" t="s">
        <v>31</v>
      </c>
      <c r="D1993" s="2">
        <v>2166.5033802872831</v>
      </c>
      <c r="E1993" s="2">
        <v>2183.9518501917291</v>
      </c>
      <c r="F1993" s="2">
        <v>2132.4983603496312</v>
      </c>
      <c r="G1993" s="2">
        <v>2146.576171875</v>
      </c>
      <c r="H1993" s="3">
        <v>1513565</v>
      </c>
      <c r="I1993" s="4">
        <f t="shared" si="124"/>
        <v>-1.57</v>
      </c>
      <c r="J1993" s="2">
        <f t="shared" si="125"/>
        <v>37.380000000000003</v>
      </c>
      <c r="K1993" s="7">
        <f t="shared" si="126"/>
        <v>46082</v>
      </c>
      <c r="L1993" t="str">
        <f t="shared" si="127"/>
        <v>Q1-2026</v>
      </c>
    </row>
    <row r="1994" spans="1:12">
      <c r="A1994" s="6">
        <v>46111</v>
      </c>
      <c r="B1994" t="s">
        <v>32</v>
      </c>
      <c r="C1994" t="s">
        <v>33</v>
      </c>
      <c r="D1994" s="2">
        <v>2043.2172992976209</v>
      </c>
      <c r="E1994" s="2">
        <v>2061.4319304866399</v>
      </c>
      <c r="F1994" s="2">
        <v>2025.5964816164351</v>
      </c>
      <c r="G1994" s="2">
        <v>2034.505859375</v>
      </c>
      <c r="H1994" s="3">
        <v>2482193</v>
      </c>
      <c r="I1994" s="4">
        <f t="shared" si="124"/>
        <v>-0.86</v>
      </c>
      <c r="J1994" s="2">
        <f t="shared" si="125"/>
        <v>26.93</v>
      </c>
      <c r="K1994" s="7">
        <f t="shared" si="126"/>
        <v>46082</v>
      </c>
      <c r="L1994" t="str">
        <f t="shared" si="127"/>
        <v>Q1-2026</v>
      </c>
    </row>
    <row r="1995" spans="1:12">
      <c r="A1995" s="6">
        <v>46111</v>
      </c>
      <c r="B1995" t="s">
        <v>34</v>
      </c>
      <c r="C1995" t="s">
        <v>35</v>
      </c>
      <c r="D1995" s="2">
        <v>3466.1448844036918</v>
      </c>
      <c r="E1995" s="2">
        <v>3509.323243103895</v>
      </c>
      <c r="F1995" s="2">
        <v>3457.33106983784</v>
      </c>
      <c r="G1995" s="2">
        <v>3470.205322265625</v>
      </c>
      <c r="H1995" s="3">
        <v>3549203</v>
      </c>
      <c r="I1995" s="4">
        <f t="shared" si="124"/>
        <v>-0.25</v>
      </c>
      <c r="J1995" s="2">
        <f t="shared" si="125"/>
        <v>39.119999999999997</v>
      </c>
      <c r="K1995" s="7">
        <f t="shared" si="126"/>
        <v>46082</v>
      </c>
      <c r="L1995" t="str">
        <f t="shared" si="127"/>
        <v>Q1-2026</v>
      </c>
    </row>
    <row r="1996" spans="1:12">
      <c r="A1996" s="6">
        <v>46111</v>
      </c>
      <c r="B1996" t="s">
        <v>36</v>
      </c>
      <c r="C1996" t="s">
        <v>37</v>
      </c>
      <c r="D1996" s="2">
        <v>1184.186737908751</v>
      </c>
      <c r="E1996" s="2">
        <v>1187.883959875634</v>
      </c>
      <c r="F1996" s="2">
        <v>1153.010829409666</v>
      </c>
      <c r="G1996" s="2">
        <v>1160.405151367188</v>
      </c>
      <c r="H1996" s="3">
        <v>18534887</v>
      </c>
      <c r="I1996" s="4">
        <f t="shared" si="124"/>
        <v>-2.63</v>
      </c>
      <c r="J1996" s="2">
        <f t="shared" si="125"/>
        <v>27.48</v>
      </c>
      <c r="K1996" s="7">
        <f t="shared" si="126"/>
        <v>46082</v>
      </c>
      <c r="L1996" t="str">
        <f t="shared" si="127"/>
        <v>Q1-2026</v>
      </c>
    </row>
    <row r="1997" spans="1:12">
      <c r="A1997" s="6">
        <v>46113</v>
      </c>
      <c r="B1997" t="s">
        <v>8</v>
      </c>
      <c r="C1997" t="s">
        <v>9</v>
      </c>
      <c r="D1997" s="2">
        <v>1377.8294025098969</v>
      </c>
      <c r="E1997" s="2">
        <v>1378.0285549484649</v>
      </c>
      <c r="F1997" s="2">
        <v>1356.6275051009461</v>
      </c>
      <c r="G1997" s="2">
        <v>1362.8984375</v>
      </c>
      <c r="H1997" s="3">
        <v>14404619</v>
      </c>
      <c r="I1997" s="4">
        <f t="shared" si="124"/>
        <v>-1.54</v>
      </c>
      <c r="J1997" s="2">
        <f t="shared" si="125"/>
        <v>15.13</v>
      </c>
      <c r="K1997" s="7">
        <f t="shared" si="126"/>
        <v>46113</v>
      </c>
      <c r="L1997" t="str">
        <f t="shared" si="127"/>
        <v>Q2-2026</v>
      </c>
    </row>
    <row r="1998" spans="1:12">
      <c r="A1998" s="6">
        <v>46113</v>
      </c>
      <c r="B1998" t="s">
        <v>10</v>
      </c>
      <c r="C1998" t="s">
        <v>11</v>
      </c>
      <c r="D1998" s="2">
        <v>2383.4372287798028</v>
      </c>
      <c r="E1998" s="2">
        <v>2425.630642051739</v>
      </c>
      <c r="F1998" s="2">
        <v>2352.920501495902</v>
      </c>
      <c r="G1998" s="2">
        <v>2363.02734375</v>
      </c>
      <c r="H1998" s="3">
        <v>4132661</v>
      </c>
      <c r="I1998" s="4">
        <f t="shared" si="124"/>
        <v>-1.28</v>
      </c>
      <c r="J1998" s="2">
        <f t="shared" si="125"/>
        <v>62.6</v>
      </c>
      <c r="K1998" s="7">
        <f t="shared" si="126"/>
        <v>46113</v>
      </c>
      <c r="L1998" t="str">
        <f t="shared" si="127"/>
        <v>Q2-2026</v>
      </c>
    </row>
    <row r="1999" spans="1:12">
      <c r="A1999" s="6">
        <v>46113</v>
      </c>
      <c r="B1999" t="s">
        <v>12</v>
      </c>
      <c r="C1999" t="s">
        <v>13</v>
      </c>
      <c r="D1999" s="2">
        <v>1262.676480455448</v>
      </c>
      <c r="E1999" s="2">
        <v>1275.4011271577131</v>
      </c>
      <c r="F1999" s="2">
        <v>1242.6106914249549</v>
      </c>
      <c r="G1999" s="2">
        <v>1248.679321289062</v>
      </c>
      <c r="H1999" s="3">
        <v>8137156</v>
      </c>
      <c r="I1999" s="4">
        <f t="shared" si="124"/>
        <v>-1.59</v>
      </c>
      <c r="J1999" s="2">
        <f t="shared" si="125"/>
        <v>26.72</v>
      </c>
      <c r="K1999" s="7">
        <f t="shared" si="126"/>
        <v>46113</v>
      </c>
      <c r="L1999" t="str">
        <f t="shared" si="127"/>
        <v>Q2-2026</v>
      </c>
    </row>
    <row r="2000" spans="1:12">
      <c r="A2000" s="6">
        <v>46113</v>
      </c>
      <c r="B2000" t="s">
        <v>14</v>
      </c>
      <c r="C2000" t="s">
        <v>15</v>
      </c>
      <c r="D2000" s="2">
        <v>730.91113708845569</v>
      </c>
      <c r="E2000" s="2">
        <v>743.6012737142313</v>
      </c>
      <c r="F2000" s="2">
        <v>727.07456739914858</v>
      </c>
      <c r="G2000" s="2">
        <v>730.17333984375</v>
      </c>
      <c r="H2000" s="3">
        <v>78862761</v>
      </c>
      <c r="I2000" s="4">
        <f t="shared" si="124"/>
        <v>-0.52</v>
      </c>
      <c r="J2000" s="2">
        <f t="shared" si="125"/>
        <v>13.43</v>
      </c>
      <c r="K2000" s="7">
        <f t="shared" si="126"/>
        <v>46113</v>
      </c>
      <c r="L2000" t="str">
        <f t="shared" si="127"/>
        <v>Q2-2026</v>
      </c>
    </row>
    <row r="2001" spans="1:12">
      <c r="A2001" s="6">
        <v>46113</v>
      </c>
      <c r="B2001" t="s">
        <v>16</v>
      </c>
      <c r="C2001" t="s">
        <v>17</v>
      </c>
      <c r="D2001" s="2">
        <v>1217.8330476356739</v>
      </c>
      <c r="E2001" s="2">
        <v>1223.683747787243</v>
      </c>
      <c r="F2001" s="2">
        <v>1199.884388024768</v>
      </c>
      <c r="G2001" s="2">
        <v>1202.561767578125</v>
      </c>
      <c r="H2001" s="3">
        <v>25472333</v>
      </c>
      <c r="I2001" s="4">
        <f t="shared" si="124"/>
        <v>-1.47</v>
      </c>
      <c r="J2001" s="2">
        <f t="shared" si="125"/>
        <v>21.12</v>
      </c>
      <c r="K2001" s="7">
        <f t="shared" si="126"/>
        <v>46113</v>
      </c>
      <c r="L2001" t="str">
        <f t="shared" si="127"/>
        <v>Q2-2026</v>
      </c>
    </row>
    <row r="2002" spans="1:12">
      <c r="A2002" s="6">
        <v>46113</v>
      </c>
      <c r="B2002" t="s">
        <v>18</v>
      </c>
      <c r="C2002" t="s">
        <v>19</v>
      </c>
      <c r="D2002" s="2">
        <v>189.3475004894465</v>
      </c>
      <c r="E2002" s="2">
        <v>192.29386176497869</v>
      </c>
      <c r="F2002" s="2">
        <v>188.25993052973439</v>
      </c>
      <c r="G2002" s="2">
        <v>189.02122497558591</v>
      </c>
      <c r="H2002" s="3">
        <v>11769673</v>
      </c>
      <c r="I2002" s="4">
        <f t="shared" si="124"/>
        <v>-0.56999999999999995</v>
      </c>
      <c r="J2002" s="2">
        <f t="shared" si="125"/>
        <v>3.27</v>
      </c>
      <c r="K2002" s="7">
        <f t="shared" si="126"/>
        <v>46113</v>
      </c>
      <c r="L2002" t="str">
        <f t="shared" si="127"/>
        <v>Q2-2026</v>
      </c>
    </row>
    <row r="2003" spans="1:12">
      <c r="A2003" s="6">
        <v>46113</v>
      </c>
      <c r="B2003" t="s">
        <v>20</v>
      </c>
      <c r="C2003" t="s">
        <v>21</v>
      </c>
      <c r="D2003" s="2">
        <v>1359.5264850203221</v>
      </c>
      <c r="E2003" s="2">
        <v>1359.5264850203221</v>
      </c>
      <c r="F2003" s="2">
        <v>1310.281697700231</v>
      </c>
      <c r="G2003" s="2">
        <v>1315.526733398438</v>
      </c>
      <c r="H2003" s="3">
        <v>2469237</v>
      </c>
      <c r="I2003" s="4">
        <f t="shared" si="124"/>
        <v>-3.62</v>
      </c>
      <c r="J2003" s="2">
        <f t="shared" si="125"/>
        <v>44</v>
      </c>
      <c r="K2003" s="7">
        <f t="shared" si="126"/>
        <v>46113</v>
      </c>
      <c r="L2003" t="str">
        <f t="shared" si="127"/>
        <v>Q2-2026</v>
      </c>
    </row>
    <row r="2004" spans="1:12">
      <c r="A2004" s="6">
        <v>46113</v>
      </c>
      <c r="B2004" t="s">
        <v>22</v>
      </c>
      <c r="C2004" t="s">
        <v>23</v>
      </c>
      <c r="D2004" s="2">
        <v>827.71188017921804</v>
      </c>
      <c r="E2004" s="2">
        <v>836.90536601481233</v>
      </c>
      <c r="F2004" s="2">
        <v>809.82185368833177</v>
      </c>
      <c r="G2004" s="2">
        <v>812.30657958984375</v>
      </c>
      <c r="H2004" s="3">
        <v>15094026</v>
      </c>
      <c r="I2004" s="4">
        <f t="shared" si="124"/>
        <v>-2.16</v>
      </c>
      <c r="J2004" s="2">
        <f t="shared" si="125"/>
        <v>24.6</v>
      </c>
      <c r="K2004" s="7">
        <f t="shared" si="126"/>
        <v>46113</v>
      </c>
      <c r="L2004" t="str">
        <f t="shared" si="127"/>
        <v>Q2-2026</v>
      </c>
    </row>
    <row r="2005" spans="1:12">
      <c r="A2005" s="6">
        <v>46113</v>
      </c>
      <c r="B2005" t="s">
        <v>24</v>
      </c>
      <c r="C2005" t="s">
        <v>25</v>
      </c>
      <c r="D2005" s="2">
        <v>12771.733320759049</v>
      </c>
      <c r="E2005" s="2">
        <v>12771.733320759049</v>
      </c>
      <c r="F2005" s="2">
        <v>12210.3710887536</v>
      </c>
      <c r="G2005" s="2">
        <v>12384.62109375</v>
      </c>
      <c r="H2005" s="3">
        <v>501882</v>
      </c>
      <c r="I2005" s="4">
        <f t="shared" si="124"/>
        <v>-4.4000000000000004</v>
      </c>
      <c r="J2005" s="2">
        <f t="shared" si="125"/>
        <v>387.11</v>
      </c>
      <c r="K2005" s="7">
        <f t="shared" si="126"/>
        <v>46113</v>
      </c>
      <c r="L2005" t="str">
        <f t="shared" si="127"/>
        <v>Q2-2026</v>
      </c>
    </row>
    <row r="2006" spans="1:12">
      <c r="A2006" s="6">
        <v>46113</v>
      </c>
      <c r="B2006" t="s">
        <v>26</v>
      </c>
      <c r="C2006" t="s">
        <v>27</v>
      </c>
      <c r="D2006" s="2">
        <v>307.44962912506071</v>
      </c>
      <c r="E2006" s="2">
        <v>307.44962912506071</v>
      </c>
      <c r="F2006" s="2">
        <v>299.5650216908947</v>
      </c>
      <c r="G2006" s="2">
        <v>300.4576416015625</v>
      </c>
      <c r="H2006" s="3">
        <v>8911554</v>
      </c>
      <c r="I2006" s="4">
        <f t="shared" si="124"/>
        <v>-2.56</v>
      </c>
      <c r="J2006" s="2">
        <f t="shared" si="125"/>
        <v>6.99</v>
      </c>
      <c r="K2006" s="7">
        <f t="shared" si="126"/>
        <v>46113</v>
      </c>
      <c r="L2006" t="str">
        <f t="shared" si="127"/>
        <v>Q2-2026</v>
      </c>
    </row>
    <row r="2007" spans="1:12">
      <c r="A2007" s="6">
        <v>46113</v>
      </c>
      <c r="B2007" t="s">
        <v>28</v>
      </c>
      <c r="C2007" t="s">
        <v>29</v>
      </c>
      <c r="D2007" s="2">
        <v>1757.4939589216369</v>
      </c>
      <c r="E2007" s="2">
        <v>1783.3262823279761</v>
      </c>
      <c r="F2007" s="2">
        <v>1708.7217560446361</v>
      </c>
      <c r="G2007" s="2">
        <v>1723.981811523438</v>
      </c>
      <c r="H2007" s="3">
        <v>3245628</v>
      </c>
      <c r="I2007" s="4">
        <f t="shared" si="124"/>
        <v>-2.78</v>
      </c>
      <c r="J2007" s="2">
        <f t="shared" si="125"/>
        <v>59.34</v>
      </c>
      <c r="K2007" s="7">
        <f t="shared" si="126"/>
        <v>46113</v>
      </c>
      <c r="L2007" t="str">
        <f t="shared" si="127"/>
        <v>Q2-2026</v>
      </c>
    </row>
    <row r="2008" spans="1:12">
      <c r="A2008" s="6">
        <v>46113</v>
      </c>
      <c r="B2008" t="s">
        <v>30</v>
      </c>
      <c r="C2008" t="s">
        <v>31</v>
      </c>
      <c r="D2008" s="2">
        <v>2205.663630707204</v>
      </c>
      <c r="E2008" s="2">
        <v>2227.2761683701569</v>
      </c>
      <c r="F2008" s="2">
        <v>2179.490562715499</v>
      </c>
      <c r="G2008" s="2">
        <v>2206.655029296875</v>
      </c>
      <c r="H2008" s="3">
        <v>1209900</v>
      </c>
      <c r="I2008" s="4">
        <f t="shared" si="124"/>
        <v>-1.19</v>
      </c>
      <c r="J2008" s="2">
        <f t="shared" si="125"/>
        <v>20.62</v>
      </c>
      <c r="K2008" s="7">
        <f t="shared" si="126"/>
        <v>46113</v>
      </c>
      <c r="L2008" t="str">
        <f t="shared" si="127"/>
        <v>Q2-2026</v>
      </c>
    </row>
    <row r="2009" spans="1:12">
      <c r="A2009" s="6">
        <v>46113</v>
      </c>
      <c r="B2009" t="s">
        <v>32</v>
      </c>
      <c r="C2009" t="s">
        <v>33</v>
      </c>
      <c r="D2009" s="2">
        <v>2098.5542902611742</v>
      </c>
      <c r="E2009" s="2">
        <v>2098.5542902611742</v>
      </c>
      <c r="F2009" s="2">
        <v>2031.338082923151</v>
      </c>
      <c r="G2009" s="2">
        <v>2043.91015625</v>
      </c>
      <c r="H2009" s="3">
        <v>2028470</v>
      </c>
      <c r="I2009" s="4">
        <f t="shared" si="124"/>
        <v>-3.2</v>
      </c>
      <c r="J2009" s="2">
        <f t="shared" si="125"/>
        <v>54.64</v>
      </c>
      <c r="K2009" s="7">
        <f t="shared" si="126"/>
        <v>46113</v>
      </c>
      <c r="L2009" t="str">
        <f t="shared" si="127"/>
        <v>Q2-2026</v>
      </c>
    </row>
    <row r="2010" spans="1:12">
      <c r="A2010" s="6">
        <v>46113</v>
      </c>
      <c r="B2010" t="s">
        <v>34</v>
      </c>
      <c r="C2010" t="s">
        <v>35</v>
      </c>
      <c r="D2010" s="2">
        <v>3619.6455172871192</v>
      </c>
      <c r="E2010" s="2">
        <v>3647.2755464119618</v>
      </c>
      <c r="F2010" s="2">
        <v>3562.5036924972519</v>
      </c>
      <c r="G2010" s="2">
        <v>3572.60498046875</v>
      </c>
      <c r="H2010" s="3">
        <v>4099786</v>
      </c>
      <c r="I2010" s="4">
        <f t="shared" si="124"/>
        <v>-1.58</v>
      </c>
      <c r="J2010" s="2">
        <f t="shared" si="125"/>
        <v>74.67</v>
      </c>
      <c r="K2010" s="7">
        <f t="shared" si="126"/>
        <v>46113</v>
      </c>
      <c r="L2010" t="str">
        <f t="shared" si="127"/>
        <v>Q2-2026</v>
      </c>
    </row>
    <row r="2011" spans="1:12">
      <c r="A2011" s="6">
        <v>46113</v>
      </c>
      <c r="B2011" t="s">
        <v>36</v>
      </c>
      <c r="C2011" t="s">
        <v>37</v>
      </c>
      <c r="D2011" s="2">
        <v>1174.0945147139701</v>
      </c>
      <c r="E2011" s="2">
        <v>1207.0690840633829</v>
      </c>
      <c r="F2011" s="2">
        <v>1174.0945147139701</v>
      </c>
      <c r="G2011" s="2">
        <v>1192.180541992188</v>
      </c>
      <c r="H2011" s="3">
        <v>6595695</v>
      </c>
      <c r="I2011" s="4">
        <f t="shared" si="124"/>
        <v>0</v>
      </c>
      <c r="J2011" s="2">
        <f t="shared" si="125"/>
        <v>14.89</v>
      </c>
      <c r="K2011" s="7">
        <f t="shared" si="126"/>
        <v>46113</v>
      </c>
      <c r="L2011" t="str">
        <f t="shared" si="127"/>
        <v>Q2-2026</v>
      </c>
    </row>
    <row r="2012" spans="1:12">
      <c r="A2012" s="6">
        <v>46114</v>
      </c>
      <c r="B2012" t="s">
        <v>8</v>
      </c>
      <c r="C2012" t="s">
        <v>9</v>
      </c>
      <c r="D2012" s="2">
        <v>1350.7546307176449</v>
      </c>
      <c r="E2012" s="2">
        <v>1351.9490593116359</v>
      </c>
      <c r="F2012" s="2">
        <v>1321.888098447334</v>
      </c>
      <c r="G2012" s="2">
        <v>1344.284545898438</v>
      </c>
      <c r="H2012" s="3">
        <v>21280051</v>
      </c>
      <c r="I2012" s="4">
        <f t="shared" si="124"/>
        <v>-2.14</v>
      </c>
      <c r="J2012" s="2">
        <f t="shared" si="125"/>
        <v>7.66</v>
      </c>
      <c r="K2012" s="7">
        <f t="shared" si="126"/>
        <v>46113</v>
      </c>
      <c r="L2012" t="str">
        <f t="shared" si="127"/>
        <v>Q2-2026</v>
      </c>
    </row>
    <row r="2013" spans="1:12">
      <c r="A2013" s="6">
        <v>46114</v>
      </c>
      <c r="B2013" t="s">
        <v>10</v>
      </c>
      <c r="C2013" t="s">
        <v>11</v>
      </c>
      <c r="D2013" s="2">
        <v>2341.24390183887</v>
      </c>
      <c r="E2013" s="2">
        <v>2423.570027038862</v>
      </c>
      <c r="F2013" s="2">
        <v>2331.137059212092</v>
      </c>
      <c r="G2013" s="2">
        <v>2404.730224609375</v>
      </c>
      <c r="H2013" s="3">
        <v>5378361</v>
      </c>
      <c r="I2013" s="4">
        <f t="shared" si="124"/>
        <v>-0.43</v>
      </c>
      <c r="J2013" s="2">
        <f t="shared" si="125"/>
        <v>18.84</v>
      </c>
      <c r="K2013" s="7">
        <f t="shared" si="126"/>
        <v>46113</v>
      </c>
      <c r="L2013" t="str">
        <f t="shared" si="127"/>
        <v>Q2-2026</v>
      </c>
    </row>
    <row r="2014" spans="1:12">
      <c r="A2014" s="6">
        <v>46114</v>
      </c>
      <c r="B2014" t="s">
        <v>12</v>
      </c>
      <c r="C2014" t="s">
        <v>13</v>
      </c>
      <c r="D2014" s="2">
        <v>1233.3119397486189</v>
      </c>
      <c r="E2014" s="2">
        <v>1277.7503462365089</v>
      </c>
      <c r="F2014" s="2">
        <v>1233.1162237425549</v>
      </c>
      <c r="G2014" s="2">
        <v>1273.247802734375</v>
      </c>
      <c r="H2014" s="3">
        <v>12873492</v>
      </c>
      <c r="I2014" s="4">
        <f t="shared" si="124"/>
        <v>-0.02</v>
      </c>
      <c r="J2014" s="2">
        <f t="shared" si="125"/>
        <v>4.5</v>
      </c>
      <c r="K2014" s="7">
        <f t="shared" si="126"/>
        <v>46113</v>
      </c>
      <c r="L2014" t="str">
        <f t="shared" si="127"/>
        <v>Q2-2026</v>
      </c>
    </row>
    <row r="2015" spans="1:12">
      <c r="A2015" s="6">
        <v>46114</v>
      </c>
      <c r="B2015" t="s">
        <v>14</v>
      </c>
      <c r="C2015" t="s">
        <v>15</v>
      </c>
      <c r="D2015" s="2">
        <v>718.12264351389513</v>
      </c>
      <c r="E2015" s="2">
        <v>742.71588473012446</v>
      </c>
      <c r="F2015" s="2">
        <v>714.8271732077576</v>
      </c>
      <c r="G2015" s="2">
        <v>738.6826171875</v>
      </c>
      <c r="H2015" s="3">
        <v>49310300</v>
      </c>
      <c r="I2015" s="4">
        <f t="shared" si="124"/>
        <v>-0.46</v>
      </c>
      <c r="J2015" s="2">
        <f t="shared" si="125"/>
        <v>4.03</v>
      </c>
      <c r="K2015" s="7">
        <f t="shared" si="126"/>
        <v>46113</v>
      </c>
      <c r="L2015" t="str">
        <f t="shared" si="127"/>
        <v>Q2-2026</v>
      </c>
    </row>
    <row r="2016" spans="1:12">
      <c r="A2016" s="6">
        <v>46114</v>
      </c>
      <c r="B2016" t="s">
        <v>16</v>
      </c>
      <c r="C2016" t="s">
        <v>17</v>
      </c>
      <c r="D2016" s="2">
        <v>1186.0014654862721</v>
      </c>
      <c r="E2016" s="2">
        <v>1211.883245832491</v>
      </c>
      <c r="F2016" s="2">
        <v>1177.6716650973101</v>
      </c>
      <c r="G2016" s="2">
        <v>1205.635986328125</v>
      </c>
      <c r="H2016" s="3">
        <v>20851722</v>
      </c>
      <c r="I2016" s="4">
        <f t="shared" si="124"/>
        <v>-0.7</v>
      </c>
      <c r="J2016" s="2">
        <f t="shared" si="125"/>
        <v>6.25</v>
      </c>
      <c r="K2016" s="7">
        <f t="shared" si="126"/>
        <v>46113</v>
      </c>
      <c r="L2016" t="str">
        <f t="shared" si="127"/>
        <v>Q2-2026</v>
      </c>
    </row>
    <row r="2017" spans="1:12">
      <c r="A2017" s="6">
        <v>46114</v>
      </c>
      <c r="B2017" t="s">
        <v>18</v>
      </c>
      <c r="C2017" t="s">
        <v>19</v>
      </c>
      <c r="D2017" s="2">
        <v>188.3489148575087</v>
      </c>
      <c r="E2017" s="2">
        <v>193.13425899481061</v>
      </c>
      <c r="F2017" s="2">
        <v>186.45059689609531</v>
      </c>
      <c r="G2017" s="2">
        <v>192.70912170410159</v>
      </c>
      <c r="H2017" s="3">
        <v>16623045</v>
      </c>
      <c r="I2017" s="4">
        <f t="shared" si="124"/>
        <v>-1.01</v>
      </c>
      <c r="J2017" s="2">
        <f t="shared" si="125"/>
        <v>0.43</v>
      </c>
      <c r="K2017" s="7">
        <f t="shared" si="126"/>
        <v>46113</v>
      </c>
      <c r="L2017" t="str">
        <f t="shared" si="127"/>
        <v>Q2-2026</v>
      </c>
    </row>
    <row r="2018" spans="1:12">
      <c r="A2018" s="6">
        <v>46114</v>
      </c>
      <c r="B2018" t="s">
        <v>20</v>
      </c>
      <c r="C2018" t="s">
        <v>21</v>
      </c>
      <c r="D2018" s="2">
        <v>1308.339082036789</v>
      </c>
      <c r="E2018" s="2">
        <v>1372.250570887395</v>
      </c>
      <c r="F2018" s="2">
        <v>1302.7055032991821</v>
      </c>
      <c r="G2018" s="2">
        <v>1361.954711914062</v>
      </c>
      <c r="H2018" s="3">
        <v>6509389</v>
      </c>
      <c r="I2018" s="4">
        <f t="shared" si="124"/>
        <v>-0.43</v>
      </c>
      <c r="J2018" s="2">
        <f t="shared" si="125"/>
        <v>10.3</v>
      </c>
      <c r="K2018" s="7">
        <f t="shared" si="126"/>
        <v>46113</v>
      </c>
      <c r="L2018" t="str">
        <f t="shared" si="127"/>
        <v>Q2-2026</v>
      </c>
    </row>
    <row r="2019" spans="1:12">
      <c r="A2019" s="6">
        <v>46114</v>
      </c>
      <c r="B2019" t="s">
        <v>22</v>
      </c>
      <c r="C2019" t="s">
        <v>23</v>
      </c>
      <c r="D2019" s="2">
        <v>804.05729915827067</v>
      </c>
      <c r="E2019" s="2">
        <v>824.97867904965392</v>
      </c>
      <c r="F2019" s="2">
        <v>787.60842587530806</v>
      </c>
      <c r="G2019" s="2">
        <v>821.7982177734375</v>
      </c>
      <c r="H2019" s="3">
        <v>9113618</v>
      </c>
      <c r="I2019" s="4">
        <f t="shared" si="124"/>
        <v>-2.0499999999999998</v>
      </c>
      <c r="J2019" s="2">
        <f t="shared" si="125"/>
        <v>3.18</v>
      </c>
      <c r="K2019" s="7">
        <f t="shared" si="126"/>
        <v>46113</v>
      </c>
      <c r="L2019" t="str">
        <f t="shared" si="127"/>
        <v>Q2-2026</v>
      </c>
    </row>
    <row r="2020" spans="1:12">
      <c r="A2020" s="6">
        <v>46114</v>
      </c>
      <c r="B2020" t="s">
        <v>24</v>
      </c>
      <c r="C2020" t="s">
        <v>25</v>
      </c>
      <c r="D2020" s="2">
        <v>12265.813485067119</v>
      </c>
      <c r="E2020" s="2">
        <v>12546.98961145013</v>
      </c>
      <c r="F2020" s="2">
        <v>12117.30496761131</v>
      </c>
      <c r="G2020" s="2">
        <v>12505.4072265625</v>
      </c>
      <c r="H2020" s="3">
        <v>438227</v>
      </c>
      <c r="I2020" s="4">
        <f t="shared" si="124"/>
        <v>-1.21</v>
      </c>
      <c r="J2020" s="2">
        <f t="shared" si="125"/>
        <v>41.58</v>
      </c>
      <c r="K2020" s="7">
        <f t="shared" si="126"/>
        <v>46113</v>
      </c>
      <c r="L2020" t="str">
        <f t="shared" si="127"/>
        <v>Q2-2026</v>
      </c>
    </row>
    <row r="2021" spans="1:12">
      <c r="A2021" s="6">
        <v>46114</v>
      </c>
      <c r="B2021" t="s">
        <v>26</v>
      </c>
      <c r="C2021" t="s">
        <v>27</v>
      </c>
      <c r="D2021" s="2">
        <v>295.54833358722732</v>
      </c>
      <c r="E2021" s="2">
        <v>301.79649094907887</v>
      </c>
      <c r="F2021" s="2">
        <v>292.62259133269691</v>
      </c>
      <c r="G2021" s="2">
        <v>300.80471801757813</v>
      </c>
      <c r="H2021" s="3">
        <v>9098035</v>
      </c>
      <c r="I2021" s="4">
        <f t="shared" si="124"/>
        <v>-0.99</v>
      </c>
      <c r="J2021" s="2">
        <f t="shared" si="125"/>
        <v>0.99</v>
      </c>
      <c r="K2021" s="7">
        <f t="shared" si="126"/>
        <v>46113</v>
      </c>
      <c r="L2021" t="str">
        <f t="shared" si="127"/>
        <v>Q2-2026</v>
      </c>
    </row>
    <row r="2022" spans="1:12">
      <c r="A2022" s="6">
        <v>46114</v>
      </c>
      <c r="B2022" t="s">
        <v>28</v>
      </c>
      <c r="C2022" t="s">
        <v>29</v>
      </c>
      <c r="D2022" s="2">
        <v>1660.6477572282661</v>
      </c>
      <c r="E2022" s="2">
        <v>1695.556268641473</v>
      </c>
      <c r="F2022" s="2">
        <v>1615.7653854112859</v>
      </c>
      <c r="G2022" s="2">
        <v>1689.172973632812</v>
      </c>
      <c r="H2022" s="3">
        <v>3937824</v>
      </c>
      <c r="I2022" s="4">
        <f t="shared" si="124"/>
        <v>-2.7</v>
      </c>
      <c r="J2022" s="2">
        <f t="shared" si="125"/>
        <v>6.38</v>
      </c>
      <c r="K2022" s="7">
        <f t="shared" si="126"/>
        <v>46113</v>
      </c>
      <c r="L2022" t="str">
        <f t="shared" si="127"/>
        <v>Q2-2026</v>
      </c>
    </row>
    <row r="2023" spans="1:12">
      <c r="A2023" s="6">
        <v>46114</v>
      </c>
      <c r="B2023" t="s">
        <v>30</v>
      </c>
      <c r="C2023" t="s">
        <v>31</v>
      </c>
      <c r="D2023" s="2">
        <v>2166.206128976487</v>
      </c>
      <c r="E2023" s="2">
        <v>2166.3053656613679</v>
      </c>
      <c r="F2023" s="2">
        <v>2123.9724481353128</v>
      </c>
      <c r="G2023" s="2">
        <v>2150.34375</v>
      </c>
      <c r="H2023" s="3">
        <v>1854061</v>
      </c>
      <c r="I2023" s="4">
        <f t="shared" si="124"/>
        <v>-1.95</v>
      </c>
      <c r="J2023" s="2">
        <f t="shared" si="125"/>
        <v>15.96</v>
      </c>
      <c r="K2023" s="7">
        <f t="shared" si="126"/>
        <v>46113</v>
      </c>
      <c r="L2023" t="str">
        <f t="shared" si="127"/>
        <v>Q2-2026</v>
      </c>
    </row>
    <row r="2024" spans="1:12">
      <c r="A2024" s="6">
        <v>46114</v>
      </c>
      <c r="B2024" t="s">
        <v>32</v>
      </c>
      <c r="C2024" t="s">
        <v>33</v>
      </c>
      <c r="D2024" s="2">
        <v>2034.3079361718801</v>
      </c>
      <c r="E2024" s="2">
        <v>2049.057809449776</v>
      </c>
      <c r="F2024" s="2">
        <v>2002.13518292342</v>
      </c>
      <c r="G2024" s="2">
        <v>2044.504272460938</v>
      </c>
      <c r="H2024" s="3">
        <v>1431905</v>
      </c>
      <c r="I2024" s="4">
        <f t="shared" si="124"/>
        <v>-1.58</v>
      </c>
      <c r="J2024" s="2">
        <f t="shared" si="125"/>
        <v>4.55</v>
      </c>
      <c r="K2024" s="7">
        <f t="shared" si="126"/>
        <v>46113</v>
      </c>
      <c r="L2024" t="str">
        <f t="shared" si="127"/>
        <v>Q2-2026</v>
      </c>
    </row>
    <row r="2025" spans="1:12">
      <c r="A2025" s="6">
        <v>46114</v>
      </c>
      <c r="B2025" t="s">
        <v>34</v>
      </c>
      <c r="C2025" t="s">
        <v>35</v>
      </c>
      <c r="D2025" s="2">
        <v>3505.0649310073668</v>
      </c>
      <c r="E2025" s="2">
        <v>3593.8972280231892</v>
      </c>
      <c r="F2025" s="2">
        <v>3436.4352111436938</v>
      </c>
      <c r="G2025" s="2">
        <v>3578.151123046875</v>
      </c>
      <c r="H2025" s="3">
        <v>4121638</v>
      </c>
      <c r="I2025" s="4">
        <f t="shared" si="124"/>
        <v>-1.96</v>
      </c>
      <c r="J2025" s="2">
        <f t="shared" si="125"/>
        <v>15.75</v>
      </c>
      <c r="K2025" s="7">
        <f t="shared" si="126"/>
        <v>46113</v>
      </c>
      <c r="L2025" t="str">
        <f t="shared" si="127"/>
        <v>Q2-2026</v>
      </c>
    </row>
    <row r="2026" spans="1:12">
      <c r="A2026" s="6">
        <v>46114</v>
      </c>
      <c r="B2026" t="s">
        <v>36</v>
      </c>
      <c r="C2026" t="s">
        <v>37</v>
      </c>
      <c r="D2026" s="2">
        <v>1173.6948347826519</v>
      </c>
      <c r="E2026" s="2">
        <v>1201.37356248843</v>
      </c>
      <c r="F2026" s="2">
        <v>1149.413633425557</v>
      </c>
      <c r="G2026" s="2">
        <v>1196.976928710938</v>
      </c>
      <c r="H2026" s="3">
        <v>9501543</v>
      </c>
      <c r="I2026" s="4">
        <f t="shared" si="124"/>
        <v>-2.0699999999999998</v>
      </c>
      <c r="J2026" s="2">
        <f t="shared" si="125"/>
        <v>4.4000000000000004</v>
      </c>
      <c r="K2026" s="7">
        <f t="shared" si="126"/>
        <v>46113</v>
      </c>
      <c r="L2026" t="str">
        <f t="shared" si="127"/>
        <v>Q2-2026</v>
      </c>
    </row>
    <row r="2027" spans="1:12">
      <c r="A2027" s="6">
        <v>46118</v>
      </c>
      <c r="B2027" t="s">
        <v>8</v>
      </c>
      <c r="C2027" t="s">
        <v>9</v>
      </c>
      <c r="D2027" s="2">
        <v>1352.7454554606611</v>
      </c>
      <c r="E2027" s="2">
        <v>1352.7454554606611</v>
      </c>
      <c r="F2027" s="2">
        <v>1284.063015117184</v>
      </c>
      <c r="G2027" s="2">
        <v>1298.6953125</v>
      </c>
      <c r="H2027" s="3">
        <v>29274881</v>
      </c>
      <c r="I2027" s="4">
        <f t="shared" si="124"/>
        <v>-5.08</v>
      </c>
      <c r="J2027" s="2">
        <f t="shared" si="125"/>
        <v>54.05</v>
      </c>
      <c r="K2027" s="7">
        <f t="shared" si="126"/>
        <v>46113</v>
      </c>
      <c r="L2027" t="str">
        <f t="shared" si="127"/>
        <v>Q2-2026</v>
      </c>
    </row>
    <row r="2028" spans="1:12">
      <c r="A2028" s="6">
        <v>46118</v>
      </c>
      <c r="B2028" t="s">
        <v>10</v>
      </c>
      <c r="C2028" t="s">
        <v>11</v>
      </c>
      <c r="D2028" s="2">
        <v>2427.5933372373729</v>
      </c>
      <c r="E2028" s="2">
        <v>2435.4432752720941</v>
      </c>
      <c r="F2028" s="2">
        <v>2402.2772391631788</v>
      </c>
      <c r="G2028" s="2">
        <v>2427.4951171875</v>
      </c>
      <c r="H2028" s="3">
        <v>2572417</v>
      </c>
      <c r="I2028" s="4">
        <f t="shared" si="124"/>
        <v>-1.04</v>
      </c>
      <c r="J2028" s="2">
        <f t="shared" si="125"/>
        <v>7.95</v>
      </c>
      <c r="K2028" s="7">
        <f t="shared" si="126"/>
        <v>46113</v>
      </c>
      <c r="L2028" t="str">
        <f t="shared" si="127"/>
        <v>Q2-2026</v>
      </c>
    </row>
    <row r="2029" spans="1:12">
      <c r="A2029" s="6">
        <v>46118</v>
      </c>
      <c r="B2029" t="s">
        <v>12</v>
      </c>
      <c r="C2029" t="s">
        <v>13</v>
      </c>
      <c r="D2029" s="2">
        <v>1273.8350657038361</v>
      </c>
      <c r="E2029" s="2">
        <v>1292.0410751383829</v>
      </c>
      <c r="F2029" s="2">
        <v>1271.4858762157271</v>
      </c>
      <c r="G2029" s="2">
        <v>1278.533325195312</v>
      </c>
      <c r="H2029" s="3">
        <v>10208682</v>
      </c>
      <c r="I2029" s="4">
        <f t="shared" si="124"/>
        <v>-0.18</v>
      </c>
      <c r="J2029" s="2">
        <f t="shared" si="125"/>
        <v>13.51</v>
      </c>
      <c r="K2029" s="7">
        <f t="shared" si="126"/>
        <v>46113</v>
      </c>
      <c r="L2029" t="str">
        <f t="shared" si="127"/>
        <v>Q2-2026</v>
      </c>
    </row>
    <row r="2030" spans="1:12">
      <c r="A2030" s="6">
        <v>46118</v>
      </c>
      <c r="B2030" t="s">
        <v>14</v>
      </c>
      <c r="C2030" t="s">
        <v>15</v>
      </c>
      <c r="D2030" s="2">
        <v>746.65081050887648</v>
      </c>
      <c r="E2030" s="2">
        <v>760.17709330795037</v>
      </c>
      <c r="F2030" s="2">
        <v>732.87859529527407</v>
      </c>
      <c r="G2030" s="2">
        <v>758.45556640625</v>
      </c>
      <c r="H2030" s="3">
        <v>42976659</v>
      </c>
      <c r="I2030" s="4">
        <f t="shared" si="124"/>
        <v>-1.84</v>
      </c>
      <c r="J2030" s="2">
        <f t="shared" si="125"/>
        <v>1.72</v>
      </c>
      <c r="K2030" s="7">
        <f t="shared" si="126"/>
        <v>46113</v>
      </c>
      <c r="L2030" t="str">
        <f t="shared" si="127"/>
        <v>Q2-2026</v>
      </c>
    </row>
    <row r="2031" spans="1:12">
      <c r="A2031" s="6">
        <v>46118</v>
      </c>
      <c r="B2031" t="s">
        <v>16</v>
      </c>
      <c r="C2031" t="s">
        <v>17</v>
      </c>
      <c r="D2031" s="2">
        <v>1202.859269308972</v>
      </c>
      <c r="E2031" s="2">
        <v>1224.080388624631</v>
      </c>
      <c r="F2031" s="2">
        <v>1190.463769831345</v>
      </c>
      <c r="G2031" s="2">
        <v>1221.10546875</v>
      </c>
      <c r="H2031" s="3">
        <v>10058414</v>
      </c>
      <c r="I2031" s="4">
        <f t="shared" si="124"/>
        <v>-1.03</v>
      </c>
      <c r="J2031" s="2">
        <f t="shared" si="125"/>
        <v>2.97</v>
      </c>
      <c r="K2031" s="7">
        <f t="shared" si="126"/>
        <v>46113</v>
      </c>
      <c r="L2031" t="str">
        <f t="shared" si="127"/>
        <v>Q2-2026</v>
      </c>
    </row>
    <row r="2032" spans="1:12">
      <c r="A2032" s="6">
        <v>46118</v>
      </c>
      <c r="B2032" t="s">
        <v>18</v>
      </c>
      <c r="C2032" t="s">
        <v>19</v>
      </c>
      <c r="D2032" s="2">
        <v>194.7755218511451</v>
      </c>
      <c r="E2032" s="2">
        <v>198.90831502251191</v>
      </c>
      <c r="F2032" s="2">
        <v>193.89557212746001</v>
      </c>
      <c r="G2032" s="2">
        <v>195.06224060058591</v>
      </c>
      <c r="H2032" s="3">
        <v>23282287</v>
      </c>
      <c r="I2032" s="4">
        <f t="shared" si="124"/>
        <v>-0.45</v>
      </c>
      <c r="J2032" s="2">
        <f t="shared" si="125"/>
        <v>3.85</v>
      </c>
      <c r="K2032" s="7">
        <f t="shared" si="126"/>
        <v>46113</v>
      </c>
      <c r="L2032" t="str">
        <f t="shared" si="127"/>
        <v>Q2-2026</v>
      </c>
    </row>
    <row r="2033" spans="1:12">
      <c r="A2033" s="6">
        <v>46118</v>
      </c>
      <c r="B2033" t="s">
        <v>20</v>
      </c>
      <c r="C2033" t="s">
        <v>21</v>
      </c>
      <c r="D2033" s="2">
        <v>1356.90408708059</v>
      </c>
      <c r="E2033" s="2">
        <v>1381.4779880528311</v>
      </c>
      <c r="F2033" s="2">
        <v>1354.087297545819</v>
      </c>
      <c r="G2033" s="2">
        <v>1363.023315429688</v>
      </c>
      <c r="H2033" s="3">
        <v>2134581</v>
      </c>
      <c r="I2033" s="4">
        <f t="shared" si="124"/>
        <v>-0.21</v>
      </c>
      <c r="J2033" s="2">
        <f t="shared" si="125"/>
        <v>18.45</v>
      </c>
      <c r="K2033" s="7">
        <f t="shared" si="126"/>
        <v>46113</v>
      </c>
      <c r="L2033" t="str">
        <f t="shared" si="127"/>
        <v>Q2-2026</v>
      </c>
    </row>
    <row r="2034" spans="1:12">
      <c r="A2034" s="6">
        <v>46118</v>
      </c>
      <c r="B2034" t="s">
        <v>22</v>
      </c>
      <c r="C2034" t="s">
        <v>23</v>
      </c>
      <c r="D2034" s="2">
        <v>823.83570640748428</v>
      </c>
      <c r="E2034" s="2">
        <v>847.78843873522032</v>
      </c>
      <c r="F2034" s="2">
        <v>809.27518902714326</v>
      </c>
      <c r="G2034" s="2">
        <v>845.65155029296875</v>
      </c>
      <c r="H2034" s="3">
        <v>12504591</v>
      </c>
      <c r="I2034" s="4">
        <f t="shared" si="124"/>
        <v>-1.77</v>
      </c>
      <c r="J2034" s="2">
        <f t="shared" si="125"/>
        <v>2.14</v>
      </c>
      <c r="K2034" s="7">
        <f t="shared" si="126"/>
        <v>46113</v>
      </c>
      <c r="L2034" t="str">
        <f t="shared" si="127"/>
        <v>Q2-2026</v>
      </c>
    </row>
    <row r="2035" spans="1:12">
      <c r="A2035" s="6">
        <v>46118</v>
      </c>
      <c r="B2035" t="s">
        <v>24</v>
      </c>
      <c r="C2035" t="s">
        <v>25</v>
      </c>
      <c r="D2035" s="2">
        <v>12505.407582074969</v>
      </c>
      <c r="E2035" s="2">
        <v>12593.52263827041</v>
      </c>
      <c r="F2035" s="2">
        <v>12296.505594914979</v>
      </c>
      <c r="G2035" s="2">
        <v>12561.8408203125</v>
      </c>
      <c r="H2035" s="3">
        <v>382650</v>
      </c>
      <c r="I2035" s="4">
        <f t="shared" si="124"/>
        <v>-1.67</v>
      </c>
      <c r="J2035" s="2">
        <f t="shared" si="125"/>
        <v>31.68</v>
      </c>
      <c r="K2035" s="7">
        <f t="shared" si="126"/>
        <v>46113</v>
      </c>
      <c r="L2035" t="str">
        <f t="shared" si="127"/>
        <v>Q2-2026</v>
      </c>
    </row>
    <row r="2036" spans="1:12">
      <c r="A2036" s="6">
        <v>46118</v>
      </c>
      <c r="B2036" t="s">
        <v>26</v>
      </c>
      <c r="C2036" t="s">
        <v>27</v>
      </c>
      <c r="D2036" s="2">
        <v>300.80472700334138</v>
      </c>
      <c r="E2036" s="2">
        <v>305.56525537665829</v>
      </c>
      <c r="F2036" s="2">
        <v>297.38312844735719</v>
      </c>
      <c r="G2036" s="2">
        <v>304.87100219726563</v>
      </c>
      <c r="H2036" s="3">
        <v>6425909</v>
      </c>
      <c r="I2036" s="4">
        <f t="shared" si="124"/>
        <v>-1.1399999999999999</v>
      </c>
      <c r="J2036" s="2">
        <f t="shared" si="125"/>
        <v>0.69</v>
      </c>
      <c r="K2036" s="7">
        <f t="shared" si="126"/>
        <v>46113</v>
      </c>
      <c r="L2036" t="str">
        <f t="shared" si="127"/>
        <v>Q2-2026</v>
      </c>
    </row>
    <row r="2037" spans="1:12">
      <c r="A2037" s="6">
        <v>46118</v>
      </c>
      <c r="B2037" t="s">
        <v>28</v>
      </c>
      <c r="C2037" t="s">
        <v>29</v>
      </c>
      <c r="D2037" s="2">
        <v>1679.8974066842579</v>
      </c>
      <c r="E2037" s="2">
        <v>1694.5589332152349</v>
      </c>
      <c r="F2037" s="2">
        <v>1650.574231871077</v>
      </c>
      <c r="G2037" s="2">
        <v>1690.17041015625</v>
      </c>
      <c r="H2037" s="3">
        <v>3533715</v>
      </c>
      <c r="I2037" s="4">
        <f t="shared" si="124"/>
        <v>-1.75</v>
      </c>
      <c r="J2037" s="2">
        <f t="shared" si="125"/>
        <v>4.3899999999999997</v>
      </c>
      <c r="K2037" s="7">
        <f t="shared" si="126"/>
        <v>46113</v>
      </c>
      <c r="L2037" t="str">
        <f t="shared" si="127"/>
        <v>Q2-2026</v>
      </c>
    </row>
    <row r="2038" spans="1:12">
      <c r="A2038" s="6">
        <v>46118</v>
      </c>
      <c r="B2038" t="s">
        <v>30</v>
      </c>
      <c r="C2038" t="s">
        <v>31</v>
      </c>
      <c r="D2038" s="2">
        <v>2150.3435162351889</v>
      </c>
      <c r="E2038" s="2">
        <v>2174.3353134208269</v>
      </c>
      <c r="F2038" s="2">
        <v>2127.4421122612298</v>
      </c>
      <c r="G2038" s="2">
        <v>2165.511962890625</v>
      </c>
      <c r="H2038" s="3">
        <v>2048228</v>
      </c>
      <c r="I2038" s="4">
        <f t="shared" si="124"/>
        <v>-1.07</v>
      </c>
      <c r="J2038" s="2">
        <f t="shared" si="125"/>
        <v>8.82</v>
      </c>
      <c r="K2038" s="7">
        <f t="shared" si="126"/>
        <v>46113</v>
      </c>
      <c r="L2038" t="str">
        <f t="shared" si="127"/>
        <v>Q2-2026</v>
      </c>
    </row>
    <row r="2039" spans="1:12">
      <c r="A2039" s="6">
        <v>46118</v>
      </c>
      <c r="B2039" t="s">
        <v>32</v>
      </c>
      <c r="C2039" t="s">
        <v>33</v>
      </c>
      <c r="D2039" s="2">
        <v>2044.50420996908</v>
      </c>
      <c r="E2039" s="2">
        <v>2071.727308039528</v>
      </c>
      <c r="F2039" s="2">
        <v>2021.339804169992</v>
      </c>
      <c r="G2039" s="2">
        <v>2063.807861328125</v>
      </c>
      <c r="H2039" s="3">
        <v>1661298</v>
      </c>
      <c r="I2039" s="4">
        <f t="shared" si="124"/>
        <v>-1.1299999999999999</v>
      </c>
      <c r="J2039" s="2">
        <f t="shared" si="125"/>
        <v>7.92</v>
      </c>
      <c r="K2039" s="7">
        <f t="shared" si="126"/>
        <v>46113</v>
      </c>
      <c r="L2039" t="str">
        <f t="shared" si="127"/>
        <v>Q2-2026</v>
      </c>
    </row>
    <row r="2040" spans="1:12">
      <c r="A2040" s="6">
        <v>46118</v>
      </c>
      <c r="B2040" t="s">
        <v>34</v>
      </c>
      <c r="C2040" t="s">
        <v>35</v>
      </c>
      <c r="D2040" s="2">
        <v>3581.6171367018501</v>
      </c>
      <c r="E2040" s="2">
        <v>3700.8524244990999</v>
      </c>
      <c r="F2040" s="2">
        <v>3542.4000862813159</v>
      </c>
      <c r="G2040" s="2">
        <v>3691.642333984375</v>
      </c>
      <c r="H2040" s="3">
        <v>3353246</v>
      </c>
      <c r="I2040" s="4">
        <f t="shared" si="124"/>
        <v>-1.0900000000000001</v>
      </c>
      <c r="J2040" s="2">
        <f t="shared" si="125"/>
        <v>9.2100000000000009</v>
      </c>
      <c r="K2040" s="7">
        <f t="shared" si="126"/>
        <v>46113</v>
      </c>
      <c r="L2040" t="str">
        <f t="shared" si="127"/>
        <v>Q2-2026</v>
      </c>
    </row>
    <row r="2041" spans="1:12">
      <c r="A2041" s="6">
        <v>46118</v>
      </c>
      <c r="B2041" t="s">
        <v>36</v>
      </c>
      <c r="C2041" t="s">
        <v>37</v>
      </c>
      <c r="D2041" s="2">
        <v>1201.1735518383609</v>
      </c>
      <c r="E2041" s="2">
        <v>1248.836864011161</v>
      </c>
      <c r="F2041" s="2">
        <v>1195.477993454301</v>
      </c>
      <c r="G2041" s="2">
        <v>1244.34033203125</v>
      </c>
      <c r="H2041" s="3">
        <v>7847086</v>
      </c>
      <c r="I2041" s="4">
        <f t="shared" si="124"/>
        <v>-0.47</v>
      </c>
      <c r="J2041" s="2">
        <f t="shared" si="125"/>
        <v>4.5</v>
      </c>
      <c r="K2041" s="7">
        <f t="shared" si="126"/>
        <v>46113</v>
      </c>
      <c r="L2041" t="str">
        <f t="shared" si="127"/>
        <v>Q2-2026</v>
      </c>
    </row>
    <row r="2042" spans="1:12">
      <c r="A2042" s="6">
        <v>46119</v>
      </c>
      <c r="B2042" t="s">
        <v>8</v>
      </c>
      <c r="C2042" t="s">
        <v>9</v>
      </c>
      <c r="D2042" s="2">
        <v>1289.0400315028619</v>
      </c>
      <c r="E2042" s="2">
        <v>1302.278869618998</v>
      </c>
      <c r="F2042" s="2">
        <v>1285.0584406719649</v>
      </c>
      <c r="G2042" s="2">
        <v>1298.595825195312</v>
      </c>
      <c r="H2042" s="3">
        <v>28388922</v>
      </c>
      <c r="I2042" s="4">
        <f t="shared" si="124"/>
        <v>-0.31</v>
      </c>
      <c r="J2042" s="2">
        <f t="shared" si="125"/>
        <v>3.68</v>
      </c>
      <c r="K2042" s="7">
        <f t="shared" si="126"/>
        <v>46113</v>
      </c>
      <c r="L2042" t="str">
        <f t="shared" si="127"/>
        <v>Q2-2026</v>
      </c>
    </row>
    <row r="2043" spans="1:12">
      <c r="A2043" s="6">
        <v>46119</v>
      </c>
      <c r="B2043" t="s">
        <v>10</v>
      </c>
      <c r="C2043" t="s">
        <v>11</v>
      </c>
      <c r="D2043" s="2">
        <v>2414.8372404515958</v>
      </c>
      <c r="E2043" s="2">
        <v>2496.1821292811319</v>
      </c>
      <c r="F2043" s="2">
        <v>2402.081090867739</v>
      </c>
      <c r="G2043" s="2">
        <v>2492.1591796875</v>
      </c>
      <c r="H2043" s="3">
        <v>4516550</v>
      </c>
      <c r="I2043" s="4">
        <f t="shared" si="124"/>
        <v>-0.53</v>
      </c>
      <c r="J2043" s="2">
        <f t="shared" si="125"/>
        <v>4.0199999999999996</v>
      </c>
      <c r="K2043" s="7">
        <f t="shared" si="126"/>
        <v>46113</v>
      </c>
      <c r="L2043" t="str">
        <f t="shared" si="127"/>
        <v>Q2-2026</v>
      </c>
    </row>
    <row r="2044" spans="1:12">
      <c r="A2044" s="6">
        <v>46119</v>
      </c>
      <c r="B2044" t="s">
        <v>12</v>
      </c>
      <c r="C2044" t="s">
        <v>13</v>
      </c>
      <c r="D2044" s="2">
        <v>1274.4222980187039</v>
      </c>
      <c r="E2044" s="2">
        <v>1316.6093716982591</v>
      </c>
      <c r="F2044" s="2">
        <v>1266.1023367797191</v>
      </c>
      <c r="G2044" s="2">
        <v>1311.030151367188</v>
      </c>
      <c r="H2044" s="3">
        <v>15355792</v>
      </c>
      <c r="I2044" s="4">
        <f t="shared" si="124"/>
        <v>-0.65</v>
      </c>
      <c r="J2044" s="2">
        <f t="shared" si="125"/>
        <v>5.58</v>
      </c>
      <c r="K2044" s="7">
        <f t="shared" si="126"/>
        <v>46113</v>
      </c>
      <c r="L2044" t="str">
        <f t="shared" si="127"/>
        <v>Q2-2026</v>
      </c>
    </row>
    <row r="2045" spans="1:12">
      <c r="A2045" s="6">
        <v>46119</v>
      </c>
      <c r="B2045" t="s">
        <v>14</v>
      </c>
      <c r="C2045" t="s">
        <v>15</v>
      </c>
      <c r="D2045" s="2">
        <v>753.53689227326538</v>
      </c>
      <c r="E2045" s="2">
        <v>761.40672926828654</v>
      </c>
      <c r="F2045" s="2">
        <v>748.61824415137733</v>
      </c>
      <c r="G2045" s="2">
        <v>759.43927001953125</v>
      </c>
      <c r="H2045" s="3">
        <v>51309793</v>
      </c>
      <c r="I2045" s="4">
        <f t="shared" si="124"/>
        <v>-0.65</v>
      </c>
      <c r="J2045" s="2">
        <f t="shared" si="125"/>
        <v>1.97</v>
      </c>
      <c r="K2045" s="7">
        <f t="shared" si="126"/>
        <v>46113</v>
      </c>
      <c r="L2045" t="str">
        <f t="shared" si="127"/>
        <v>Q2-2026</v>
      </c>
    </row>
    <row r="2046" spans="1:12">
      <c r="A2046" s="6">
        <v>46119</v>
      </c>
      <c r="B2046" t="s">
        <v>16</v>
      </c>
      <c r="C2046" t="s">
        <v>17</v>
      </c>
      <c r="D2046" s="2">
        <v>1218.725465680355</v>
      </c>
      <c r="E2046" s="2">
        <v>1239.946584247971</v>
      </c>
      <c r="F2046" s="2">
        <v>1206.4291064220349</v>
      </c>
      <c r="G2046" s="2">
        <v>1235.087524414062</v>
      </c>
      <c r="H2046" s="3">
        <v>25600557</v>
      </c>
      <c r="I2046" s="4">
        <f t="shared" si="124"/>
        <v>-1.01</v>
      </c>
      <c r="J2046" s="2">
        <f t="shared" si="125"/>
        <v>4.8600000000000003</v>
      </c>
      <c r="K2046" s="7">
        <f t="shared" si="126"/>
        <v>46113</v>
      </c>
      <c r="L2046" t="str">
        <f t="shared" si="127"/>
        <v>Q2-2026</v>
      </c>
    </row>
    <row r="2047" spans="1:12">
      <c r="A2047" s="6">
        <v>46119</v>
      </c>
      <c r="B2047" t="s">
        <v>18</v>
      </c>
      <c r="C2047" t="s">
        <v>19</v>
      </c>
      <c r="D2047" s="2">
        <v>194.78539372423401</v>
      </c>
      <c r="E2047" s="2">
        <v>202.95213297211239</v>
      </c>
      <c r="F2047" s="2">
        <v>194.78539372423401</v>
      </c>
      <c r="G2047" s="2">
        <v>202.40834045410159</v>
      </c>
      <c r="H2047" s="3">
        <v>24771466</v>
      </c>
      <c r="I2047" s="4">
        <f t="shared" si="124"/>
        <v>0</v>
      </c>
      <c r="J2047" s="2">
        <f t="shared" si="125"/>
        <v>0.54</v>
      </c>
      <c r="K2047" s="7">
        <f t="shared" si="126"/>
        <v>46113</v>
      </c>
      <c r="L2047" t="str">
        <f t="shared" si="127"/>
        <v>Q2-2026</v>
      </c>
    </row>
    <row r="2048" spans="1:12">
      <c r="A2048" s="6">
        <v>46119</v>
      </c>
      <c r="B2048" t="s">
        <v>20</v>
      </c>
      <c r="C2048" t="s">
        <v>21</v>
      </c>
      <c r="D2048" s="2">
        <v>1351.076197160832</v>
      </c>
      <c r="E2048" s="2">
        <v>1404.98326325891</v>
      </c>
      <c r="F2048" s="2">
        <v>1348.2594078315551</v>
      </c>
      <c r="G2048" s="2">
        <v>1400.223876953125</v>
      </c>
      <c r="H2048" s="3">
        <v>3459049</v>
      </c>
      <c r="I2048" s="4">
        <f t="shared" si="124"/>
        <v>-0.21</v>
      </c>
      <c r="J2048" s="2">
        <f t="shared" si="125"/>
        <v>4.76</v>
      </c>
      <c r="K2048" s="7">
        <f t="shared" si="126"/>
        <v>46113</v>
      </c>
      <c r="L2048" t="str">
        <f t="shared" si="127"/>
        <v>Q2-2026</v>
      </c>
    </row>
    <row r="2049" spans="1:12">
      <c r="A2049" s="6">
        <v>46119</v>
      </c>
      <c r="B2049" t="s">
        <v>22</v>
      </c>
      <c r="C2049" t="s">
        <v>23</v>
      </c>
      <c r="D2049" s="2">
        <v>842.81901316192386</v>
      </c>
      <c r="E2049" s="2">
        <v>857.5285781459786</v>
      </c>
      <c r="F2049" s="2">
        <v>839.29071456710449</v>
      </c>
      <c r="G2049" s="2">
        <v>849.8756103515625</v>
      </c>
      <c r="H2049" s="3">
        <v>11569047</v>
      </c>
      <c r="I2049" s="4">
        <f t="shared" si="124"/>
        <v>-0.42</v>
      </c>
      <c r="J2049" s="2">
        <f t="shared" si="125"/>
        <v>7.65</v>
      </c>
      <c r="K2049" s="7">
        <f t="shared" si="126"/>
        <v>46113</v>
      </c>
      <c r="L2049" t="str">
        <f t="shared" si="127"/>
        <v>Q2-2026</v>
      </c>
    </row>
    <row r="2050" spans="1:12">
      <c r="A2050" s="6">
        <v>46119</v>
      </c>
      <c r="B2050" t="s">
        <v>24</v>
      </c>
      <c r="C2050" t="s">
        <v>25</v>
      </c>
      <c r="D2050" s="2">
        <v>12514.3180941358</v>
      </c>
      <c r="E2050" s="2">
        <v>12707.379172328559</v>
      </c>
      <c r="F2050" s="2">
        <v>12371.749913316529</v>
      </c>
      <c r="G2050" s="2">
        <v>12670.7470703125</v>
      </c>
      <c r="H2050" s="3">
        <v>359542</v>
      </c>
      <c r="I2050" s="4">
        <f t="shared" ref="I2050:I2113" si="128">ROUND(((F2050-D2050)/D2050)*100, 2)</f>
        <v>-1.1399999999999999</v>
      </c>
      <c r="J2050" s="2">
        <f t="shared" ref="J2050:J2113" si="129">ROUND(E2050-G2050, 2)</f>
        <v>36.630000000000003</v>
      </c>
      <c r="K2050" s="7">
        <f t="shared" ref="K2050:K2113" si="130">DATE(YEAR(A2050),MONTH(A2050),1)</f>
        <v>46113</v>
      </c>
      <c r="L2050" t="str">
        <f t="shared" ref="L2050:L2113" si="131">"Q"&amp;INT((MONTH(A2050)-1)/3)+1&amp;"-"&amp;YEAR(A2050)</f>
        <v>Q2-2026</v>
      </c>
    </row>
    <row r="2051" spans="1:12">
      <c r="A2051" s="6">
        <v>46119</v>
      </c>
      <c r="B2051" t="s">
        <v>26</v>
      </c>
      <c r="C2051" t="s">
        <v>27</v>
      </c>
      <c r="D2051" s="2">
        <v>303.97839633346189</v>
      </c>
      <c r="E2051" s="2">
        <v>306.80495517485588</v>
      </c>
      <c r="F2051" s="2">
        <v>299.36665836408599</v>
      </c>
      <c r="G2051" s="2">
        <v>306.16030883789063</v>
      </c>
      <c r="H2051" s="3">
        <v>8543428</v>
      </c>
      <c r="I2051" s="4">
        <f t="shared" si="128"/>
        <v>-1.52</v>
      </c>
      <c r="J2051" s="2">
        <f t="shared" si="129"/>
        <v>0.64</v>
      </c>
      <c r="K2051" s="7">
        <f t="shared" si="130"/>
        <v>46113</v>
      </c>
      <c r="L2051" t="str">
        <f t="shared" si="131"/>
        <v>Q2-2026</v>
      </c>
    </row>
    <row r="2052" spans="1:12">
      <c r="A2052" s="6">
        <v>46119</v>
      </c>
      <c r="B2052" t="s">
        <v>28</v>
      </c>
      <c r="C2052" t="s">
        <v>29</v>
      </c>
      <c r="D2052" s="2">
        <v>1685.382918654537</v>
      </c>
      <c r="E2052" s="2">
        <v>1719.393757048661</v>
      </c>
      <c r="F2052" s="2">
        <v>1676.90513761855</v>
      </c>
      <c r="G2052" s="2">
        <v>1713.509155273438</v>
      </c>
      <c r="H2052" s="3">
        <v>2471378</v>
      </c>
      <c r="I2052" s="4">
        <f t="shared" si="128"/>
        <v>-0.5</v>
      </c>
      <c r="J2052" s="2">
        <f t="shared" si="129"/>
        <v>5.88</v>
      </c>
      <c r="K2052" s="7">
        <f t="shared" si="130"/>
        <v>46113</v>
      </c>
      <c r="L2052" t="str">
        <f t="shared" si="131"/>
        <v>Q2-2026</v>
      </c>
    </row>
    <row r="2053" spans="1:12">
      <c r="A2053" s="6">
        <v>46119</v>
      </c>
      <c r="B2053" t="s">
        <v>30</v>
      </c>
      <c r="C2053" t="s">
        <v>31</v>
      </c>
      <c r="D2053" s="2">
        <v>2149.0548763211232</v>
      </c>
      <c r="E2053" s="2">
        <v>2179.7882354882622</v>
      </c>
      <c r="F2053" s="2">
        <v>2126.5501746294531</v>
      </c>
      <c r="G2053" s="2">
        <v>2167.395751953125</v>
      </c>
      <c r="H2053" s="3">
        <v>1793007</v>
      </c>
      <c r="I2053" s="4">
        <f t="shared" si="128"/>
        <v>-1.05</v>
      </c>
      <c r="J2053" s="2">
        <f t="shared" si="129"/>
        <v>12.39</v>
      </c>
      <c r="K2053" s="7">
        <f t="shared" si="130"/>
        <v>46113</v>
      </c>
      <c r="L2053" t="str">
        <f t="shared" si="131"/>
        <v>Q2-2026</v>
      </c>
    </row>
    <row r="2054" spans="1:12">
      <c r="A2054" s="6">
        <v>46119</v>
      </c>
      <c r="B2054" t="s">
        <v>32</v>
      </c>
      <c r="C2054" t="s">
        <v>33</v>
      </c>
      <c r="D2054" s="2">
        <v>2043.9101735971369</v>
      </c>
      <c r="E2054" s="2">
        <v>2098.158432405809</v>
      </c>
      <c r="F2054" s="2">
        <v>2030.1502314824129</v>
      </c>
      <c r="G2054" s="2">
        <v>2089.34814453125</v>
      </c>
      <c r="H2054" s="3">
        <v>2709707</v>
      </c>
      <c r="I2054" s="4">
        <f t="shared" si="128"/>
        <v>-0.67</v>
      </c>
      <c r="J2054" s="2">
        <f t="shared" si="129"/>
        <v>8.81</v>
      </c>
      <c r="K2054" s="7">
        <f t="shared" si="130"/>
        <v>46113</v>
      </c>
      <c r="L2054" t="str">
        <f t="shared" si="131"/>
        <v>Q2-2026</v>
      </c>
    </row>
    <row r="2055" spans="1:12">
      <c r="A2055" s="6">
        <v>46119</v>
      </c>
      <c r="B2055" t="s">
        <v>34</v>
      </c>
      <c r="C2055" t="s">
        <v>35</v>
      </c>
      <c r="D2055" s="2">
        <v>3644.4037006454218</v>
      </c>
      <c r="E2055" s="2">
        <v>3700.0600348918551</v>
      </c>
      <c r="F2055" s="2">
        <v>3622.616504608955</v>
      </c>
      <c r="G2055" s="2">
        <v>3687.284912109375</v>
      </c>
      <c r="H2055" s="3">
        <v>3083714</v>
      </c>
      <c r="I2055" s="4">
        <f t="shared" si="128"/>
        <v>-0.6</v>
      </c>
      <c r="J2055" s="2">
        <f t="shared" si="129"/>
        <v>12.78</v>
      </c>
      <c r="K2055" s="7">
        <f t="shared" si="130"/>
        <v>46113</v>
      </c>
      <c r="L2055" t="str">
        <f t="shared" si="131"/>
        <v>Q2-2026</v>
      </c>
    </row>
    <row r="2056" spans="1:12">
      <c r="A2056" s="6">
        <v>46119</v>
      </c>
      <c r="B2056" t="s">
        <v>36</v>
      </c>
      <c r="C2056" t="s">
        <v>37</v>
      </c>
      <c r="D2056" s="2">
        <v>1236.8461487557429</v>
      </c>
      <c r="E2056" s="2">
        <v>1254.532459610896</v>
      </c>
      <c r="F2056" s="2">
        <v>1220.059046742258</v>
      </c>
      <c r="G2056" s="2">
        <v>1249.136596679688</v>
      </c>
      <c r="H2056" s="3">
        <v>9248545</v>
      </c>
      <c r="I2056" s="4">
        <f t="shared" si="128"/>
        <v>-1.36</v>
      </c>
      <c r="J2056" s="2">
        <f t="shared" si="129"/>
        <v>5.4</v>
      </c>
      <c r="K2056" s="7">
        <f t="shared" si="130"/>
        <v>46113</v>
      </c>
      <c r="L2056" t="str">
        <f t="shared" si="131"/>
        <v>Q2-2026</v>
      </c>
    </row>
    <row r="2057" spans="1:12">
      <c r="A2057" s="6">
        <v>46120</v>
      </c>
      <c r="B2057" t="s">
        <v>8</v>
      </c>
      <c r="C2057" t="s">
        <v>9</v>
      </c>
      <c r="D2057" s="2">
        <v>1342.7914745147671</v>
      </c>
      <c r="E2057" s="2">
        <v>1344.3840865060411</v>
      </c>
      <c r="F2057" s="2">
        <v>1320.096358736467</v>
      </c>
      <c r="G2057" s="2">
        <v>1341.597045898438</v>
      </c>
      <c r="H2057" s="3">
        <v>21817543</v>
      </c>
      <c r="I2057" s="4">
        <f t="shared" si="128"/>
        <v>-1.69</v>
      </c>
      <c r="J2057" s="2">
        <f t="shared" si="129"/>
        <v>2.79</v>
      </c>
      <c r="K2057" s="7">
        <f t="shared" si="130"/>
        <v>46113</v>
      </c>
      <c r="L2057" t="str">
        <f t="shared" si="131"/>
        <v>Q2-2026</v>
      </c>
    </row>
    <row r="2058" spans="1:12">
      <c r="A2058" s="6">
        <v>46120</v>
      </c>
      <c r="B2058" t="s">
        <v>10</v>
      </c>
      <c r="C2058" t="s">
        <v>11</v>
      </c>
      <c r="D2058" s="2">
        <v>2523.7550168218731</v>
      </c>
      <c r="E2058" s="2">
        <v>2531.8993752471638</v>
      </c>
      <c r="F2058" s="2">
        <v>2492.4534854936592</v>
      </c>
      <c r="G2058" s="2">
        <v>2511.195068359375</v>
      </c>
      <c r="H2058" s="3">
        <v>4769337</v>
      </c>
      <c r="I2058" s="4">
        <f t="shared" si="128"/>
        <v>-1.24</v>
      </c>
      <c r="J2058" s="2">
        <f t="shared" si="129"/>
        <v>20.7</v>
      </c>
      <c r="K2058" s="7">
        <f t="shared" si="130"/>
        <v>46113</v>
      </c>
      <c r="L2058" t="str">
        <f t="shared" si="131"/>
        <v>Q2-2026</v>
      </c>
    </row>
    <row r="2059" spans="1:12">
      <c r="A2059" s="6">
        <v>46120</v>
      </c>
      <c r="B2059" t="s">
        <v>12</v>
      </c>
      <c r="C2059" t="s">
        <v>13</v>
      </c>
      <c r="D2059" s="2">
        <v>1320.426776036061</v>
      </c>
      <c r="E2059" s="2">
        <v>1347.735848896245</v>
      </c>
      <c r="F2059" s="2">
        <v>1302.808034769457</v>
      </c>
      <c r="G2059" s="2">
        <v>1317.68603515625</v>
      </c>
      <c r="H2059" s="3">
        <v>16030133</v>
      </c>
      <c r="I2059" s="4">
        <f t="shared" si="128"/>
        <v>-1.33</v>
      </c>
      <c r="J2059" s="2">
        <f t="shared" si="129"/>
        <v>30.05</v>
      </c>
      <c r="K2059" s="7">
        <f t="shared" si="130"/>
        <v>46113</v>
      </c>
      <c r="L2059" t="str">
        <f t="shared" si="131"/>
        <v>Q2-2026</v>
      </c>
    </row>
    <row r="2060" spans="1:12">
      <c r="A2060" s="6">
        <v>46120</v>
      </c>
      <c r="B2060" t="s">
        <v>14</v>
      </c>
      <c r="C2060" t="s">
        <v>15</v>
      </c>
      <c r="D2060" s="2">
        <v>786.98375332492412</v>
      </c>
      <c r="E2060" s="2">
        <v>804.49412982798458</v>
      </c>
      <c r="F2060" s="2">
        <v>783.0488345582994</v>
      </c>
      <c r="G2060" s="2">
        <v>802.82177734375</v>
      </c>
      <c r="H2060" s="3">
        <v>70269512</v>
      </c>
      <c r="I2060" s="4">
        <f t="shared" si="128"/>
        <v>-0.5</v>
      </c>
      <c r="J2060" s="2">
        <f t="shared" si="129"/>
        <v>1.67</v>
      </c>
      <c r="K2060" s="7">
        <f t="shared" si="130"/>
        <v>46113</v>
      </c>
      <c r="L2060" t="str">
        <f t="shared" si="131"/>
        <v>Q2-2026</v>
      </c>
    </row>
    <row r="2061" spans="1:12">
      <c r="A2061" s="6">
        <v>46120</v>
      </c>
      <c r="B2061" t="s">
        <v>16</v>
      </c>
      <c r="C2061" t="s">
        <v>17</v>
      </c>
      <c r="D2061" s="2">
        <v>1299.048365281531</v>
      </c>
      <c r="E2061" s="2">
        <v>1322.3519046587189</v>
      </c>
      <c r="F2061" s="2">
        <v>1281.595525957938</v>
      </c>
      <c r="G2061" s="2">
        <v>1298.255004882812</v>
      </c>
      <c r="H2061" s="3">
        <v>25148651</v>
      </c>
      <c r="I2061" s="4">
        <f t="shared" si="128"/>
        <v>-1.34</v>
      </c>
      <c r="J2061" s="2">
        <f t="shared" si="129"/>
        <v>24.1</v>
      </c>
      <c r="K2061" s="7">
        <f t="shared" si="130"/>
        <v>46113</v>
      </c>
      <c r="L2061" t="str">
        <f t="shared" si="131"/>
        <v>Q2-2026</v>
      </c>
    </row>
    <row r="2062" spans="1:12">
      <c r="A2062" s="6">
        <v>46120</v>
      </c>
      <c r="B2062" t="s">
        <v>18</v>
      </c>
      <c r="C2062" t="s">
        <v>19</v>
      </c>
      <c r="D2062" s="2">
        <v>205.35468616494671</v>
      </c>
      <c r="E2062" s="2">
        <v>206.6400098174729</v>
      </c>
      <c r="F2062" s="2">
        <v>200.51002211291271</v>
      </c>
      <c r="G2062" s="2">
        <v>201.1230163574219</v>
      </c>
      <c r="H2062" s="3">
        <v>22084158</v>
      </c>
      <c r="I2062" s="4">
        <f t="shared" si="128"/>
        <v>-2.36</v>
      </c>
      <c r="J2062" s="2">
        <f t="shared" si="129"/>
        <v>5.52</v>
      </c>
      <c r="K2062" s="7">
        <f t="shared" si="130"/>
        <v>46113</v>
      </c>
      <c r="L2062" t="str">
        <f t="shared" si="131"/>
        <v>Q2-2026</v>
      </c>
    </row>
    <row r="2063" spans="1:12">
      <c r="A2063" s="6">
        <v>46120</v>
      </c>
      <c r="B2063" t="s">
        <v>20</v>
      </c>
      <c r="C2063" t="s">
        <v>21</v>
      </c>
      <c r="D2063" s="2">
        <v>1408.285748805986</v>
      </c>
      <c r="E2063" s="2">
        <v>1423.923631275132</v>
      </c>
      <c r="F2063" s="2">
        <v>1390.802375434258</v>
      </c>
      <c r="G2063" s="2">
        <v>1419.067138671875</v>
      </c>
      <c r="H2063" s="3">
        <v>4239052</v>
      </c>
      <c r="I2063" s="4">
        <f t="shared" si="128"/>
        <v>-1.24</v>
      </c>
      <c r="J2063" s="2">
        <f t="shared" si="129"/>
        <v>4.8600000000000003</v>
      </c>
      <c r="K2063" s="7">
        <f t="shared" si="130"/>
        <v>46113</v>
      </c>
      <c r="L2063" t="str">
        <f t="shared" si="131"/>
        <v>Q2-2026</v>
      </c>
    </row>
    <row r="2064" spans="1:12">
      <c r="A2064" s="6">
        <v>46120</v>
      </c>
      <c r="B2064" t="s">
        <v>22</v>
      </c>
      <c r="C2064" t="s">
        <v>23</v>
      </c>
      <c r="D2064" s="2">
        <v>884.56240950698361</v>
      </c>
      <c r="E2064" s="2">
        <v>920.34246202636723</v>
      </c>
      <c r="F2064" s="2">
        <v>875.61739637713777</v>
      </c>
      <c r="G2064" s="2">
        <v>909.4593505859375</v>
      </c>
      <c r="H2064" s="3">
        <v>13826150</v>
      </c>
      <c r="I2064" s="4">
        <f t="shared" si="128"/>
        <v>-1.01</v>
      </c>
      <c r="J2064" s="2">
        <f t="shared" si="129"/>
        <v>10.88</v>
      </c>
      <c r="K2064" s="7">
        <f t="shared" si="130"/>
        <v>46113</v>
      </c>
      <c r="L2064" t="str">
        <f t="shared" si="131"/>
        <v>Q2-2026</v>
      </c>
    </row>
    <row r="2065" spans="1:12">
      <c r="A2065" s="6">
        <v>46120</v>
      </c>
      <c r="B2065" t="s">
        <v>24</v>
      </c>
      <c r="C2065" t="s">
        <v>25</v>
      </c>
      <c r="D2065" s="2">
        <v>13217.25860986091</v>
      </c>
      <c r="E2065" s="2">
        <v>13608.33105562084</v>
      </c>
      <c r="F2065" s="2">
        <v>13078.650654401699</v>
      </c>
      <c r="G2065" s="2">
        <v>13466.7529296875</v>
      </c>
      <c r="H2065" s="3">
        <v>1026292</v>
      </c>
      <c r="I2065" s="4">
        <f t="shared" si="128"/>
        <v>-1.05</v>
      </c>
      <c r="J2065" s="2">
        <f t="shared" si="129"/>
        <v>141.58000000000001</v>
      </c>
      <c r="K2065" s="7">
        <f t="shared" si="130"/>
        <v>46113</v>
      </c>
      <c r="L2065" t="str">
        <f t="shared" si="131"/>
        <v>Q2-2026</v>
      </c>
    </row>
    <row r="2066" spans="1:12">
      <c r="A2066" s="6">
        <v>46120</v>
      </c>
      <c r="B2066" t="s">
        <v>26</v>
      </c>
      <c r="C2066" t="s">
        <v>27</v>
      </c>
      <c r="D2066" s="2">
        <v>318.3591238396483</v>
      </c>
      <c r="E2066" s="2">
        <v>334.22749138305761</v>
      </c>
      <c r="F2066" s="2">
        <v>316.32600135475258</v>
      </c>
      <c r="G2066" s="2">
        <v>331.99600219726563</v>
      </c>
      <c r="H2066" s="3">
        <v>20930060</v>
      </c>
      <c r="I2066" s="4">
        <f t="shared" si="128"/>
        <v>-0.64</v>
      </c>
      <c r="J2066" s="2">
        <f t="shared" si="129"/>
        <v>2.23</v>
      </c>
      <c r="K2066" s="7">
        <f t="shared" si="130"/>
        <v>46113</v>
      </c>
      <c r="L2066" t="str">
        <f t="shared" si="131"/>
        <v>Q2-2026</v>
      </c>
    </row>
    <row r="2067" spans="1:12">
      <c r="A2067" s="6">
        <v>46120</v>
      </c>
      <c r="B2067" t="s">
        <v>28</v>
      </c>
      <c r="C2067" t="s">
        <v>29</v>
      </c>
      <c r="D2067" s="2">
        <v>1725.4778110185509</v>
      </c>
      <c r="E2067" s="2">
        <v>1744.627573862314</v>
      </c>
      <c r="F2067" s="2">
        <v>1681.0941332206751</v>
      </c>
      <c r="G2067" s="2">
        <v>1710.118041992188</v>
      </c>
      <c r="H2067" s="3">
        <v>4859877</v>
      </c>
      <c r="I2067" s="4">
        <f t="shared" si="128"/>
        <v>-2.57</v>
      </c>
      <c r="J2067" s="2">
        <f t="shared" si="129"/>
        <v>34.51</v>
      </c>
      <c r="K2067" s="7">
        <f t="shared" si="130"/>
        <v>46113</v>
      </c>
      <c r="L2067" t="str">
        <f t="shared" si="131"/>
        <v>Q2-2026</v>
      </c>
    </row>
    <row r="2068" spans="1:12">
      <c r="A2068" s="6">
        <v>46120</v>
      </c>
      <c r="B2068" t="s">
        <v>30</v>
      </c>
      <c r="C2068" t="s">
        <v>31</v>
      </c>
      <c r="D2068" s="2">
        <v>2264.850100281215</v>
      </c>
      <c r="E2068" s="2">
        <v>2316.799290072403</v>
      </c>
      <c r="F2068" s="2">
        <v>2225.8880869174882</v>
      </c>
      <c r="G2068" s="2">
        <v>2262.76806640625</v>
      </c>
      <c r="H2068" s="3">
        <v>2914767</v>
      </c>
      <c r="I2068" s="4">
        <f t="shared" si="128"/>
        <v>-1.72</v>
      </c>
      <c r="J2068" s="2">
        <f t="shared" si="129"/>
        <v>54.03</v>
      </c>
      <c r="K2068" s="7">
        <f t="shared" si="130"/>
        <v>46113</v>
      </c>
      <c r="L2068" t="str">
        <f t="shared" si="131"/>
        <v>Q2-2026</v>
      </c>
    </row>
    <row r="2069" spans="1:12">
      <c r="A2069" s="6">
        <v>46120</v>
      </c>
      <c r="B2069" t="s">
        <v>32</v>
      </c>
      <c r="C2069" t="s">
        <v>33</v>
      </c>
      <c r="D2069" s="2">
        <v>2108.5528307953982</v>
      </c>
      <c r="E2069" s="2">
        <v>2170.7205400586058</v>
      </c>
      <c r="F2069" s="2">
        <v>2108.5528307953982</v>
      </c>
      <c r="G2069" s="2">
        <v>2123.995849609375</v>
      </c>
      <c r="H2069" s="3">
        <v>3794437</v>
      </c>
      <c r="I2069" s="4">
        <f t="shared" si="128"/>
        <v>0</v>
      </c>
      <c r="J2069" s="2">
        <f t="shared" si="129"/>
        <v>46.72</v>
      </c>
      <c r="K2069" s="7">
        <f t="shared" si="130"/>
        <v>46113</v>
      </c>
      <c r="L2069" t="str">
        <f t="shared" si="131"/>
        <v>Q2-2026</v>
      </c>
    </row>
    <row r="2070" spans="1:12">
      <c r="A2070" s="6">
        <v>46120</v>
      </c>
      <c r="B2070" t="s">
        <v>34</v>
      </c>
      <c r="C2070" t="s">
        <v>35</v>
      </c>
      <c r="D2070" s="2">
        <v>3909.811522872209</v>
      </c>
      <c r="E2070" s="2">
        <v>3992.9990020822561</v>
      </c>
      <c r="F2070" s="2">
        <v>3892.9759616035089</v>
      </c>
      <c r="G2070" s="2">
        <v>3967.1513671875</v>
      </c>
      <c r="H2070" s="3">
        <v>7368477</v>
      </c>
      <c r="I2070" s="4">
        <f t="shared" si="128"/>
        <v>-0.43</v>
      </c>
      <c r="J2070" s="2">
        <f t="shared" si="129"/>
        <v>25.85</v>
      </c>
      <c r="K2070" s="7">
        <f t="shared" si="130"/>
        <v>46113</v>
      </c>
      <c r="L2070" t="str">
        <f t="shared" si="131"/>
        <v>Q2-2026</v>
      </c>
    </row>
    <row r="2071" spans="1:12">
      <c r="A2071" s="6">
        <v>46120</v>
      </c>
      <c r="B2071" t="s">
        <v>36</v>
      </c>
      <c r="C2071" t="s">
        <v>37</v>
      </c>
      <c r="D2071" s="2">
        <v>1299.0981069582681</v>
      </c>
      <c r="E2071" s="2">
        <v>1334.570750341893</v>
      </c>
      <c r="F2071" s="2">
        <v>1299.0981069582681</v>
      </c>
      <c r="G2071" s="2">
        <v>1331.972778320312</v>
      </c>
      <c r="H2071" s="3">
        <v>13519723</v>
      </c>
      <c r="I2071" s="4">
        <f t="shared" si="128"/>
        <v>0</v>
      </c>
      <c r="J2071" s="2">
        <f t="shared" si="129"/>
        <v>2.6</v>
      </c>
      <c r="K2071" s="7">
        <f t="shared" si="130"/>
        <v>46113</v>
      </c>
      <c r="L2071" t="str">
        <f t="shared" si="131"/>
        <v>Q2-2026</v>
      </c>
    </row>
    <row r="2072" spans="1:12">
      <c r="A2072" s="6">
        <v>46121</v>
      </c>
      <c r="B2072" t="s">
        <v>8</v>
      </c>
      <c r="C2072" t="s">
        <v>9</v>
      </c>
      <c r="D2072" s="2">
        <v>1339.805269031955</v>
      </c>
      <c r="E2072" s="2">
        <v>1343.7868597274439</v>
      </c>
      <c r="F2072" s="2">
        <v>1320.195983460075</v>
      </c>
      <c r="G2072" s="2">
        <v>1323.87890625</v>
      </c>
      <c r="H2072" s="3">
        <v>20725390</v>
      </c>
      <c r="I2072" s="4">
        <f t="shared" si="128"/>
        <v>-1.46</v>
      </c>
      <c r="J2072" s="2">
        <f t="shared" si="129"/>
        <v>19.91</v>
      </c>
      <c r="K2072" s="7">
        <f t="shared" si="130"/>
        <v>46113</v>
      </c>
      <c r="L2072" t="str">
        <f t="shared" si="131"/>
        <v>Q2-2026</v>
      </c>
    </row>
    <row r="2073" spans="1:12">
      <c r="A2073" s="6">
        <v>46121</v>
      </c>
      <c r="B2073" t="s">
        <v>10</v>
      </c>
      <c r="C2073" t="s">
        <v>11</v>
      </c>
      <c r="D2073" s="2">
        <v>2506.092799275481</v>
      </c>
      <c r="E2073" s="2">
        <v>2556.1361558780841</v>
      </c>
      <c r="F2073" s="2">
        <v>2483.622446743067</v>
      </c>
      <c r="G2073" s="2">
        <v>2540.436279296875</v>
      </c>
      <c r="H2073" s="3">
        <v>5628261</v>
      </c>
      <c r="I2073" s="4">
        <f t="shared" si="128"/>
        <v>-0.9</v>
      </c>
      <c r="J2073" s="2">
        <f t="shared" si="129"/>
        <v>15.7</v>
      </c>
      <c r="K2073" s="7">
        <f t="shared" si="130"/>
        <v>46113</v>
      </c>
      <c r="L2073" t="str">
        <f t="shared" si="131"/>
        <v>Q2-2026</v>
      </c>
    </row>
    <row r="2074" spans="1:12">
      <c r="A2074" s="6">
        <v>46121</v>
      </c>
      <c r="B2074" t="s">
        <v>12</v>
      </c>
      <c r="C2074" t="s">
        <v>13</v>
      </c>
      <c r="D2074" s="2">
        <v>1301.7313192842821</v>
      </c>
      <c r="E2074" s="2">
        <v>1309.1703192575089</v>
      </c>
      <c r="F2074" s="2">
        <v>1286.1680743957879</v>
      </c>
      <c r="G2074" s="2">
        <v>1303.395263671875</v>
      </c>
      <c r="H2074" s="3">
        <v>14894607</v>
      </c>
      <c r="I2074" s="4">
        <f t="shared" si="128"/>
        <v>-1.2</v>
      </c>
      <c r="J2074" s="2">
        <f t="shared" si="129"/>
        <v>5.78</v>
      </c>
      <c r="K2074" s="7">
        <f t="shared" si="130"/>
        <v>46113</v>
      </c>
      <c r="L2074" t="str">
        <f t="shared" si="131"/>
        <v>Q2-2026</v>
      </c>
    </row>
    <row r="2075" spans="1:12">
      <c r="A2075" s="6">
        <v>46121</v>
      </c>
      <c r="B2075" t="s">
        <v>14</v>
      </c>
      <c r="C2075" t="s">
        <v>15</v>
      </c>
      <c r="D2075" s="2">
        <v>801.73970315811982</v>
      </c>
      <c r="E2075" s="2">
        <v>805.67462194662596</v>
      </c>
      <c r="F2075" s="2">
        <v>780.19599877421058</v>
      </c>
      <c r="G2075" s="2">
        <v>784.72119140625</v>
      </c>
      <c r="H2075" s="3">
        <v>48879392</v>
      </c>
      <c r="I2075" s="4">
        <f t="shared" si="128"/>
        <v>-2.69</v>
      </c>
      <c r="J2075" s="2">
        <f t="shared" si="129"/>
        <v>20.95</v>
      </c>
      <c r="K2075" s="7">
        <f t="shared" si="130"/>
        <v>46113</v>
      </c>
      <c r="L2075" t="str">
        <f t="shared" si="131"/>
        <v>Q2-2026</v>
      </c>
    </row>
    <row r="2076" spans="1:12">
      <c r="A2076" s="6">
        <v>46121</v>
      </c>
      <c r="B2076" t="s">
        <v>16</v>
      </c>
      <c r="C2076" t="s">
        <v>17</v>
      </c>
      <c r="D2076" s="2">
        <v>1289.032858674316</v>
      </c>
      <c r="E2076" s="2">
        <v>1297.065118454786</v>
      </c>
      <c r="F2076" s="2">
        <v>1265.2334987026679</v>
      </c>
      <c r="G2076" s="2">
        <v>1270.58837890625</v>
      </c>
      <c r="H2076" s="3">
        <v>22923062</v>
      </c>
      <c r="I2076" s="4">
        <f t="shared" si="128"/>
        <v>-1.85</v>
      </c>
      <c r="J2076" s="2">
        <f t="shared" si="129"/>
        <v>26.48</v>
      </c>
      <c r="K2076" s="7">
        <f t="shared" si="130"/>
        <v>46113</v>
      </c>
      <c r="L2076" t="str">
        <f t="shared" si="131"/>
        <v>Q2-2026</v>
      </c>
    </row>
    <row r="2077" spans="1:12">
      <c r="A2077" s="6">
        <v>46121</v>
      </c>
      <c r="B2077" t="s">
        <v>18</v>
      </c>
      <c r="C2077" t="s">
        <v>19</v>
      </c>
      <c r="D2077" s="2">
        <v>201.40974996967779</v>
      </c>
      <c r="E2077" s="2">
        <v>201.85466563334421</v>
      </c>
      <c r="F2077" s="2">
        <v>199.3532351450643</v>
      </c>
      <c r="G2077" s="2">
        <v>200.5792236328125</v>
      </c>
      <c r="H2077" s="3">
        <v>14540807</v>
      </c>
      <c r="I2077" s="4">
        <f t="shared" si="128"/>
        <v>-1.02</v>
      </c>
      <c r="J2077" s="2">
        <f t="shared" si="129"/>
        <v>1.28</v>
      </c>
      <c r="K2077" s="7">
        <f t="shared" si="130"/>
        <v>46113</v>
      </c>
      <c r="L2077" t="str">
        <f t="shared" si="131"/>
        <v>Q2-2026</v>
      </c>
    </row>
    <row r="2078" spans="1:12">
      <c r="A2078" s="6">
        <v>46121</v>
      </c>
      <c r="B2078" t="s">
        <v>20</v>
      </c>
      <c r="C2078" t="s">
        <v>21</v>
      </c>
      <c r="D2078" s="2">
        <v>1417.0274334936839</v>
      </c>
      <c r="E2078" s="2">
        <v>1426.8375248250879</v>
      </c>
      <c r="F2078" s="2">
        <v>1394.7846736887859</v>
      </c>
      <c r="G2078" s="2">
        <v>1422.855224609375</v>
      </c>
      <c r="H2078" s="3">
        <v>3101205</v>
      </c>
      <c r="I2078" s="4">
        <f t="shared" si="128"/>
        <v>-1.57</v>
      </c>
      <c r="J2078" s="2">
        <f t="shared" si="129"/>
        <v>3.98</v>
      </c>
      <c r="K2078" s="7">
        <f t="shared" si="130"/>
        <v>46113</v>
      </c>
      <c r="L2078" t="str">
        <f t="shared" si="131"/>
        <v>Q2-2026</v>
      </c>
    </row>
    <row r="2079" spans="1:12">
      <c r="A2079" s="6">
        <v>46121</v>
      </c>
      <c r="B2079" t="s">
        <v>22</v>
      </c>
      <c r="C2079" t="s">
        <v>23</v>
      </c>
      <c r="D2079" s="2">
        <v>896.4890823934403</v>
      </c>
      <c r="E2079" s="2">
        <v>907.81945648016506</v>
      </c>
      <c r="F2079" s="2">
        <v>885.9538691047153</v>
      </c>
      <c r="G2079" s="2">
        <v>897.7314453125</v>
      </c>
      <c r="H2079" s="3">
        <v>9457820</v>
      </c>
      <c r="I2079" s="4">
        <f t="shared" si="128"/>
        <v>-1.18</v>
      </c>
      <c r="J2079" s="2">
        <f t="shared" si="129"/>
        <v>10.09</v>
      </c>
      <c r="K2079" s="7">
        <f t="shared" si="130"/>
        <v>46113</v>
      </c>
      <c r="L2079" t="str">
        <f t="shared" si="131"/>
        <v>Q2-2026</v>
      </c>
    </row>
    <row r="2080" spans="1:12">
      <c r="A2080" s="6">
        <v>46121</v>
      </c>
      <c r="B2080" t="s">
        <v>24</v>
      </c>
      <c r="C2080" t="s">
        <v>25</v>
      </c>
      <c r="D2080" s="2">
        <v>13435.070756764429</v>
      </c>
      <c r="E2080" s="2">
        <v>13636.05228687668</v>
      </c>
      <c r="F2080" s="2">
        <v>13197.457125104631</v>
      </c>
      <c r="G2080" s="2">
        <v>13453.8818359375</v>
      </c>
      <c r="H2080" s="3">
        <v>549914</v>
      </c>
      <c r="I2080" s="4">
        <f t="shared" si="128"/>
        <v>-1.77</v>
      </c>
      <c r="J2080" s="2">
        <f t="shared" si="129"/>
        <v>182.17</v>
      </c>
      <c r="K2080" s="7">
        <f t="shared" si="130"/>
        <v>46113</v>
      </c>
      <c r="L2080" t="str">
        <f t="shared" si="131"/>
        <v>Q2-2026</v>
      </c>
    </row>
    <row r="2081" spans="1:12">
      <c r="A2081" s="6">
        <v>46121</v>
      </c>
      <c r="B2081" t="s">
        <v>26</v>
      </c>
      <c r="C2081" t="s">
        <v>27</v>
      </c>
      <c r="D2081" s="2">
        <v>331.7480474702416</v>
      </c>
      <c r="E2081" s="2">
        <v>336.40939238135951</v>
      </c>
      <c r="F2081" s="2">
        <v>327.73137918146517</v>
      </c>
      <c r="G2081" s="2">
        <v>330.50833129882813</v>
      </c>
      <c r="H2081" s="3">
        <v>11110200</v>
      </c>
      <c r="I2081" s="4">
        <f t="shared" si="128"/>
        <v>-1.21</v>
      </c>
      <c r="J2081" s="2">
        <f t="shared" si="129"/>
        <v>5.9</v>
      </c>
      <c r="K2081" s="7">
        <f t="shared" si="130"/>
        <v>46113</v>
      </c>
      <c r="L2081" t="str">
        <f t="shared" si="131"/>
        <v>Q2-2026</v>
      </c>
    </row>
    <row r="2082" spans="1:12">
      <c r="A2082" s="6">
        <v>46121</v>
      </c>
      <c r="B2082" t="s">
        <v>28</v>
      </c>
      <c r="C2082" t="s">
        <v>29</v>
      </c>
      <c r="D2082" s="2">
        <v>1698.249188710168</v>
      </c>
      <c r="E2082" s="2">
        <v>1726.3755485377769</v>
      </c>
      <c r="F2082" s="2">
        <v>1698.249188710168</v>
      </c>
      <c r="G2082" s="2">
        <v>1712.611572265625</v>
      </c>
      <c r="H2082" s="3">
        <v>3276165</v>
      </c>
      <c r="I2082" s="4">
        <f t="shared" si="128"/>
        <v>0</v>
      </c>
      <c r="J2082" s="2">
        <f t="shared" si="129"/>
        <v>13.76</v>
      </c>
      <c r="K2082" s="7">
        <f t="shared" si="130"/>
        <v>46113</v>
      </c>
      <c r="L2082" t="str">
        <f t="shared" si="131"/>
        <v>Q2-2026</v>
      </c>
    </row>
    <row r="2083" spans="1:12">
      <c r="A2083" s="6">
        <v>46121</v>
      </c>
      <c r="B2083" t="s">
        <v>30</v>
      </c>
      <c r="C2083" t="s">
        <v>31</v>
      </c>
      <c r="D2083" s="2">
        <v>2255.4318247875872</v>
      </c>
      <c r="E2083" s="2">
        <v>2269.9063412266701</v>
      </c>
      <c r="F2083" s="2">
        <v>2232.629656888636</v>
      </c>
      <c r="G2083" s="2">
        <v>2250.078369140625</v>
      </c>
      <c r="H2083" s="3">
        <v>1980060</v>
      </c>
      <c r="I2083" s="4">
        <f t="shared" si="128"/>
        <v>-1.01</v>
      </c>
      <c r="J2083" s="2">
        <f t="shared" si="129"/>
        <v>19.829999999999998</v>
      </c>
      <c r="K2083" s="7">
        <f t="shared" si="130"/>
        <v>46113</v>
      </c>
      <c r="L2083" t="str">
        <f t="shared" si="131"/>
        <v>Q2-2026</v>
      </c>
    </row>
    <row r="2084" spans="1:12">
      <c r="A2084" s="6">
        <v>46121</v>
      </c>
      <c r="B2084" t="s">
        <v>32</v>
      </c>
      <c r="C2084" t="s">
        <v>33</v>
      </c>
      <c r="D2084" s="2">
        <v>2123.896656880212</v>
      </c>
      <c r="E2084" s="2">
        <v>2141.1213571449211</v>
      </c>
      <c r="F2084" s="2">
        <v>2093.7037656964098</v>
      </c>
      <c r="G2084" s="2">
        <v>2111.720458984375</v>
      </c>
      <c r="H2084" s="3">
        <v>2506245</v>
      </c>
      <c r="I2084" s="4">
        <f t="shared" si="128"/>
        <v>-1.42</v>
      </c>
      <c r="J2084" s="2">
        <f t="shared" si="129"/>
        <v>29.4</v>
      </c>
      <c r="K2084" s="7">
        <f t="shared" si="130"/>
        <v>46113</v>
      </c>
      <c r="L2084" t="str">
        <f t="shared" si="131"/>
        <v>Q2-2026</v>
      </c>
    </row>
    <row r="2085" spans="1:12">
      <c r="A2085" s="6">
        <v>46121</v>
      </c>
      <c r="B2085" t="s">
        <v>34</v>
      </c>
      <c r="C2085" t="s">
        <v>35</v>
      </c>
      <c r="D2085" s="2">
        <v>3949.4245285448469</v>
      </c>
      <c r="E2085" s="2">
        <v>3949.4245285448469</v>
      </c>
      <c r="F2085" s="2">
        <v>3848.0151288364709</v>
      </c>
      <c r="G2085" s="2">
        <v>3858.512451171875</v>
      </c>
      <c r="H2085" s="3">
        <v>4415151</v>
      </c>
      <c r="I2085" s="4">
        <f t="shared" si="128"/>
        <v>-2.57</v>
      </c>
      <c r="J2085" s="2">
        <f t="shared" si="129"/>
        <v>90.91</v>
      </c>
      <c r="K2085" s="7">
        <f t="shared" si="130"/>
        <v>46113</v>
      </c>
      <c r="L2085" t="str">
        <f t="shared" si="131"/>
        <v>Q2-2026</v>
      </c>
    </row>
    <row r="2086" spans="1:12">
      <c r="A2086" s="6">
        <v>46121</v>
      </c>
      <c r="B2086" t="s">
        <v>36</v>
      </c>
      <c r="C2086" t="s">
        <v>37</v>
      </c>
      <c r="D2086" s="2">
        <v>1321.281007006804</v>
      </c>
      <c r="E2086" s="2">
        <v>1337.568372086906</v>
      </c>
      <c r="F2086" s="2">
        <v>1311.788328262907</v>
      </c>
      <c r="G2086" s="2">
        <v>1317.48388671875</v>
      </c>
      <c r="H2086" s="3">
        <v>6542529</v>
      </c>
      <c r="I2086" s="4">
        <f t="shared" si="128"/>
        <v>-0.72</v>
      </c>
      <c r="J2086" s="2">
        <f t="shared" si="129"/>
        <v>20.079999999999998</v>
      </c>
      <c r="K2086" s="7">
        <f t="shared" si="130"/>
        <v>46113</v>
      </c>
      <c r="L2086" t="str">
        <f t="shared" si="131"/>
        <v>Q2-2026</v>
      </c>
    </row>
    <row r="2087" spans="1:12">
      <c r="A2087" s="6">
        <v>46122</v>
      </c>
      <c r="B2087" t="s">
        <v>8</v>
      </c>
      <c r="C2087" t="s">
        <v>9</v>
      </c>
      <c r="D2087" s="2">
        <v>1330.8467605257399</v>
      </c>
      <c r="E2087" s="2">
        <v>1346.076394346828</v>
      </c>
      <c r="F2087" s="2">
        <v>1325.3720730291859</v>
      </c>
      <c r="G2087" s="2">
        <v>1343.985961914062</v>
      </c>
      <c r="H2087" s="3">
        <v>19364461</v>
      </c>
      <c r="I2087" s="4">
        <f t="shared" si="128"/>
        <v>-0.41</v>
      </c>
      <c r="J2087" s="2">
        <f t="shared" si="129"/>
        <v>2.09</v>
      </c>
      <c r="K2087" s="7">
        <f t="shared" si="130"/>
        <v>46113</v>
      </c>
      <c r="L2087" t="str">
        <f t="shared" si="131"/>
        <v>Q2-2026</v>
      </c>
    </row>
    <row r="2088" spans="1:12">
      <c r="A2088" s="6">
        <v>46122</v>
      </c>
      <c r="B2088" t="s">
        <v>10</v>
      </c>
      <c r="C2088" t="s">
        <v>11</v>
      </c>
      <c r="D2088" s="2">
        <v>2517.6712578981992</v>
      </c>
      <c r="E2088" s="2">
        <v>2517.6712578981992</v>
      </c>
      <c r="F2088" s="2">
        <v>2454.184936145557</v>
      </c>
      <c r="G2088" s="2">
        <v>2476.94970703125</v>
      </c>
      <c r="H2088" s="3">
        <v>10480239</v>
      </c>
      <c r="I2088" s="4">
        <f t="shared" si="128"/>
        <v>-2.52</v>
      </c>
      <c r="J2088" s="2">
        <f t="shared" si="129"/>
        <v>40.72</v>
      </c>
      <c r="K2088" s="7">
        <f t="shared" si="130"/>
        <v>46113</v>
      </c>
      <c r="L2088" t="str">
        <f t="shared" si="131"/>
        <v>Q2-2026</v>
      </c>
    </row>
    <row r="2089" spans="1:12">
      <c r="A2089" s="6">
        <v>46122</v>
      </c>
      <c r="B2089" t="s">
        <v>12</v>
      </c>
      <c r="C2089" t="s">
        <v>13</v>
      </c>
      <c r="D2089" s="2">
        <v>1290.083419215425</v>
      </c>
      <c r="E2089" s="2">
        <v>1290.964380196815</v>
      </c>
      <c r="F2089" s="2">
        <v>1256.1184483091879</v>
      </c>
      <c r="G2089" s="2">
        <v>1265.12353515625</v>
      </c>
      <c r="H2089" s="3">
        <v>19233369</v>
      </c>
      <c r="I2089" s="4">
        <f t="shared" si="128"/>
        <v>-2.63</v>
      </c>
      <c r="J2089" s="2">
        <f t="shared" si="129"/>
        <v>25.84</v>
      </c>
      <c r="K2089" s="7">
        <f t="shared" si="130"/>
        <v>46113</v>
      </c>
      <c r="L2089" t="str">
        <f t="shared" si="131"/>
        <v>Q2-2026</v>
      </c>
    </row>
    <row r="2090" spans="1:12">
      <c r="A2090" s="6">
        <v>46122</v>
      </c>
      <c r="B2090" t="s">
        <v>14</v>
      </c>
      <c r="C2090" t="s">
        <v>15</v>
      </c>
      <c r="D2090" s="2">
        <v>790.91866490960535</v>
      </c>
      <c r="E2090" s="2">
        <v>799.0344347920734</v>
      </c>
      <c r="F2090" s="2">
        <v>787.96747586143522</v>
      </c>
      <c r="G2090" s="2">
        <v>797.11614990234375</v>
      </c>
      <c r="H2090" s="3">
        <v>38156026</v>
      </c>
      <c r="I2090" s="4">
        <f t="shared" si="128"/>
        <v>-0.37</v>
      </c>
      <c r="J2090" s="2">
        <f t="shared" si="129"/>
        <v>1.92</v>
      </c>
      <c r="K2090" s="7">
        <f t="shared" si="130"/>
        <v>46113</v>
      </c>
      <c r="L2090" t="str">
        <f t="shared" si="131"/>
        <v>Q2-2026</v>
      </c>
    </row>
    <row r="2091" spans="1:12">
      <c r="A2091" s="6">
        <v>46122</v>
      </c>
      <c r="B2091" t="s">
        <v>16</v>
      </c>
      <c r="C2091" t="s">
        <v>17</v>
      </c>
      <c r="D2091" s="2">
        <v>1278.223898317528</v>
      </c>
      <c r="E2091" s="2">
        <v>1312.9312966426739</v>
      </c>
      <c r="F2091" s="2">
        <v>1277.728078341454</v>
      </c>
      <c r="G2091" s="2">
        <v>1310.848876953125</v>
      </c>
      <c r="H2091" s="3">
        <v>18174755</v>
      </c>
      <c r="I2091" s="4">
        <f t="shared" si="128"/>
        <v>-0.04</v>
      </c>
      <c r="J2091" s="2">
        <f t="shared" si="129"/>
        <v>2.08</v>
      </c>
      <c r="K2091" s="7">
        <f t="shared" si="130"/>
        <v>46113</v>
      </c>
      <c r="L2091" t="str">
        <f t="shared" si="131"/>
        <v>Q2-2026</v>
      </c>
    </row>
    <row r="2092" spans="1:12">
      <c r="A2092" s="6">
        <v>46122</v>
      </c>
      <c r="B2092" t="s">
        <v>18</v>
      </c>
      <c r="C2092" t="s">
        <v>19</v>
      </c>
      <c r="D2092" s="2">
        <v>206.34340110912891</v>
      </c>
      <c r="E2092" s="2">
        <v>206.34340110912891</v>
      </c>
      <c r="F2092" s="2">
        <v>198.35463693487119</v>
      </c>
      <c r="G2092" s="2">
        <v>202.56654357910159</v>
      </c>
      <c r="H2092" s="3">
        <v>51219565</v>
      </c>
      <c r="I2092" s="4">
        <f t="shared" si="128"/>
        <v>-3.87</v>
      </c>
      <c r="J2092" s="2">
        <f t="shared" si="129"/>
        <v>3.78</v>
      </c>
      <c r="K2092" s="7">
        <f t="shared" si="130"/>
        <v>46113</v>
      </c>
      <c r="L2092" t="str">
        <f t="shared" si="131"/>
        <v>Q2-2026</v>
      </c>
    </row>
    <row r="2093" spans="1:12">
      <c r="A2093" s="6">
        <v>46122</v>
      </c>
      <c r="B2093" t="s">
        <v>20</v>
      </c>
      <c r="C2093" t="s">
        <v>21</v>
      </c>
      <c r="D2093" s="2">
        <v>1410.325426072679</v>
      </c>
      <c r="E2093" s="2">
        <v>1415.764673975043</v>
      </c>
      <c r="F2093" s="2">
        <v>1380.3122786226661</v>
      </c>
      <c r="G2093" s="2">
        <v>1409.54833984375</v>
      </c>
      <c r="H2093" s="3">
        <v>3450066</v>
      </c>
      <c r="I2093" s="4">
        <f t="shared" si="128"/>
        <v>-2.13</v>
      </c>
      <c r="J2093" s="2">
        <f t="shared" si="129"/>
        <v>6.22</v>
      </c>
      <c r="K2093" s="7">
        <f t="shared" si="130"/>
        <v>46113</v>
      </c>
      <c r="L2093" t="str">
        <f t="shared" si="131"/>
        <v>Q2-2026</v>
      </c>
    </row>
    <row r="2094" spans="1:12">
      <c r="A2094" s="6">
        <v>46122</v>
      </c>
      <c r="B2094" t="s">
        <v>22</v>
      </c>
      <c r="C2094" t="s">
        <v>23</v>
      </c>
      <c r="D2094" s="2">
        <v>910.15508325055475</v>
      </c>
      <c r="E2094" s="2">
        <v>921.63450460054366</v>
      </c>
      <c r="F2094" s="2">
        <v>906.72614942854432</v>
      </c>
      <c r="G2094" s="2">
        <v>918.90130615234375</v>
      </c>
      <c r="H2094" s="3">
        <v>9491544</v>
      </c>
      <c r="I2094" s="4">
        <f t="shared" si="128"/>
        <v>-0.38</v>
      </c>
      <c r="J2094" s="2">
        <f t="shared" si="129"/>
        <v>2.73</v>
      </c>
      <c r="K2094" s="7">
        <f t="shared" si="130"/>
        <v>46113</v>
      </c>
      <c r="L2094" t="str">
        <f t="shared" si="131"/>
        <v>Q2-2026</v>
      </c>
    </row>
    <row r="2095" spans="1:12">
      <c r="A2095" s="6">
        <v>46122</v>
      </c>
      <c r="B2095" t="s">
        <v>24</v>
      </c>
      <c r="C2095" t="s">
        <v>25</v>
      </c>
      <c r="D2095" s="2">
        <v>13514.275126200169</v>
      </c>
      <c r="E2095" s="2">
        <v>13659.813473713089</v>
      </c>
      <c r="F2095" s="2">
        <v>13454.87171905204</v>
      </c>
      <c r="G2095" s="2">
        <v>13572.6884765625</v>
      </c>
      <c r="H2095" s="3">
        <v>471921</v>
      </c>
      <c r="I2095" s="4">
        <f t="shared" si="128"/>
        <v>-0.44</v>
      </c>
      <c r="J2095" s="2">
        <f t="shared" si="129"/>
        <v>87.12</v>
      </c>
      <c r="K2095" s="7">
        <f t="shared" si="130"/>
        <v>46113</v>
      </c>
      <c r="L2095" t="str">
        <f t="shared" si="131"/>
        <v>Q2-2026</v>
      </c>
    </row>
    <row r="2096" spans="1:12">
      <c r="A2096" s="6">
        <v>46122</v>
      </c>
      <c r="B2096" t="s">
        <v>26</v>
      </c>
      <c r="C2096" t="s">
        <v>27</v>
      </c>
      <c r="D2096" s="2">
        <v>333.83079515359191</v>
      </c>
      <c r="E2096" s="2">
        <v>340.97154253593828</v>
      </c>
      <c r="F2096" s="2">
        <v>332.2439523131228</v>
      </c>
      <c r="G2096" s="2">
        <v>339.78143310546881</v>
      </c>
      <c r="H2096" s="3">
        <v>10666149</v>
      </c>
      <c r="I2096" s="4">
        <f t="shared" si="128"/>
        <v>-0.48</v>
      </c>
      <c r="J2096" s="2">
        <f t="shared" si="129"/>
        <v>1.19</v>
      </c>
      <c r="K2096" s="7">
        <f t="shared" si="130"/>
        <v>46113</v>
      </c>
      <c r="L2096" t="str">
        <f t="shared" si="131"/>
        <v>Q2-2026</v>
      </c>
    </row>
    <row r="2097" spans="1:12">
      <c r="A2097" s="6">
        <v>46122</v>
      </c>
      <c r="B2097" t="s">
        <v>28</v>
      </c>
      <c r="C2097" t="s">
        <v>29</v>
      </c>
      <c r="D2097" s="2">
        <v>1694.7583482564621</v>
      </c>
      <c r="E2097" s="2">
        <v>1695.5563058067451</v>
      </c>
      <c r="F2097" s="2">
        <v>1626.1382602251381</v>
      </c>
      <c r="G2097" s="2">
        <v>1650.57421875</v>
      </c>
      <c r="H2097" s="3">
        <v>8089531</v>
      </c>
      <c r="I2097" s="4">
        <f t="shared" si="128"/>
        <v>-4.05</v>
      </c>
      <c r="J2097" s="2">
        <f t="shared" si="129"/>
        <v>44.98</v>
      </c>
      <c r="K2097" s="7">
        <f t="shared" si="130"/>
        <v>46113</v>
      </c>
      <c r="L2097" t="str">
        <f t="shared" si="131"/>
        <v>Q2-2026</v>
      </c>
    </row>
    <row r="2098" spans="1:12">
      <c r="A2098" s="6">
        <v>46122</v>
      </c>
      <c r="B2098" t="s">
        <v>30</v>
      </c>
      <c r="C2098" t="s">
        <v>31</v>
      </c>
      <c r="D2098" s="2">
        <v>2248.1946997294722</v>
      </c>
      <c r="E2098" s="2">
        <v>2356.455385323462</v>
      </c>
      <c r="F2098" s="2">
        <v>2248.1946997294722</v>
      </c>
      <c r="G2098" s="2">
        <v>2340.394775390625</v>
      </c>
      <c r="H2098" s="3">
        <v>3018178</v>
      </c>
      <c r="I2098" s="4">
        <f t="shared" si="128"/>
        <v>0</v>
      </c>
      <c r="J2098" s="2">
        <f t="shared" si="129"/>
        <v>16.059999999999999</v>
      </c>
      <c r="K2098" s="7">
        <f t="shared" si="130"/>
        <v>46113</v>
      </c>
      <c r="L2098" t="str">
        <f t="shared" si="131"/>
        <v>Q2-2026</v>
      </c>
    </row>
    <row r="2099" spans="1:12">
      <c r="A2099" s="6">
        <v>46122</v>
      </c>
      <c r="B2099" t="s">
        <v>32</v>
      </c>
      <c r="C2099" t="s">
        <v>33</v>
      </c>
      <c r="D2099" s="2">
        <v>2111.7205746871009</v>
      </c>
      <c r="E2099" s="2">
        <v>2148.150080611827</v>
      </c>
      <c r="F2099" s="2">
        <v>2100.0393415804838</v>
      </c>
      <c r="G2099" s="2">
        <v>2133.59814453125</v>
      </c>
      <c r="H2099" s="3">
        <v>2144484</v>
      </c>
      <c r="I2099" s="4">
        <f t="shared" si="128"/>
        <v>-0.55000000000000004</v>
      </c>
      <c r="J2099" s="2">
        <f t="shared" si="129"/>
        <v>14.55</v>
      </c>
      <c r="K2099" s="7">
        <f t="shared" si="130"/>
        <v>46113</v>
      </c>
      <c r="L2099" t="str">
        <f t="shared" si="131"/>
        <v>Q2-2026</v>
      </c>
    </row>
    <row r="2100" spans="1:12">
      <c r="A2100" s="6">
        <v>46122</v>
      </c>
      <c r="B2100" t="s">
        <v>34</v>
      </c>
      <c r="C2100" t="s">
        <v>35</v>
      </c>
      <c r="D2100" s="2">
        <v>3893.9661619938661</v>
      </c>
      <c r="E2100" s="2">
        <v>3926.6469563340988</v>
      </c>
      <c r="F2100" s="2">
        <v>3877.7248942455021</v>
      </c>
      <c r="G2100" s="2">
        <v>3921.59619140625</v>
      </c>
      <c r="H2100" s="3">
        <v>2822017</v>
      </c>
      <c r="I2100" s="4">
        <f t="shared" si="128"/>
        <v>-0.42</v>
      </c>
      <c r="J2100" s="2">
        <f t="shared" si="129"/>
        <v>5.05</v>
      </c>
      <c r="K2100" s="7">
        <f t="shared" si="130"/>
        <v>46113</v>
      </c>
      <c r="L2100" t="str">
        <f t="shared" si="131"/>
        <v>Q2-2026</v>
      </c>
    </row>
    <row r="2101" spans="1:12">
      <c r="A2101" s="6">
        <v>46122</v>
      </c>
      <c r="B2101" t="s">
        <v>36</v>
      </c>
      <c r="C2101" t="s">
        <v>37</v>
      </c>
      <c r="D2101" s="2">
        <v>1327.775987854385</v>
      </c>
      <c r="E2101" s="2">
        <v>1357.5529488228451</v>
      </c>
      <c r="F2101" s="2">
        <v>1325.0779954667521</v>
      </c>
      <c r="G2101" s="2">
        <v>1349.759033203125</v>
      </c>
      <c r="H2101" s="3">
        <v>6755589</v>
      </c>
      <c r="I2101" s="4">
        <f t="shared" si="128"/>
        <v>-0.2</v>
      </c>
      <c r="J2101" s="2">
        <f t="shared" si="129"/>
        <v>7.79</v>
      </c>
      <c r="K2101" s="7">
        <f t="shared" si="130"/>
        <v>46113</v>
      </c>
      <c r="L2101" t="str">
        <f t="shared" si="131"/>
        <v>Q2-2026</v>
      </c>
    </row>
    <row r="2102" spans="1:12">
      <c r="A2102" s="6">
        <v>46125</v>
      </c>
      <c r="B2102" t="s">
        <v>8</v>
      </c>
      <c r="C2102" t="s">
        <v>9</v>
      </c>
      <c r="D2102" s="2">
        <v>1315.1193869938079</v>
      </c>
      <c r="E2102" s="2">
        <v>1321.489956548176</v>
      </c>
      <c r="F2102" s="2">
        <v>1303.9709814050459</v>
      </c>
      <c r="G2102" s="2">
        <v>1309.047485351562</v>
      </c>
      <c r="H2102" s="3">
        <v>28753269</v>
      </c>
      <c r="I2102" s="4">
        <f t="shared" si="128"/>
        <v>-0.85</v>
      </c>
      <c r="J2102" s="2">
        <f t="shared" si="129"/>
        <v>12.44</v>
      </c>
      <c r="K2102" s="7">
        <f t="shared" si="130"/>
        <v>46113</v>
      </c>
      <c r="L2102" t="str">
        <f t="shared" si="131"/>
        <v>Q2-2026</v>
      </c>
    </row>
    <row r="2103" spans="1:12">
      <c r="A2103" s="6">
        <v>46125</v>
      </c>
      <c r="B2103" t="s">
        <v>10</v>
      </c>
      <c r="C2103" t="s">
        <v>11</v>
      </c>
      <c r="D2103" s="2">
        <v>2443.1950261421921</v>
      </c>
      <c r="E2103" s="2">
        <v>2457.913660155406</v>
      </c>
      <c r="F2103" s="2">
        <v>2423.6684008424359</v>
      </c>
      <c r="G2103" s="2">
        <v>2426.2197265625</v>
      </c>
      <c r="H2103" s="3">
        <v>3739587</v>
      </c>
      <c r="I2103" s="4">
        <f t="shared" si="128"/>
        <v>-0.8</v>
      </c>
      <c r="J2103" s="2">
        <f t="shared" si="129"/>
        <v>31.69</v>
      </c>
      <c r="K2103" s="7">
        <f t="shared" si="130"/>
        <v>46113</v>
      </c>
      <c r="L2103" t="str">
        <f t="shared" si="131"/>
        <v>Q2-2026</v>
      </c>
    </row>
    <row r="2104" spans="1:12">
      <c r="A2104" s="6">
        <v>46125</v>
      </c>
      <c r="B2104" t="s">
        <v>12</v>
      </c>
      <c r="C2104" t="s">
        <v>13</v>
      </c>
      <c r="D2104" s="2">
        <v>1245.0577246851819</v>
      </c>
      <c r="E2104" s="2">
        <v>1261.697647106289</v>
      </c>
      <c r="F2104" s="2">
        <v>1238.891117405818</v>
      </c>
      <c r="G2104" s="2">
        <v>1249.756103515625</v>
      </c>
      <c r="H2104" s="3">
        <v>10366082</v>
      </c>
      <c r="I2104" s="4">
        <f t="shared" si="128"/>
        <v>-0.5</v>
      </c>
      <c r="J2104" s="2">
        <f t="shared" si="129"/>
        <v>11.94</v>
      </c>
      <c r="K2104" s="7">
        <f t="shared" si="130"/>
        <v>46113</v>
      </c>
      <c r="L2104" t="str">
        <f t="shared" si="131"/>
        <v>Q2-2026</v>
      </c>
    </row>
    <row r="2105" spans="1:12">
      <c r="A2105" s="6">
        <v>46125</v>
      </c>
      <c r="B2105" t="s">
        <v>14</v>
      </c>
      <c r="C2105" t="s">
        <v>15</v>
      </c>
      <c r="D2105" s="2">
        <v>778.6220116333144</v>
      </c>
      <c r="E2105" s="2">
        <v>785.50811912722872</v>
      </c>
      <c r="F2105" s="2">
        <v>774.53950960222824</v>
      </c>
      <c r="G2105" s="2">
        <v>781.76995849609375</v>
      </c>
      <c r="H2105" s="3">
        <v>47549328</v>
      </c>
      <c r="I2105" s="4">
        <f t="shared" si="128"/>
        <v>-0.52</v>
      </c>
      <c r="J2105" s="2">
        <f t="shared" si="129"/>
        <v>3.74</v>
      </c>
      <c r="K2105" s="7">
        <f t="shared" si="130"/>
        <v>46113</v>
      </c>
      <c r="L2105" t="str">
        <f t="shared" si="131"/>
        <v>Q2-2026</v>
      </c>
    </row>
    <row r="2106" spans="1:12">
      <c r="A2106" s="6">
        <v>46125</v>
      </c>
      <c r="B2106" t="s">
        <v>16</v>
      </c>
      <c r="C2106" t="s">
        <v>17</v>
      </c>
      <c r="D2106" s="2">
        <v>1293.990971075717</v>
      </c>
      <c r="E2106" s="2">
        <v>1345.6553873069461</v>
      </c>
      <c r="F2106" s="2">
        <v>1285.85945100596</v>
      </c>
      <c r="G2106" s="2">
        <v>1339.8046875</v>
      </c>
      <c r="H2106" s="3">
        <v>30572141</v>
      </c>
      <c r="I2106" s="4">
        <f t="shared" si="128"/>
        <v>-0.63</v>
      </c>
      <c r="J2106" s="2">
        <f t="shared" si="129"/>
        <v>5.85</v>
      </c>
      <c r="K2106" s="7">
        <f t="shared" si="130"/>
        <v>46113</v>
      </c>
      <c r="L2106" t="str">
        <f t="shared" si="131"/>
        <v>Q2-2026</v>
      </c>
    </row>
    <row r="2107" spans="1:12">
      <c r="A2107" s="6">
        <v>46125</v>
      </c>
      <c r="B2107" t="s">
        <v>18</v>
      </c>
      <c r="C2107" t="s">
        <v>19</v>
      </c>
      <c r="D2107" s="2">
        <v>200.71764227509871</v>
      </c>
      <c r="E2107" s="2">
        <v>201.10323786200141</v>
      </c>
      <c r="F2107" s="2">
        <v>198.0481332052737</v>
      </c>
      <c r="G2107" s="2">
        <v>200.6781005859375</v>
      </c>
      <c r="H2107" s="3">
        <v>21930624</v>
      </c>
      <c r="I2107" s="4">
        <f t="shared" si="128"/>
        <v>-1.33</v>
      </c>
      <c r="J2107" s="2">
        <f t="shared" si="129"/>
        <v>0.43</v>
      </c>
      <c r="K2107" s="7">
        <f t="shared" si="130"/>
        <v>46113</v>
      </c>
      <c r="L2107" t="str">
        <f t="shared" si="131"/>
        <v>Q2-2026</v>
      </c>
    </row>
    <row r="2108" spans="1:12">
      <c r="A2108" s="6">
        <v>46125</v>
      </c>
      <c r="B2108" t="s">
        <v>20</v>
      </c>
      <c r="C2108" t="s">
        <v>21</v>
      </c>
      <c r="D2108" s="2">
        <v>1399.641184766916</v>
      </c>
      <c r="E2108" s="2">
        <v>1406.246062211934</v>
      </c>
      <c r="F2108" s="2">
        <v>1376.81566926239</v>
      </c>
      <c r="G2108" s="2">
        <v>1388.374145507812</v>
      </c>
      <c r="H2108" s="3">
        <v>2252652</v>
      </c>
      <c r="I2108" s="4">
        <f t="shared" si="128"/>
        <v>-1.63</v>
      </c>
      <c r="J2108" s="2">
        <f t="shared" si="129"/>
        <v>17.87</v>
      </c>
      <c r="K2108" s="7">
        <f t="shared" si="130"/>
        <v>46113</v>
      </c>
      <c r="L2108" t="str">
        <f t="shared" si="131"/>
        <v>Q2-2026</v>
      </c>
    </row>
    <row r="2109" spans="1:12">
      <c r="A2109" s="6">
        <v>46125</v>
      </c>
      <c r="B2109" t="s">
        <v>22</v>
      </c>
      <c r="C2109" t="s">
        <v>23</v>
      </c>
      <c r="D2109" s="2">
        <v>890.67488275764879</v>
      </c>
      <c r="E2109" s="2">
        <v>900.36531390232801</v>
      </c>
      <c r="F2109" s="2">
        <v>875.71678410195591</v>
      </c>
      <c r="G2109" s="2">
        <v>893.457763671875</v>
      </c>
      <c r="H2109" s="3">
        <v>10723313</v>
      </c>
      <c r="I2109" s="4">
        <f t="shared" si="128"/>
        <v>-1.68</v>
      </c>
      <c r="J2109" s="2">
        <f t="shared" si="129"/>
        <v>6.91</v>
      </c>
      <c r="K2109" s="7">
        <f t="shared" si="130"/>
        <v>46113</v>
      </c>
      <c r="L2109" t="str">
        <f t="shared" si="131"/>
        <v>Q2-2026</v>
      </c>
    </row>
    <row r="2110" spans="1:12">
      <c r="A2110" s="6">
        <v>46125</v>
      </c>
      <c r="B2110" t="s">
        <v>24</v>
      </c>
      <c r="C2110" t="s">
        <v>25</v>
      </c>
      <c r="D2110" s="2">
        <v>13268.740931322171</v>
      </c>
      <c r="E2110" s="2">
        <v>13286.56195331619</v>
      </c>
      <c r="F2110" s="2">
        <v>12837.076176356009</v>
      </c>
      <c r="G2110" s="2">
        <v>12945.982421875</v>
      </c>
      <c r="H2110" s="3">
        <v>1347910</v>
      </c>
      <c r="I2110" s="4">
        <f t="shared" si="128"/>
        <v>-3.25</v>
      </c>
      <c r="J2110" s="2">
        <f t="shared" si="129"/>
        <v>340.58</v>
      </c>
      <c r="K2110" s="7">
        <f t="shared" si="130"/>
        <v>46113</v>
      </c>
      <c r="L2110" t="str">
        <f t="shared" si="131"/>
        <v>Q2-2026</v>
      </c>
    </row>
    <row r="2111" spans="1:12">
      <c r="A2111" s="6">
        <v>46125</v>
      </c>
      <c r="B2111" t="s">
        <v>26</v>
      </c>
      <c r="C2111" t="s">
        <v>27</v>
      </c>
      <c r="D2111" s="2">
        <v>329.26862711706309</v>
      </c>
      <c r="E2111" s="2">
        <v>343.9468550144731</v>
      </c>
      <c r="F2111" s="2">
        <v>329.26862711706309</v>
      </c>
      <c r="G2111" s="2">
        <v>342.65756225585938</v>
      </c>
      <c r="H2111" s="3">
        <v>13113105</v>
      </c>
      <c r="I2111" s="4">
        <f t="shared" si="128"/>
        <v>0</v>
      </c>
      <c r="J2111" s="2">
        <f t="shared" si="129"/>
        <v>1.29</v>
      </c>
      <c r="K2111" s="7">
        <f t="shared" si="130"/>
        <v>46113</v>
      </c>
      <c r="L2111" t="str">
        <f t="shared" si="131"/>
        <v>Q2-2026</v>
      </c>
    </row>
    <row r="2112" spans="1:12">
      <c r="A2112" s="6">
        <v>46125</v>
      </c>
      <c r="B2112" t="s">
        <v>28</v>
      </c>
      <c r="C2112" t="s">
        <v>29</v>
      </c>
      <c r="D2112" s="2">
        <v>1650.574118771287</v>
      </c>
      <c r="E2112" s="2">
        <v>1664.337972545746</v>
      </c>
      <c r="F2112" s="2">
        <v>1635.81275724378</v>
      </c>
      <c r="G2112" s="2">
        <v>1647.881103515625</v>
      </c>
      <c r="H2112" s="3">
        <v>3751005</v>
      </c>
      <c r="I2112" s="4">
        <f t="shared" si="128"/>
        <v>-0.89</v>
      </c>
      <c r="J2112" s="2">
        <f t="shared" si="129"/>
        <v>16.46</v>
      </c>
      <c r="K2112" s="7">
        <f t="shared" si="130"/>
        <v>46113</v>
      </c>
      <c r="L2112" t="str">
        <f t="shared" si="131"/>
        <v>Q2-2026</v>
      </c>
    </row>
    <row r="2113" spans="1:12">
      <c r="A2113" s="6">
        <v>46125</v>
      </c>
      <c r="B2113" t="s">
        <v>30</v>
      </c>
      <c r="C2113" t="s">
        <v>31</v>
      </c>
      <c r="D2113" s="2">
        <v>2260.2896157134242</v>
      </c>
      <c r="E2113" s="2">
        <v>2342.179238497919</v>
      </c>
      <c r="F2113" s="2">
        <v>2242.5436772411822</v>
      </c>
      <c r="G2113" s="2">
        <v>2332.166015625</v>
      </c>
      <c r="H2113" s="3">
        <v>1734562</v>
      </c>
      <c r="I2113" s="4">
        <f t="shared" si="128"/>
        <v>-0.79</v>
      </c>
      <c r="J2113" s="2">
        <f t="shared" si="129"/>
        <v>10.01</v>
      </c>
      <c r="K2113" s="7">
        <f t="shared" si="130"/>
        <v>46113</v>
      </c>
      <c r="L2113" t="str">
        <f t="shared" si="131"/>
        <v>Q2-2026</v>
      </c>
    </row>
    <row r="2114" spans="1:12">
      <c r="A2114" s="6">
        <v>46125</v>
      </c>
      <c r="B2114" t="s">
        <v>32</v>
      </c>
      <c r="C2114" t="s">
        <v>33</v>
      </c>
      <c r="D2114" s="2">
        <v>2109.5427916939389</v>
      </c>
      <c r="E2114" s="2">
        <v>2119.145073286812</v>
      </c>
      <c r="F2114" s="2">
        <v>2092.219000584299</v>
      </c>
      <c r="G2114" s="2">
        <v>2105.781005859375</v>
      </c>
      <c r="H2114" s="3">
        <v>1994541</v>
      </c>
      <c r="I2114" s="4">
        <f t="shared" ref="I2114:I2177" si="132">ROUND(((F2114-D2114)/D2114)*100, 2)</f>
        <v>-0.82</v>
      </c>
      <c r="J2114" s="2">
        <f t="shared" ref="J2114:J2177" si="133">ROUND(E2114-G2114, 2)</f>
        <v>13.36</v>
      </c>
      <c r="K2114" s="7">
        <f t="shared" ref="K2114:K2177" si="134">DATE(YEAR(A2114),MONTH(A2114),1)</f>
        <v>46113</v>
      </c>
      <c r="L2114" t="str">
        <f t="shared" ref="L2114:L2177" si="135">"Q"&amp;INT((MONTH(A2114)-1)/3)+1&amp;"-"&amp;YEAR(A2114)</f>
        <v>Q2-2026</v>
      </c>
    </row>
    <row r="2115" spans="1:12">
      <c r="A2115" s="6">
        <v>46125</v>
      </c>
      <c r="B2115" t="s">
        <v>34</v>
      </c>
      <c r="C2115" t="s">
        <v>35</v>
      </c>
      <c r="D2115" s="2">
        <v>3788.0011935064008</v>
      </c>
      <c r="E2115" s="2">
        <v>3933.2821321015372</v>
      </c>
      <c r="F2115" s="2">
        <v>3778.6922153895471</v>
      </c>
      <c r="G2115" s="2">
        <v>3916.050537109375</v>
      </c>
      <c r="H2115" s="3">
        <v>4897563</v>
      </c>
      <c r="I2115" s="4">
        <f t="shared" si="132"/>
        <v>-0.25</v>
      </c>
      <c r="J2115" s="2">
        <f t="shared" si="133"/>
        <v>17.23</v>
      </c>
      <c r="K2115" s="7">
        <f t="shared" si="134"/>
        <v>46113</v>
      </c>
      <c r="L2115" t="str">
        <f t="shared" si="135"/>
        <v>Q2-2026</v>
      </c>
    </row>
    <row r="2116" spans="1:12">
      <c r="A2116" s="6">
        <v>46125</v>
      </c>
      <c r="B2116" t="s">
        <v>36</v>
      </c>
      <c r="C2116" t="s">
        <v>37</v>
      </c>
      <c r="D2116" s="2">
        <v>1316.984342696536</v>
      </c>
      <c r="E2116" s="2">
        <v>1365.8466845104961</v>
      </c>
      <c r="F2116" s="2">
        <v>1314.2864721203571</v>
      </c>
      <c r="G2116" s="2">
        <v>1352.556884765625</v>
      </c>
      <c r="H2116" s="3">
        <v>8974851</v>
      </c>
      <c r="I2116" s="4">
        <f t="shared" si="132"/>
        <v>-0.2</v>
      </c>
      <c r="J2116" s="2">
        <f t="shared" si="133"/>
        <v>13.29</v>
      </c>
      <c r="K2116" s="7">
        <f t="shared" si="134"/>
        <v>46113</v>
      </c>
      <c r="L2116" t="str">
        <f t="shared" si="135"/>
        <v>Q2-2026</v>
      </c>
    </row>
    <row r="2117" spans="1:12">
      <c r="A2117" s="6">
        <v>46127</v>
      </c>
      <c r="B2117" t="s">
        <v>8</v>
      </c>
      <c r="C2117" t="s">
        <v>9</v>
      </c>
      <c r="D2117" s="2">
        <v>1330.846762929749</v>
      </c>
      <c r="E2117" s="2">
        <v>1340.80074021419</v>
      </c>
      <c r="F2117" s="2">
        <v>1328.0596006867011</v>
      </c>
      <c r="G2117" s="2">
        <v>1337.9140625</v>
      </c>
      <c r="H2117" s="3">
        <v>15313779</v>
      </c>
      <c r="I2117" s="4">
        <f t="shared" si="132"/>
        <v>-0.21</v>
      </c>
      <c r="J2117" s="2">
        <f t="shared" si="133"/>
        <v>2.89</v>
      </c>
      <c r="K2117" s="7">
        <f t="shared" si="134"/>
        <v>46113</v>
      </c>
      <c r="L2117" t="str">
        <f t="shared" si="135"/>
        <v>Q2-2026</v>
      </c>
    </row>
    <row r="2118" spans="1:12">
      <c r="A2118" s="6">
        <v>46127</v>
      </c>
      <c r="B2118" t="s">
        <v>10</v>
      </c>
      <c r="C2118" t="s">
        <v>11</v>
      </c>
      <c r="D2118" s="2">
        <v>2454.9699887251031</v>
      </c>
      <c r="E2118" s="2">
        <v>2510.9990192902542</v>
      </c>
      <c r="F2118" s="2">
        <v>2446.6294292628259</v>
      </c>
      <c r="G2118" s="2">
        <v>2506.975830078125</v>
      </c>
      <c r="H2118" s="3">
        <v>5261384</v>
      </c>
      <c r="I2118" s="4">
        <f t="shared" si="132"/>
        <v>-0.34</v>
      </c>
      <c r="J2118" s="2">
        <f t="shared" si="133"/>
        <v>4.0199999999999996</v>
      </c>
      <c r="K2118" s="7">
        <f t="shared" si="134"/>
        <v>46113</v>
      </c>
      <c r="L2118" t="str">
        <f t="shared" si="135"/>
        <v>Q2-2026</v>
      </c>
    </row>
    <row r="2119" spans="1:12">
      <c r="A2119" s="6">
        <v>46127</v>
      </c>
      <c r="B2119" t="s">
        <v>12</v>
      </c>
      <c r="C2119" t="s">
        <v>13</v>
      </c>
      <c r="D2119" s="2">
        <v>1278.631284802942</v>
      </c>
      <c r="E2119" s="2">
        <v>1294.4881045276461</v>
      </c>
      <c r="F2119" s="2">
        <v>1272.954086909795</v>
      </c>
      <c r="G2119" s="2">
        <v>1277.652465820312</v>
      </c>
      <c r="H2119" s="3">
        <v>12098912</v>
      </c>
      <c r="I2119" s="4">
        <f t="shared" si="132"/>
        <v>-0.44</v>
      </c>
      <c r="J2119" s="2">
        <f t="shared" si="133"/>
        <v>16.84</v>
      </c>
      <c r="K2119" s="7">
        <f t="shared" si="134"/>
        <v>46113</v>
      </c>
      <c r="L2119" t="str">
        <f t="shared" si="135"/>
        <v>Q2-2026</v>
      </c>
    </row>
    <row r="2120" spans="1:12">
      <c r="A2120" s="6">
        <v>46127</v>
      </c>
      <c r="B2120" t="s">
        <v>14</v>
      </c>
      <c r="C2120" t="s">
        <v>15</v>
      </c>
      <c r="D2120" s="2">
        <v>791.85318254315689</v>
      </c>
      <c r="E2120" s="2">
        <v>801.54289544136714</v>
      </c>
      <c r="F2120" s="2">
        <v>790.91862738049531</v>
      </c>
      <c r="G2120" s="2">
        <v>796.72265625</v>
      </c>
      <c r="H2120" s="3">
        <v>39769515</v>
      </c>
      <c r="I2120" s="4">
        <f t="shared" si="132"/>
        <v>-0.12</v>
      </c>
      <c r="J2120" s="2">
        <f t="shared" si="133"/>
        <v>4.82</v>
      </c>
      <c r="K2120" s="7">
        <f t="shared" si="134"/>
        <v>46113</v>
      </c>
      <c r="L2120" t="str">
        <f t="shared" si="135"/>
        <v>Q2-2026</v>
      </c>
    </row>
    <row r="2121" spans="1:12">
      <c r="A2121" s="6">
        <v>46127</v>
      </c>
      <c r="B2121" t="s">
        <v>16</v>
      </c>
      <c r="C2121" t="s">
        <v>17</v>
      </c>
      <c r="D2121" s="2">
        <v>1346.6470940048271</v>
      </c>
      <c r="E2121" s="2">
        <v>1353.3902942945811</v>
      </c>
      <c r="F2121" s="2">
        <v>1326.8142943876719</v>
      </c>
      <c r="G2121" s="2">
        <v>1336.829833984375</v>
      </c>
      <c r="H2121" s="3">
        <v>23827473</v>
      </c>
      <c r="I2121" s="4">
        <f t="shared" si="132"/>
        <v>-1.47</v>
      </c>
      <c r="J2121" s="2">
        <f t="shared" si="133"/>
        <v>16.559999999999999</v>
      </c>
      <c r="K2121" s="7">
        <f t="shared" si="134"/>
        <v>46113</v>
      </c>
      <c r="L2121" t="str">
        <f t="shared" si="135"/>
        <v>Q2-2026</v>
      </c>
    </row>
    <row r="2122" spans="1:12">
      <c r="A2122" s="6">
        <v>46127</v>
      </c>
      <c r="B2122" t="s">
        <v>18</v>
      </c>
      <c r="C2122" t="s">
        <v>19</v>
      </c>
      <c r="D2122" s="2">
        <v>204.1682443539207</v>
      </c>
      <c r="E2122" s="2">
        <v>208.11319552342101</v>
      </c>
      <c r="F2122" s="2">
        <v>202.78405890137151</v>
      </c>
      <c r="G2122" s="2">
        <v>207.38154602050781</v>
      </c>
      <c r="H2122" s="3">
        <v>27890080</v>
      </c>
      <c r="I2122" s="4">
        <f t="shared" si="132"/>
        <v>-0.68</v>
      </c>
      <c r="J2122" s="2">
        <f t="shared" si="133"/>
        <v>0.73</v>
      </c>
      <c r="K2122" s="7">
        <f t="shared" si="134"/>
        <v>46113</v>
      </c>
      <c r="L2122" t="str">
        <f t="shared" si="135"/>
        <v>Q2-2026</v>
      </c>
    </row>
    <row r="2123" spans="1:12">
      <c r="A2123" s="6">
        <v>46127</v>
      </c>
      <c r="B2123" t="s">
        <v>20</v>
      </c>
      <c r="C2123" t="s">
        <v>21</v>
      </c>
      <c r="D2123" s="2">
        <v>1403.5262800644291</v>
      </c>
      <c r="E2123" s="2">
        <v>1432.568127842771</v>
      </c>
      <c r="F2123" s="2">
        <v>1395.85299848776</v>
      </c>
      <c r="G2123" s="2">
        <v>1409.6455078125</v>
      </c>
      <c r="H2123" s="3">
        <v>3993858</v>
      </c>
      <c r="I2123" s="4">
        <f t="shared" si="132"/>
        <v>-0.55000000000000004</v>
      </c>
      <c r="J2123" s="2">
        <f t="shared" si="133"/>
        <v>22.92</v>
      </c>
      <c r="K2123" s="7">
        <f t="shared" si="134"/>
        <v>46113</v>
      </c>
      <c r="L2123" t="str">
        <f t="shared" si="135"/>
        <v>Q2-2026</v>
      </c>
    </row>
    <row r="2124" spans="1:12">
      <c r="A2124" s="6">
        <v>46127</v>
      </c>
      <c r="B2124" t="s">
        <v>22</v>
      </c>
      <c r="C2124" t="s">
        <v>23</v>
      </c>
      <c r="D2124" s="2">
        <v>919.3485600943784</v>
      </c>
      <c r="E2124" s="2">
        <v>919.3485600943784</v>
      </c>
      <c r="F2124" s="2">
        <v>905.53346016968101</v>
      </c>
      <c r="G2124" s="2">
        <v>907.57098388671875</v>
      </c>
      <c r="H2124" s="3">
        <v>5975197</v>
      </c>
      <c r="I2124" s="4">
        <f t="shared" si="132"/>
        <v>-1.5</v>
      </c>
      <c r="J2124" s="2">
        <f t="shared" si="133"/>
        <v>11.78</v>
      </c>
      <c r="K2124" s="7">
        <f t="shared" si="134"/>
        <v>46113</v>
      </c>
      <c r="L2124" t="str">
        <f t="shared" si="135"/>
        <v>Q2-2026</v>
      </c>
    </row>
    <row r="2125" spans="1:12">
      <c r="A2125" s="6">
        <v>46127</v>
      </c>
      <c r="B2125" t="s">
        <v>24</v>
      </c>
      <c r="C2125" t="s">
        <v>25</v>
      </c>
      <c r="D2125" s="2">
        <v>13118.25301794482</v>
      </c>
      <c r="E2125" s="2">
        <v>13339.035691378909</v>
      </c>
      <c r="F2125" s="2">
        <v>13068.75017636767</v>
      </c>
      <c r="G2125" s="2">
        <v>13156.865234375</v>
      </c>
      <c r="H2125" s="3">
        <v>699458</v>
      </c>
      <c r="I2125" s="4">
        <f t="shared" si="132"/>
        <v>-0.38</v>
      </c>
      <c r="J2125" s="2">
        <f t="shared" si="133"/>
        <v>182.17</v>
      </c>
      <c r="K2125" s="7">
        <f t="shared" si="134"/>
        <v>46113</v>
      </c>
      <c r="L2125" t="str">
        <f t="shared" si="135"/>
        <v>Q2-2026</v>
      </c>
    </row>
    <row r="2126" spans="1:12">
      <c r="A2126" s="6">
        <v>46127</v>
      </c>
      <c r="B2126" t="s">
        <v>26</v>
      </c>
      <c r="C2126" t="s">
        <v>27</v>
      </c>
      <c r="D2126" s="2">
        <v>349.15365802659522</v>
      </c>
      <c r="E2126" s="2">
        <v>359.12099442208807</v>
      </c>
      <c r="F2126" s="2">
        <v>346.37670584865691</v>
      </c>
      <c r="G2126" s="2">
        <v>354.95553588867188</v>
      </c>
      <c r="H2126" s="3">
        <v>12495093</v>
      </c>
      <c r="I2126" s="4">
        <f t="shared" si="132"/>
        <v>-0.8</v>
      </c>
      <c r="J2126" s="2">
        <f t="shared" si="133"/>
        <v>4.17</v>
      </c>
      <c r="K2126" s="7">
        <f t="shared" si="134"/>
        <v>46113</v>
      </c>
      <c r="L2126" t="str">
        <f t="shared" si="135"/>
        <v>Q2-2026</v>
      </c>
    </row>
    <row r="2127" spans="1:12">
      <c r="A2127" s="6">
        <v>46127</v>
      </c>
      <c r="B2127" t="s">
        <v>28</v>
      </c>
      <c r="C2127" t="s">
        <v>29</v>
      </c>
      <c r="D2127" s="2">
        <v>1670.6216466368751</v>
      </c>
      <c r="E2127" s="2">
        <v>1694.7583405325699</v>
      </c>
      <c r="F2127" s="2">
        <v>1653.366819138284</v>
      </c>
      <c r="G2127" s="2">
        <v>1692.165161132812</v>
      </c>
      <c r="H2127" s="3">
        <v>3760449</v>
      </c>
      <c r="I2127" s="4">
        <f t="shared" si="132"/>
        <v>-1.03</v>
      </c>
      <c r="J2127" s="2">
        <f t="shared" si="133"/>
        <v>2.59</v>
      </c>
      <c r="K2127" s="7">
        <f t="shared" si="134"/>
        <v>46113</v>
      </c>
      <c r="L2127" t="str">
        <f t="shared" si="135"/>
        <v>Q2-2026</v>
      </c>
    </row>
    <row r="2128" spans="1:12">
      <c r="A2128" s="6">
        <v>46127</v>
      </c>
      <c r="B2128" t="s">
        <v>30</v>
      </c>
      <c r="C2128" t="s">
        <v>31</v>
      </c>
      <c r="D2128" s="2">
        <v>2379.852351350899</v>
      </c>
      <c r="E2128" s="2">
        <v>2405.133015778913</v>
      </c>
      <c r="F2128" s="2">
        <v>2360.520078553006</v>
      </c>
      <c r="G2128" s="2">
        <v>2402.258056640625</v>
      </c>
      <c r="H2128" s="3">
        <v>1182431</v>
      </c>
      <c r="I2128" s="4">
        <f t="shared" si="132"/>
        <v>-0.81</v>
      </c>
      <c r="J2128" s="2">
        <f t="shared" si="133"/>
        <v>2.87</v>
      </c>
      <c r="K2128" s="7">
        <f t="shared" si="134"/>
        <v>46113</v>
      </c>
      <c r="L2128" t="str">
        <f t="shared" si="135"/>
        <v>Q2-2026</v>
      </c>
    </row>
    <row r="2129" spans="1:12">
      <c r="A2129" s="6">
        <v>46127</v>
      </c>
      <c r="B2129" t="s">
        <v>32</v>
      </c>
      <c r="C2129" t="s">
        <v>33</v>
      </c>
      <c r="D2129" s="2">
        <v>2119.3429606745322</v>
      </c>
      <c r="E2129" s="2">
        <v>2146.170184655668</v>
      </c>
      <c r="F2129" s="2">
        <v>2119.3429606745322</v>
      </c>
      <c r="G2129" s="2">
        <v>2135.875</v>
      </c>
      <c r="H2129" s="3">
        <v>1552971</v>
      </c>
      <c r="I2129" s="4">
        <f t="shared" si="132"/>
        <v>0</v>
      </c>
      <c r="J2129" s="2">
        <f t="shared" si="133"/>
        <v>10.3</v>
      </c>
      <c r="K2129" s="7">
        <f t="shared" si="134"/>
        <v>46113</v>
      </c>
      <c r="L2129" t="str">
        <f t="shared" si="135"/>
        <v>Q2-2026</v>
      </c>
    </row>
    <row r="2130" spans="1:12">
      <c r="A2130" s="6">
        <v>46127</v>
      </c>
      <c r="B2130" t="s">
        <v>34</v>
      </c>
      <c r="C2130" t="s">
        <v>35</v>
      </c>
      <c r="D2130" s="2">
        <v>4006.2693514998941</v>
      </c>
      <c r="E2130" s="2">
        <v>4064.3026191378149</v>
      </c>
      <c r="F2130" s="2">
        <v>3992.1078666937128</v>
      </c>
      <c r="G2130" s="2">
        <v>4036.87060546875</v>
      </c>
      <c r="H2130" s="3">
        <v>4562142</v>
      </c>
      <c r="I2130" s="4">
        <f t="shared" si="132"/>
        <v>-0.35</v>
      </c>
      <c r="J2130" s="2">
        <f t="shared" si="133"/>
        <v>27.43</v>
      </c>
      <c r="K2130" s="7">
        <f t="shared" si="134"/>
        <v>46113</v>
      </c>
      <c r="L2130" t="str">
        <f t="shared" si="135"/>
        <v>Q2-2026</v>
      </c>
    </row>
    <row r="2131" spans="1:12">
      <c r="A2131" s="6">
        <v>46127</v>
      </c>
      <c r="B2131" t="s">
        <v>36</v>
      </c>
      <c r="C2131" t="s">
        <v>37</v>
      </c>
      <c r="D2131" s="2">
        <v>1365.9465823734611</v>
      </c>
      <c r="E2131" s="2">
        <v>1383.4330967783881</v>
      </c>
      <c r="F2131" s="2">
        <v>1347.9604532712499</v>
      </c>
      <c r="G2131" s="2">
        <v>1354.455444335938</v>
      </c>
      <c r="H2131" s="3">
        <v>6789879</v>
      </c>
      <c r="I2131" s="4">
        <f t="shared" si="132"/>
        <v>-1.32</v>
      </c>
      <c r="J2131" s="2">
        <f t="shared" si="133"/>
        <v>28.98</v>
      </c>
      <c r="K2131" s="7">
        <f t="shared" si="134"/>
        <v>46113</v>
      </c>
      <c r="L2131" t="str">
        <f t="shared" si="135"/>
        <v>Q2-2026</v>
      </c>
    </row>
    <row r="2132" spans="1:12">
      <c r="A2132" s="6">
        <v>46128</v>
      </c>
      <c r="B2132" t="s">
        <v>8</v>
      </c>
      <c r="C2132" t="s">
        <v>9</v>
      </c>
      <c r="D2132" s="2">
        <v>1345.777709360166</v>
      </c>
      <c r="E2132" s="2">
        <v>1347.5694738488121</v>
      </c>
      <c r="F2132" s="2">
        <v>1323.8789596516419</v>
      </c>
      <c r="G2132" s="2">
        <v>1337.117797851562</v>
      </c>
      <c r="H2132" s="3">
        <v>30211012</v>
      </c>
      <c r="I2132" s="4">
        <f t="shared" si="132"/>
        <v>-1.63</v>
      </c>
      <c r="J2132" s="2">
        <f t="shared" si="133"/>
        <v>10.45</v>
      </c>
      <c r="K2132" s="7">
        <f t="shared" si="134"/>
        <v>46113</v>
      </c>
      <c r="L2132" t="str">
        <f t="shared" si="135"/>
        <v>Q2-2026</v>
      </c>
    </row>
    <row r="2133" spans="1:12">
      <c r="A2133" s="6">
        <v>46128</v>
      </c>
      <c r="B2133" t="s">
        <v>10</v>
      </c>
      <c r="C2133" t="s">
        <v>11</v>
      </c>
      <c r="D2133" s="2">
        <v>2523.754997213638</v>
      </c>
      <c r="E2133" s="2">
        <v>2545.34232611671</v>
      </c>
      <c r="F2133" s="2">
        <v>2510.0176060935009</v>
      </c>
      <c r="G2133" s="2">
        <v>2528.56298828125</v>
      </c>
      <c r="H2133" s="3">
        <v>3905403</v>
      </c>
      <c r="I2133" s="4">
        <f t="shared" si="132"/>
        <v>-0.54</v>
      </c>
      <c r="J2133" s="2">
        <f t="shared" si="133"/>
        <v>16.78</v>
      </c>
      <c r="K2133" s="7">
        <f t="shared" si="134"/>
        <v>46113</v>
      </c>
      <c r="L2133" t="str">
        <f t="shared" si="135"/>
        <v>Q2-2026</v>
      </c>
    </row>
    <row r="2134" spans="1:12">
      <c r="A2134" s="6">
        <v>46128</v>
      </c>
      <c r="B2134" t="s">
        <v>12</v>
      </c>
      <c r="C2134" t="s">
        <v>13</v>
      </c>
      <c r="D2134" s="2">
        <v>1294.0965334739731</v>
      </c>
      <c r="E2134" s="2">
        <v>1302.8080461846271</v>
      </c>
      <c r="F2134" s="2">
        <v>1281.2740288923189</v>
      </c>
      <c r="G2134" s="2">
        <v>1291.257934570312</v>
      </c>
      <c r="H2134" s="3">
        <v>18527029</v>
      </c>
      <c r="I2134" s="4">
        <f t="shared" si="132"/>
        <v>-0.99</v>
      </c>
      <c r="J2134" s="2">
        <f t="shared" si="133"/>
        <v>11.55</v>
      </c>
      <c r="K2134" s="7">
        <f t="shared" si="134"/>
        <v>46113</v>
      </c>
      <c r="L2134" t="str">
        <f t="shared" si="135"/>
        <v>Q2-2026</v>
      </c>
    </row>
    <row r="2135" spans="1:12">
      <c r="A2135" s="6">
        <v>46128</v>
      </c>
      <c r="B2135" t="s">
        <v>14</v>
      </c>
      <c r="C2135" t="s">
        <v>15</v>
      </c>
      <c r="D2135" s="2">
        <v>804.69084276240608</v>
      </c>
      <c r="E2135" s="2">
        <v>806.70747650907686</v>
      </c>
      <c r="F2135" s="2">
        <v>779.31063014579991</v>
      </c>
      <c r="G2135" s="2">
        <v>782.50775146484375</v>
      </c>
      <c r="H2135" s="3">
        <v>62861293</v>
      </c>
      <c r="I2135" s="4">
        <f t="shared" si="132"/>
        <v>-3.15</v>
      </c>
      <c r="J2135" s="2">
        <f t="shared" si="133"/>
        <v>24.2</v>
      </c>
      <c r="K2135" s="7">
        <f t="shared" si="134"/>
        <v>46113</v>
      </c>
      <c r="L2135" t="str">
        <f t="shared" si="135"/>
        <v>Q2-2026</v>
      </c>
    </row>
    <row r="2136" spans="1:12">
      <c r="A2136" s="6">
        <v>46128</v>
      </c>
      <c r="B2136" t="s">
        <v>16</v>
      </c>
      <c r="C2136" t="s">
        <v>17</v>
      </c>
      <c r="D2136" s="2">
        <v>1340.6972467542271</v>
      </c>
      <c r="E2136" s="2">
        <v>1355.472706597795</v>
      </c>
      <c r="F2136" s="2">
        <v>1328.9958466244691</v>
      </c>
      <c r="G2136" s="2">
        <v>1334.251586914062</v>
      </c>
      <c r="H2136" s="3">
        <v>24017236</v>
      </c>
      <c r="I2136" s="4">
        <f t="shared" si="132"/>
        <v>-0.87</v>
      </c>
      <c r="J2136" s="2">
        <f t="shared" si="133"/>
        <v>21.22</v>
      </c>
      <c r="K2136" s="7">
        <f t="shared" si="134"/>
        <v>46113</v>
      </c>
      <c r="L2136" t="str">
        <f t="shared" si="135"/>
        <v>Q2-2026</v>
      </c>
    </row>
    <row r="2137" spans="1:12">
      <c r="A2137" s="6">
        <v>46128</v>
      </c>
      <c r="B2137" t="s">
        <v>18</v>
      </c>
      <c r="C2137" t="s">
        <v>19</v>
      </c>
      <c r="D2137" s="2">
        <v>210.57506011256089</v>
      </c>
      <c r="E2137" s="2">
        <v>210.57506011256089</v>
      </c>
      <c r="F2137" s="2">
        <v>205.85893304222711</v>
      </c>
      <c r="G2137" s="2">
        <v>207.8857727050781</v>
      </c>
      <c r="H2137" s="3">
        <v>36305074</v>
      </c>
      <c r="I2137" s="4">
        <f t="shared" si="132"/>
        <v>-2.2400000000000002</v>
      </c>
      <c r="J2137" s="2">
        <f t="shared" si="133"/>
        <v>2.69</v>
      </c>
      <c r="K2137" s="7">
        <f t="shared" si="134"/>
        <v>46113</v>
      </c>
      <c r="L2137" t="str">
        <f t="shared" si="135"/>
        <v>Q2-2026</v>
      </c>
    </row>
    <row r="2138" spans="1:12">
      <c r="A2138" s="6">
        <v>46128</v>
      </c>
      <c r="B2138" t="s">
        <v>20</v>
      </c>
      <c r="C2138" t="s">
        <v>21</v>
      </c>
      <c r="D2138" s="2">
        <v>1418.095921915401</v>
      </c>
      <c r="E2138" s="2">
        <v>1426.546172105606</v>
      </c>
      <c r="F2138" s="2">
        <v>1393.910563643363</v>
      </c>
      <c r="G2138" s="2">
        <v>1408.5771484375</v>
      </c>
      <c r="H2138" s="3">
        <v>5229848</v>
      </c>
      <c r="I2138" s="4">
        <f t="shared" si="132"/>
        <v>-1.71</v>
      </c>
      <c r="J2138" s="2">
        <f t="shared" si="133"/>
        <v>17.97</v>
      </c>
      <c r="K2138" s="7">
        <f t="shared" si="134"/>
        <v>46113</v>
      </c>
      <c r="L2138" t="str">
        <f t="shared" si="135"/>
        <v>Q2-2026</v>
      </c>
    </row>
    <row r="2139" spans="1:12">
      <c r="A2139" s="6">
        <v>46128</v>
      </c>
      <c r="B2139" t="s">
        <v>22</v>
      </c>
      <c r="C2139" t="s">
        <v>23</v>
      </c>
      <c r="D2139" s="2">
        <v>913.38523477479782</v>
      </c>
      <c r="E2139" s="2">
        <v>926.90211931613953</v>
      </c>
      <c r="F2139" s="2">
        <v>898.47687947379461</v>
      </c>
      <c r="G2139" s="2">
        <v>900.36529541015625</v>
      </c>
      <c r="H2139" s="3">
        <v>11805227</v>
      </c>
      <c r="I2139" s="4">
        <f t="shared" si="132"/>
        <v>-1.63</v>
      </c>
      <c r="J2139" s="2">
        <f t="shared" si="133"/>
        <v>26.54</v>
      </c>
      <c r="K2139" s="7">
        <f t="shared" si="134"/>
        <v>46113</v>
      </c>
      <c r="L2139" t="str">
        <f t="shared" si="135"/>
        <v>Q2-2026</v>
      </c>
    </row>
    <row r="2140" spans="1:12">
      <c r="A2140" s="6">
        <v>46128</v>
      </c>
      <c r="B2140" t="s">
        <v>24</v>
      </c>
      <c r="C2140" t="s">
        <v>25</v>
      </c>
      <c r="D2140" s="2">
        <v>13246.95978188273</v>
      </c>
      <c r="E2140" s="2">
        <v>13301.41290505191</v>
      </c>
      <c r="F2140" s="2">
        <v>13105.381661642879</v>
      </c>
      <c r="G2140" s="2">
        <v>13202.4072265625</v>
      </c>
      <c r="H2140" s="3">
        <v>527309</v>
      </c>
      <c r="I2140" s="4">
        <f t="shared" si="132"/>
        <v>-1.07</v>
      </c>
      <c r="J2140" s="2">
        <f t="shared" si="133"/>
        <v>99.01</v>
      </c>
      <c r="K2140" s="7">
        <f t="shared" si="134"/>
        <v>46113</v>
      </c>
      <c r="L2140" t="str">
        <f t="shared" si="135"/>
        <v>Q2-2026</v>
      </c>
    </row>
    <row r="2141" spans="1:12">
      <c r="A2141" s="6">
        <v>46128</v>
      </c>
      <c r="B2141" t="s">
        <v>26</v>
      </c>
      <c r="C2141" t="s">
        <v>27</v>
      </c>
      <c r="D2141" s="2">
        <v>357.03825480902401</v>
      </c>
      <c r="E2141" s="2">
        <v>357.03825480902401</v>
      </c>
      <c r="F2141" s="2">
        <v>351.1868005751777</v>
      </c>
      <c r="G2141" s="2">
        <v>353.36868286132813</v>
      </c>
      <c r="H2141" s="3">
        <v>6871023</v>
      </c>
      <c r="I2141" s="4">
        <f t="shared" si="132"/>
        <v>-1.64</v>
      </c>
      <c r="J2141" s="2">
        <f t="shared" si="133"/>
        <v>3.67</v>
      </c>
      <c r="K2141" s="7">
        <f t="shared" si="134"/>
        <v>46113</v>
      </c>
      <c r="L2141" t="str">
        <f t="shared" si="135"/>
        <v>Q2-2026</v>
      </c>
    </row>
    <row r="2142" spans="1:12">
      <c r="A2142" s="6">
        <v>46128</v>
      </c>
      <c r="B2142" t="s">
        <v>28</v>
      </c>
      <c r="C2142" t="s">
        <v>29</v>
      </c>
      <c r="D2142" s="2">
        <v>1709.41999518632</v>
      </c>
      <c r="E2142" s="2">
        <v>1709.41999518632</v>
      </c>
      <c r="F2142" s="2">
        <v>1662.243585776017</v>
      </c>
      <c r="G2142" s="2">
        <v>1688.67431640625</v>
      </c>
      <c r="H2142" s="3">
        <v>4512633</v>
      </c>
      <c r="I2142" s="4">
        <f t="shared" si="132"/>
        <v>-2.76</v>
      </c>
      <c r="J2142" s="2">
        <f t="shared" si="133"/>
        <v>20.75</v>
      </c>
      <c r="K2142" s="7">
        <f t="shared" si="134"/>
        <v>46113</v>
      </c>
      <c r="L2142" t="str">
        <f t="shared" si="135"/>
        <v>Q2-2026</v>
      </c>
    </row>
    <row r="2143" spans="1:12">
      <c r="A2143" s="6">
        <v>46128</v>
      </c>
      <c r="B2143" t="s">
        <v>30</v>
      </c>
      <c r="C2143" t="s">
        <v>31</v>
      </c>
      <c r="D2143" s="2">
        <v>2414.055597591268</v>
      </c>
      <c r="E2143" s="2">
        <v>2425.5559181989379</v>
      </c>
      <c r="F2143" s="2">
        <v>2390.8569671041969</v>
      </c>
      <c r="G2143" s="2">
        <v>2419.31005859375</v>
      </c>
      <c r="H2143" s="3">
        <v>1496210</v>
      </c>
      <c r="I2143" s="4">
        <f t="shared" si="132"/>
        <v>-0.96</v>
      </c>
      <c r="J2143" s="2">
        <f t="shared" si="133"/>
        <v>6.25</v>
      </c>
      <c r="K2143" s="7">
        <f t="shared" si="134"/>
        <v>46113</v>
      </c>
      <c r="L2143" t="str">
        <f t="shared" si="135"/>
        <v>Q2-2026</v>
      </c>
    </row>
    <row r="2144" spans="1:12">
      <c r="A2144" s="6">
        <v>46128</v>
      </c>
      <c r="B2144" t="s">
        <v>32</v>
      </c>
      <c r="C2144" t="s">
        <v>33</v>
      </c>
      <c r="D2144" s="2">
        <v>2136.2708765847569</v>
      </c>
      <c r="E2144" s="2">
        <v>2141.913434363456</v>
      </c>
      <c r="F2144" s="2">
        <v>2107.6619703228948</v>
      </c>
      <c r="G2144" s="2">
        <v>2117.561279296875</v>
      </c>
      <c r="H2144" s="3">
        <v>1845734</v>
      </c>
      <c r="I2144" s="4">
        <f t="shared" si="132"/>
        <v>-1.34</v>
      </c>
      <c r="J2144" s="2">
        <f t="shared" si="133"/>
        <v>24.35</v>
      </c>
      <c r="K2144" s="7">
        <f t="shared" si="134"/>
        <v>46113</v>
      </c>
      <c r="L2144" t="str">
        <f t="shared" si="135"/>
        <v>Q2-2026</v>
      </c>
    </row>
    <row r="2145" spans="1:12">
      <c r="A2145" s="6">
        <v>46128</v>
      </c>
      <c r="B2145" t="s">
        <v>34</v>
      </c>
      <c r="C2145" t="s">
        <v>35</v>
      </c>
      <c r="D2145" s="2">
        <v>4088.0703386726868</v>
      </c>
      <c r="E2145" s="2">
        <v>4108.8672081281447</v>
      </c>
      <c r="F2145" s="2">
        <v>4049.4475811125531</v>
      </c>
      <c r="G2145" s="2">
        <v>4079.949462890625</v>
      </c>
      <c r="H2145" s="3">
        <v>5092608</v>
      </c>
      <c r="I2145" s="4">
        <f t="shared" si="132"/>
        <v>-0.94</v>
      </c>
      <c r="J2145" s="2">
        <f t="shared" si="133"/>
        <v>28.92</v>
      </c>
      <c r="K2145" s="7">
        <f t="shared" si="134"/>
        <v>46113</v>
      </c>
      <c r="L2145" t="str">
        <f t="shared" si="135"/>
        <v>Q2-2026</v>
      </c>
    </row>
    <row r="2146" spans="1:12">
      <c r="A2146" s="6">
        <v>46128</v>
      </c>
      <c r="B2146" t="s">
        <v>36</v>
      </c>
      <c r="C2146" t="s">
        <v>37</v>
      </c>
      <c r="D2146" s="2">
        <v>1360.950405135781</v>
      </c>
      <c r="E2146" s="2">
        <v>1363.4484785666471</v>
      </c>
      <c r="F2146" s="2">
        <v>1341.9650470612</v>
      </c>
      <c r="G2146" s="2">
        <v>1348.559936523438</v>
      </c>
      <c r="H2146" s="3">
        <v>5232398</v>
      </c>
      <c r="I2146" s="4">
        <f t="shared" si="132"/>
        <v>-1.4</v>
      </c>
      <c r="J2146" s="2">
        <f t="shared" si="133"/>
        <v>14.89</v>
      </c>
      <c r="K2146" s="7">
        <f t="shared" si="134"/>
        <v>46113</v>
      </c>
      <c r="L2146" t="str">
        <f t="shared" si="135"/>
        <v>Q2-2026</v>
      </c>
    </row>
    <row r="2147" spans="1:12">
      <c r="A2147" s="6">
        <v>46129</v>
      </c>
      <c r="B2147" t="s">
        <v>8</v>
      </c>
      <c r="C2147" t="s">
        <v>9</v>
      </c>
      <c r="D2147" s="2">
        <v>1333.8329523666439</v>
      </c>
      <c r="E2147" s="2">
        <v>1362.1022720767139</v>
      </c>
      <c r="F2147" s="2">
        <v>1333.8329523666439</v>
      </c>
      <c r="G2147" s="2">
        <v>1358.717895507812</v>
      </c>
      <c r="H2147" s="3">
        <v>13869105</v>
      </c>
      <c r="I2147" s="4">
        <f t="shared" si="132"/>
        <v>0</v>
      </c>
      <c r="J2147" s="2">
        <f t="shared" si="133"/>
        <v>3.38</v>
      </c>
      <c r="K2147" s="7">
        <f t="shared" si="134"/>
        <v>46113</v>
      </c>
      <c r="L2147" t="str">
        <f t="shared" si="135"/>
        <v>Q2-2026</v>
      </c>
    </row>
    <row r="2148" spans="1:12">
      <c r="A2148" s="6">
        <v>46129</v>
      </c>
      <c r="B2148" t="s">
        <v>10</v>
      </c>
      <c r="C2148" t="s">
        <v>11</v>
      </c>
      <c r="D2148" s="2">
        <v>2521.7923752088182</v>
      </c>
      <c r="E2148" s="2">
        <v>2540.4359764263149</v>
      </c>
      <c r="F2148" s="2">
        <v>2507.956764796666</v>
      </c>
      <c r="G2148" s="2">
        <v>2533.07666015625</v>
      </c>
      <c r="H2148" s="3">
        <v>2718206</v>
      </c>
      <c r="I2148" s="4">
        <f t="shared" si="132"/>
        <v>-0.55000000000000004</v>
      </c>
      <c r="J2148" s="2">
        <f t="shared" si="133"/>
        <v>7.36</v>
      </c>
      <c r="K2148" s="7">
        <f t="shared" si="134"/>
        <v>46113</v>
      </c>
      <c r="L2148" t="str">
        <f t="shared" si="135"/>
        <v>Q2-2026</v>
      </c>
    </row>
    <row r="2149" spans="1:12">
      <c r="A2149" s="6">
        <v>46129</v>
      </c>
      <c r="B2149" t="s">
        <v>12</v>
      </c>
      <c r="C2149" t="s">
        <v>13</v>
      </c>
      <c r="D2149" s="2">
        <v>1285.1893342368039</v>
      </c>
      <c r="E2149" s="2">
        <v>1300.1653125819739</v>
      </c>
      <c r="F2149" s="2">
        <v>1278.4354593069279</v>
      </c>
      <c r="G2149" s="2">
        <v>1290.7685546875</v>
      </c>
      <c r="H2149" s="3">
        <v>12064048</v>
      </c>
      <c r="I2149" s="4">
        <f t="shared" si="132"/>
        <v>-0.53</v>
      </c>
      <c r="J2149" s="2">
        <f t="shared" si="133"/>
        <v>9.4</v>
      </c>
      <c r="K2149" s="7">
        <f t="shared" si="134"/>
        <v>46113</v>
      </c>
      <c r="L2149" t="str">
        <f t="shared" si="135"/>
        <v>Q2-2026</v>
      </c>
    </row>
    <row r="2150" spans="1:12">
      <c r="A2150" s="6">
        <v>46129</v>
      </c>
      <c r="B2150" t="s">
        <v>14</v>
      </c>
      <c r="C2150" t="s">
        <v>15</v>
      </c>
      <c r="D2150" s="2">
        <v>777.2447773125524</v>
      </c>
      <c r="E2150" s="2">
        <v>790.86946907557842</v>
      </c>
      <c r="F2150" s="2">
        <v>775.3757269911107</v>
      </c>
      <c r="G2150" s="2">
        <v>786.8853759765625</v>
      </c>
      <c r="H2150" s="3">
        <v>37282544</v>
      </c>
      <c r="I2150" s="4">
        <f t="shared" si="132"/>
        <v>-0.24</v>
      </c>
      <c r="J2150" s="2">
        <f t="shared" si="133"/>
        <v>3.98</v>
      </c>
      <c r="K2150" s="7">
        <f t="shared" si="134"/>
        <v>46113</v>
      </c>
      <c r="L2150" t="str">
        <f t="shared" si="135"/>
        <v>Q2-2026</v>
      </c>
    </row>
    <row r="2151" spans="1:12">
      <c r="A2151" s="6">
        <v>46129</v>
      </c>
      <c r="B2151" t="s">
        <v>16</v>
      </c>
      <c r="C2151" t="s">
        <v>17</v>
      </c>
      <c r="D2151" s="2">
        <v>1335.739051060157</v>
      </c>
      <c r="E2151" s="2">
        <v>1341.5897511433579</v>
      </c>
      <c r="F2151" s="2">
        <v>1322.8477313394581</v>
      </c>
      <c r="G2151" s="2">
        <v>1335.540771484375</v>
      </c>
      <c r="H2151" s="3">
        <v>18151993</v>
      </c>
      <c r="I2151" s="4">
        <f t="shared" si="132"/>
        <v>-0.97</v>
      </c>
      <c r="J2151" s="2">
        <f t="shared" si="133"/>
        <v>6.05</v>
      </c>
      <c r="K2151" s="7">
        <f t="shared" si="134"/>
        <v>46113</v>
      </c>
      <c r="L2151" t="str">
        <f t="shared" si="135"/>
        <v>Q2-2026</v>
      </c>
    </row>
    <row r="2152" spans="1:12">
      <c r="A2152" s="6">
        <v>46129</v>
      </c>
      <c r="B2152" t="s">
        <v>18</v>
      </c>
      <c r="C2152" t="s">
        <v>19</v>
      </c>
      <c r="D2152" s="2">
        <v>202.6851774819952</v>
      </c>
      <c r="E2152" s="2">
        <v>204.11880132981381</v>
      </c>
      <c r="F2152" s="2">
        <v>200.21340702489769</v>
      </c>
      <c r="G2152" s="2">
        <v>202.01286315917969</v>
      </c>
      <c r="H2152" s="3">
        <v>80542603</v>
      </c>
      <c r="I2152" s="4">
        <f t="shared" si="132"/>
        <v>-1.22</v>
      </c>
      <c r="J2152" s="2">
        <f t="shared" si="133"/>
        <v>2.11</v>
      </c>
      <c r="K2152" s="7">
        <f t="shared" si="134"/>
        <v>46113</v>
      </c>
      <c r="L2152" t="str">
        <f t="shared" si="135"/>
        <v>Q2-2026</v>
      </c>
    </row>
    <row r="2153" spans="1:12">
      <c r="A2153" s="6">
        <v>46129</v>
      </c>
      <c r="B2153" t="s">
        <v>20</v>
      </c>
      <c r="C2153" t="s">
        <v>21</v>
      </c>
      <c r="D2153" s="2">
        <v>1401.8751070484179</v>
      </c>
      <c r="E2153" s="2">
        <v>1416.1531469053491</v>
      </c>
      <c r="F2153" s="2">
        <v>1388.9567901746559</v>
      </c>
      <c r="G2153" s="2">
        <v>1400.90380859375</v>
      </c>
      <c r="H2153" s="3">
        <v>3319268</v>
      </c>
      <c r="I2153" s="4">
        <f t="shared" si="132"/>
        <v>-0.92</v>
      </c>
      <c r="J2153" s="2">
        <f t="shared" si="133"/>
        <v>15.25</v>
      </c>
      <c r="K2153" s="7">
        <f t="shared" si="134"/>
        <v>46113</v>
      </c>
      <c r="L2153" t="str">
        <f t="shared" si="135"/>
        <v>Q2-2026</v>
      </c>
    </row>
    <row r="2154" spans="1:12">
      <c r="A2154" s="6">
        <v>46129</v>
      </c>
      <c r="B2154" t="s">
        <v>22</v>
      </c>
      <c r="C2154" t="s">
        <v>23</v>
      </c>
      <c r="D2154" s="2">
        <v>896.63822074777124</v>
      </c>
      <c r="E2154" s="2">
        <v>904.88749867884405</v>
      </c>
      <c r="F2154" s="2">
        <v>890.32698050663873</v>
      </c>
      <c r="G2154" s="2">
        <v>902.700927734375</v>
      </c>
      <c r="H2154" s="3">
        <v>6035241</v>
      </c>
      <c r="I2154" s="4">
        <f t="shared" si="132"/>
        <v>-0.7</v>
      </c>
      <c r="J2154" s="2">
        <f t="shared" si="133"/>
        <v>2.19</v>
      </c>
      <c r="K2154" s="7">
        <f t="shared" si="134"/>
        <v>46113</v>
      </c>
      <c r="L2154" t="str">
        <f t="shared" si="135"/>
        <v>Q2-2026</v>
      </c>
    </row>
    <row r="2155" spans="1:12">
      <c r="A2155" s="6">
        <v>46129</v>
      </c>
      <c r="B2155" t="s">
        <v>24</v>
      </c>
      <c r="C2155" t="s">
        <v>25</v>
      </c>
      <c r="D2155" s="2">
        <v>13167.75568181818</v>
      </c>
      <c r="E2155" s="2">
        <v>13511.30539772727</v>
      </c>
      <c r="F2155" s="2">
        <v>13124.19318181818</v>
      </c>
      <c r="G2155" s="2">
        <v>13319.234375</v>
      </c>
      <c r="H2155" s="3">
        <v>549308</v>
      </c>
      <c r="I2155" s="4">
        <f t="shared" si="132"/>
        <v>-0.33</v>
      </c>
      <c r="J2155" s="2">
        <f t="shared" si="133"/>
        <v>192.07</v>
      </c>
      <c r="K2155" s="7">
        <f t="shared" si="134"/>
        <v>46113</v>
      </c>
      <c r="L2155" t="str">
        <f t="shared" si="135"/>
        <v>Q2-2026</v>
      </c>
    </row>
    <row r="2156" spans="1:12">
      <c r="A2156" s="6">
        <v>46129</v>
      </c>
      <c r="B2156" t="s">
        <v>26</v>
      </c>
      <c r="C2156" t="s">
        <v>27</v>
      </c>
      <c r="D2156" s="2">
        <v>349.15366063428422</v>
      </c>
      <c r="E2156" s="2">
        <v>358.37716737959011</v>
      </c>
      <c r="F2156" s="2">
        <v>349.10408409257923</v>
      </c>
      <c r="G2156" s="2">
        <v>357.137451171875</v>
      </c>
      <c r="H2156" s="3">
        <v>7314044</v>
      </c>
      <c r="I2156" s="4">
        <f t="shared" si="132"/>
        <v>-0.01</v>
      </c>
      <c r="J2156" s="2">
        <f t="shared" si="133"/>
        <v>1.24</v>
      </c>
      <c r="K2156" s="7">
        <f t="shared" si="134"/>
        <v>46113</v>
      </c>
      <c r="L2156" t="str">
        <f t="shared" si="135"/>
        <v>Q2-2026</v>
      </c>
    </row>
    <row r="2157" spans="1:12">
      <c r="A2157" s="6">
        <v>46129</v>
      </c>
      <c r="B2157" t="s">
        <v>28</v>
      </c>
      <c r="C2157" t="s">
        <v>29</v>
      </c>
      <c r="D2157" s="2">
        <v>1692.4644475896939</v>
      </c>
      <c r="E2157" s="2">
        <v>1692.4644475896939</v>
      </c>
      <c r="F2157" s="2">
        <v>1666.1334309750121</v>
      </c>
      <c r="G2157" s="2">
        <v>1671.120361328125</v>
      </c>
      <c r="H2157" s="3">
        <v>3146482</v>
      </c>
      <c r="I2157" s="4">
        <f t="shared" si="132"/>
        <v>-1.56</v>
      </c>
      <c r="J2157" s="2">
        <f t="shared" si="133"/>
        <v>21.34</v>
      </c>
      <c r="K2157" s="7">
        <f t="shared" si="134"/>
        <v>46113</v>
      </c>
      <c r="L2157" t="str">
        <f t="shared" si="135"/>
        <v>Q2-2026</v>
      </c>
    </row>
    <row r="2158" spans="1:12">
      <c r="A2158" s="6">
        <v>46129</v>
      </c>
      <c r="B2158" t="s">
        <v>30</v>
      </c>
      <c r="C2158" t="s">
        <v>31</v>
      </c>
      <c r="D2158" s="2">
        <v>2404.141606912985</v>
      </c>
      <c r="E2158" s="2">
        <v>2464.7161582374529</v>
      </c>
      <c r="F2158" s="2">
        <v>2396.7061174070682</v>
      </c>
      <c r="G2158" s="2">
        <v>2442.80615234375</v>
      </c>
      <c r="H2158" s="3">
        <v>1286575</v>
      </c>
      <c r="I2158" s="4">
        <f t="shared" si="132"/>
        <v>-0.31</v>
      </c>
      <c r="J2158" s="2">
        <f t="shared" si="133"/>
        <v>21.91</v>
      </c>
      <c r="K2158" s="7">
        <f t="shared" si="134"/>
        <v>46113</v>
      </c>
      <c r="L2158" t="str">
        <f t="shared" si="135"/>
        <v>Q2-2026</v>
      </c>
    </row>
    <row r="2159" spans="1:12">
      <c r="A2159" s="6">
        <v>46129</v>
      </c>
      <c r="B2159" t="s">
        <v>32</v>
      </c>
      <c r="C2159" t="s">
        <v>33</v>
      </c>
      <c r="D2159" s="2">
        <v>2120.4318458384041</v>
      </c>
      <c r="E2159" s="2">
        <v>2222.3947217120531</v>
      </c>
      <c r="F2159" s="2">
        <v>2111.5224683348811</v>
      </c>
      <c r="G2159" s="2">
        <v>2218.237060546875</v>
      </c>
      <c r="H2159" s="3">
        <v>4882697</v>
      </c>
      <c r="I2159" s="4">
        <f t="shared" si="132"/>
        <v>-0.42</v>
      </c>
      <c r="J2159" s="2">
        <f t="shared" si="133"/>
        <v>4.16</v>
      </c>
      <c r="K2159" s="7">
        <f t="shared" si="134"/>
        <v>46113</v>
      </c>
      <c r="L2159" t="str">
        <f t="shared" si="135"/>
        <v>Q2-2026</v>
      </c>
    </row>
    <row r="2160" spans="1:12">
      <c r="A2160" s="6">
        <v>46129</v>
      </c>
      <c r="B2160" t="s">
        <v>34</v>
      </c>
      <c r="C2160" t="s">
        <v>35</v>
      </c>
      <c r="D2160" s="2">
        <v>4094.012304958997</v>
      </c>
      <c r="E2160" s="2">
        <v>4102.8261195957284</v>
      </c>
      <c r="F2160" s="2">
        <v>4033.404333705842</v>
      </c>
      <c r="G2160" s="2">
        <v>4056.47900390625</v>
      </c>
      <c r="H2160" s="3">
        <v>2796673</v>
      </c>
      <c r="I2160" s="4">
        <f t="shared" si="132"/>
        <v>-1.48</v>
      </c>
      <c r="J2160" s="2">
        <f t="shared" si="133"/>
        <v>46.35</v>
      </c>
      <c r="K2160" s="7">
        <f t="shared" si="134"/>
        <v>46113</v>
      </c>
      <c r="L2160" t="str">
        <f t="shared" si="135"/>
        <v>Q2-2026</v>
      </c>
    </row>
    <row r="2161" spans="1:12">
      <c r="A2161" s="6">
        <v>46129</v>
      </c>
      <c r="B2161" t="s">
        <v>36</v>
      </c>
      <c r="C2161" t="s">
        <v>37</v>
      </c>
      <c r="D2161" s="2">
        <v>1351.9573375432369</v>
      </c>
      <c r="E2161" s="2">
        <v>1363.2486782141759</v>
      </c>
      <c r="F2161" s="2">
        <v>1343.0641717554281</v>
      </c>
      <c r="G2161" s="2">
        <v>1358.052612304688</v>
      </c>
      <c r="H2161" s="3">
        <v>4062181</v>
      </c>
      <c r="I2161" s="4">
        <f t="shared" si="132"/>
        <v>-0.66</v>
      </c>
      <c r="J2161" s="2">
        <f t="shared" si="133"/>
        <v>5.2</v>
      </c>
      <c r="K2161" s="7">
        <f t="shared" si="134"/>
        <v>46113</v>
      </c>
      <c r="L2161" t="str">
        <f t="shared" si="135"/>
        <v>Q2-2026</v>
      </c>
    </row>
    <row r="2162" spans="1:12">
      <c r="A2162" s="6">
        <v>46132</v>
      </c>
      <c r="B2162" t="s">
        <v>8</v>
      </c>
      <c r="C2162" t="s">
        <v>9</v>
      </c>
      <c r="D2162" s="2">
        <v>1356.926119857382</v>
      </c>
      <c r="E2162" s="2">
        <v>1366.681066092033</v>
      </c>
      <c r="F2162" s="2">
        <v>1346.5740808024591</v>
      </c>
      <c r="G2162" s="2">
        <v>1357.025756835938</v>
      </c>
      <c r="H2162" s="3">
        <v>13614733</v>
      </c>
      <c r="I2162" s="4">
        <f t="shared" si="132"/>
        <v>-0.76</v>
      </c>
      <c r="J2162" s="2">
        <f t="shared" si="133"/>
        <v>9.66</v>
      </c>
      <c r="K2162" s="7">
        <f t="shared" si="134"/>
        <v>46113</v>
      </c>
      <c r="L2162" t="str">
        <f t="shared" si="135"/>
        <v>Q2-2026</v>
      </c>
    </row>
    <row r="2163" spans="1:12">
      <c r="A2163" s="6">
        <v>46132</v>
      </c>
      <c r="B2163" t="s">
        <v>10</v>
      </c>
      <c r="C2163" t="s">
        <v>11</v>
      </c>
      <c r="D2163" s="2">
        <v>2538.5719634831148</v>
      </c>
      <c r="E2163" s="2">
        <v>2545.3424392975162</v>
      </c>
      <c r="F2163" s="2">
        <v>2513.1576450441398</v>
      </c>
      <c r="G2163" s="2">
        <v>2531.212646484375</v>
      </c>
      <c r="H2163" s="3">
        <v>2288558</v>
      </c>
      <c r="I2163" s="4">
        <f t="shared" si="132"/>
        <v>-1</v>
      </c>
      <c r="J2163" s="2">
        <f t="shared" si="133"/>
        <v>14.13</v>
      </c>
      <c r="K2163" s="7">
        <f t="shared" si="134"/>
        <v>46113</v>
      </c>
      <c r="L2163" t="str">
        <f t="shared" si="135"/>
        <v>Q2-2026</v>
      </c>
    </row>
    <row r="2164" spans="1:12">
      <c r="A2164" s="6">
        <v>46132</v>
      </c>
      <c r="B2164" t="s">
        <v>12</v>
      </c>
      <c r="C2164" t="s">
        <v>13</v>
      </c>
      <c r="D2164" s="2">
        <v>1292.0410136169869</v>
      </c>
      <c r="E2164" s="2">
        <v>1296.837250367513</v>
      </c>
      <c r="F2164" s="2">
        <v>1280.3930442184931</v>
      </c>
      <c r="G2164" s="2">
        <v>1284.797729492188</v>
      </c>
      <c r="H2164" s="3">
        <v>7172300</v>
      </c>
      <c r="I2164" s="4">
        <f t="shared" si="132"/>
        <v>-0.9</v>
      </c>
      <c r="J2164" s="2">
        <f t="shared" si="133"/>
        <v>12.04</v>
      </c>
      <c r="K2164" s="7">
        <f t="shared" si="134"/>
        <v>46113</v>
      </c>
      <c r="L2164" t="str">
        <f t="shared" si="135"/>
        <v>Q2-2026</v>
      </c>
    </row>
    <row r="2165" spans="1:12">
      <c r="A2165" s="6">
        <v>46132</v>
      </c>
      <c r="B2165" t="s">
        <v>14</v>
      </c>
      <c r="C2165" t="s">
        <v>15</v>
      </c>
      <c r="D2165" s="2">
        <v>784.13086934002604</v>
      </c>
      <c r="E2165" s="2">
        <v>796.77183119596214</v>
      </c>
      <c r="F2165" s="2">
        <v>777.14641293679801</v>
      </c>
      <c r="G2165" s="2">
        <v>782.50775146484375</v>
      </c>
      <c r="H2165" s="3">
        <v>52148044</v>
      </c>
      <c r="I2165" s="4">
        <f t="shared" si="132"/>
        <v>-0.89</v>
      </c>
      <c r="J2165" s="2">
        <f t="shared" si="133"/>
        <v>14.26</v>
      </c>
      <c r="K2165" s="7">
        <f t="shared" si="134"/>
        <v>46113</v>
      </c>
      <c r="L2165" t="str">
        <f t="shared" si="135"/>
        <v>Q2-2026</v>
      </c>
    </row>
    <row r="2166" spans="1:12">
      <c r="A2166" s="6">
        <v>46132</v>
      </c>
      <c r="B2166" t="s">
        <v>16</v>
      </c>
      <c r="C2166" t="s">
        <v>17</v>
      </c>
      <c r="D2166" s="2">
        <v>1353.2910001768839</v>
      </c>
      <c r="E2166" s="2">
        <v>1364.893260297481</v>
      </c>
      <c r="F2166" s="2">
        <v>1341.6888611060861</v>
      </c>
      <c r="G2166" s="2">
        <v>1344.862060546875</v>
      </c>
      <c r="H2166" s="3">
        <v>21551520</v>
      </c>
      <c r="I2166" s="4">
        <f t="shared" si="132"/>
        <v>-0.86</v>
      </c>
      <c r="J2166" s="2">
        <f t="shared" si="133"/>
        <v>20.03</v>
      </c>
      <c r="K2166" s="7">
        <f t="shared" si="134"/>
        <v>46113</v>
      </c>
      <c r="L2166" t="str">
        <f t="shared" si="135"/>
        <v>Q2-2026</v>
      </c>
    </row>
    <row r="2167" spans="1:12">
      <c r="A2167" s="6">
        <v>46132</v>
      </c>
      <c r="B2167" t="s">
        <v>18</v>
      </c>
      <c r="C2167" t="s">
        <v>19</v>
      </c>
      <c r="D2167" s="2">
        <v>202.19082884058901</v>
      </c>
      <c r="E2167" s="2">
        <v>202.88292156993359</v>
      </c>
      <c r="F2167" s="2">
        <v>199.71905831686539</v>
      </c>
      <c r="G2167" s="2">
        <v>200.1936340332031</v>
      </c>
      <c r="H2167" s="3">
        <v>27927164</v>
      </c>
      <c r="I2167" s="4">
        <f t="shared" si="132"/>
        <v>-1.22</v>
      </c>
      <c r="J2167" s="2">
        <f t="shared" si="133"/>
        <v>2.69</v>
      </c>
      <c r="K2167" s="7">
        <f t="shared" si="134"/>
        <v>46113</v>
      </c>
      <c r="L2167" t="str">
        <f t="shared" si="135"/>
        <v>Q2-2026</v>
      </c>
    </row>
    <row r="2168" spans="1:12">
      <c r="A2168" s="6">
        <v>46132</v>
      </c>
      <c r="B2168" t="s">
        <v>20</v>
      </c>
      <c r="C2168" t="s">
        <v>21</v>
      </c>
      <c r="D2168" s="2">
        <v>1404.4006171427261</v>
      </c>
      <c r="E2168" s="2">
        <v>1410.228408525654</v>
      </c>
      <c r="F2168" s="2">
        <v>1383.129154881693</v>
      </c>
      <c r="G2168" s="2">
        <v>1387.305786132812</v>
      </c>
      <c r="H2168" s="3">
        <v>2352656</v>
      </c>
      <c r="I2168" s="4">
        <f t="shared" si="132"/>
        <v>-1.51</v>
      </c>
      <c r="J2168" s="2">
        <f t="shared" si="133"/>
        <v>22.92</v>
      </c>
      <c r="K2168" s="7">
        <f t="shared" si="134"/>
        <v>46113</v>
      </c>
      <c r="L2168" t="str">
        <f t="shared" si="135"/>
        <v>Q2-2026</v>
      </c>
    </row>
    <row r="2169" spans="1:12">
      <c r="A2169" s="6">
        <v>46132</v>
      </c>
      <c r="B2169" t="s">
        <v>22</v>
      </c>
      <c r="C2169" t="s">
        <v>23</v>
      </c>
      <c r="D2169" s="2">
        <v>902.70092482477207</v>
      </c>
      <c r="E2169" s="2">
        <v>915.27366221825423</v>
      </c>
      <c r="F2169" s="2">
        <v>892.51354857434114</v>
      </c>
      <c r="G2169" s="2">
        <v>912.14288330078125</v>
      </c>
      <c r="H2169" s="3">
        <v>6184179</v>
      </c>
      <c r="I2169" s="4">
        <f t="shared" si="132"/>
        <v>-1.1299999999999999</v>
      </c>
      <c r="J2169" s="2">
        <f t="shared" si="133"/>
        <v>3.13</v>
      </c>
      <c r="K2169" s="7">
        <f t="shared" si="134"/>
        <v>46113</v>
      </c>
      <c r="L2169" t="str">
        <f t="shared" si="135"/>
        <v>Q2-2026</v>
      </c>
    </row>
    <row r="2170" spans="1:12">
      <c r="A2170" s="6">
        <v>46132</v>
      </c>
      <c r="B2170" t="s">
        <v>24</v>
      </c>
      <c r="C2170" t="s">
        <v>25</v>
      </c>
      <c r="D2170" s="2">
        <v>13340.025034560869</v>
      </c>
      <c r="E2170" s="2">
        <v>13398.43838449698</v>
      </c>
      <c r="F2170" s="2">
        <v>13196.466801667049</v>
      </c>
      <c r="G2170" s="2">
        <v>13316.263671875</v>
      </c>
      <c r="H2170" s="3">
        <v>348629</v>
      </c>
      <c r="I2170" s="4">
        <f t="shared" si="132"/>
        <v>-1.08</v>
      </c>
      <c r="J2170" s="2">
        <f t="shared" si="133"/>
        <v>82.17</v>
      </c>
      <c r="K2170" s="7">
        <f t="shared" si="134"/>
        <v>46113</v>
      </c>
      <c r="L2170" t="str">
        <f t="shared" si="135"/>
        <v>Q2-2026</v>
      </c>
    </row>
    <row r="2171" spans="1:12">
      <c r="A2171" s="6">
        <v>46132</v>
      </c>
      <c r="B2171" t="s">
        <v>26</v>
      </c>
      <c r="C2171" t="s">
        <v>27</v>
      </c>
      <c r="D2171" s="2">
        <v>354.36046363299522</v>
      </c>
      <c r="E2171" s="2">
        <v>356.83989601292518</v>
      </c>
      <c r="F2171" s="2">
        <v>349.59996557013301</v>
      </c>
      <c r="G2171" s="2">
        <v>352.77365112304688</v>
      </c>
      <c r="H2171" s="3">
        <v>7216605</v>
      </c>
      <c r="I2171" s="4">
        <f t="shared" si="132"/>
        <v>-1.34</v>
      </c>
      <c r="J2171" s="2">
        <f t="shared" si="133"/>
        <v>4.07</v>
      </c>
      <c r="K2171" s="7">
        <f t="shared" si="134"/>
        <v>46113</v>
      </c>
      <c r="L2171" t="str">
        <f t="shared" si="135"/>
        <v>Q2-2026</v>
      </c>
    </row>
    <row r="2172" spans="1:12">
      <c r="A2172" s="6">
        <v>46132</v>
      </c>
      <c r="B2172" t="s">
        <v>28</v>
      </c>
      <c r="C2172" t="s">
        <v>29</v>
      </c>
      <c r="D2172" s="2">
        <v>1675.6085061778799</v>
      </c>
      <c r="E2172" s="2">
        <v>1675.6085061778799</v>
      </c>
      <c r="F2172" s="2">
        <v>1660.647715944149</v>
      </c>
      <c r="G2172" s="2">
        <v>1664.23828125</v>
      </c>
      <c r="H2172" s="3">
        <v>1834532</v>
      </c>
      <c r="I2172" s="4">
        <f t="shared" si="132"/>
        <v>-0.89</v>
      </c>
      <c r="J2172" s="2">
        <f t="shared" si="133"/>
        <v>11.37</v>
      </c>
      <c r="K2172" s="7">
        <f t="shared" si="134"/>
        <v>46113</v>
      </c>
      <c r="L2172" t="str">
        <f t="shared" si="135"/>
        <v>Q2-2026</v>
      </c>
    </row>
    <row r="2173" spans="1:12">
      <c r="A2173" s="6">
        <v>46132</v>
      </c>
      <c r="B2173" t="s">
        <v>30</v>
      </c>
      <c r="C2173" t="s">
        <v>31</v>
      </c>
      <c r="D2173" s="2">
        <v>2448.754595703695</v>
      </c>
      <c r="E2173" s="2">
        <v>2502.0918899615722</v>
      </c>
      <c r="F2173" s="2">
        <v>2435.3707143101728</v>
      </c>
      <c r="G2173" s="2">
        <v>2495.152099609375</v>
      </c>
      <c r="H2173" s="3">
        <v>1203157</v>
      </c>
      <c r="I2173" s="4">
        <f t="shared" si="132"/>
        <v>-0.55000000000000004</v>
      </c>
      <c r="J2173" s="2">
        <f t="shared" si="133"/>
        <v>6.94</v>
      </c>
      <c r="K2173" s="7">
        <f t="shared" si="134"/>
        <v>46113</v>
      </c>
      <c r="L2173" t="str">
        <f t="shared" si="135"/>
        <v>Q2-2026</v>
      </c>
    </row>
    <row r="2174" spans="1:12">
      <c r="A2174" s="6">
        <v>46132</v>
      </c>
      <c r="B2174" t="s">
        <v>32</v>
      </c>
      <c r="C2174" t="s">
        <v>33</v>
      </c>
      <c r="D2174" s="2">
        <v>2218.237167251717</v>
      </c>
      <c r="E2174" s="2">
        <v>2230.7101513472421</v>
      </c>
      <c r="F2174" s="2">
        <v>2200.8142870671272</v>
      </c>
      <c r="G2174" s="2">
        <v>2209.03076171875</v>
      </c>
      <c r="H2174" s="3">
        <v>1460822</v>
      </c>
      <c r="I2174" s="4">
        <f t="shared" si="132"/>
        <v>-0.79</v>
      </c>
      <c r="J2174" s="2">
        <f t="shared" si="133"/>
        <v>21.68</v>
      </c>
      <c r="K2174" s="7">
        <f t="shared" si="134"/>
        <v>46113</v>
      </c>
      <c r="L2174" t="str">
        <f t="shared" si="135"/>
        <v>Q2-2026</v>
      </c>
    </row>
    <row r="2175" spans="1:12">
      <c r="A2175" s="6">
        <v>46132</v>
      </c>
      <c r="B2175" t="s">
        <v>34</v>
      </c>
      <c r="C2175" t="s">
        <v>35</v>
      </c>
      <c r="D2175" s="2">
        <v>4060.341214698145</v>
      </c>
      <c r="E2175" s="2">
        <v>4090.0510284642291</v>
      </c>
      <c r="F2175" s="2">
        <v>3985.0763531573989</v>
      </c>
      <c r="G2175" s="2">
        <v>4011.815185546875</v>
      </c>
      <c r="H2175" s="3">
        <v>3545024</v>
      </c>
      <c r="I2175" s="4">
        <f t="shared" si="132"/>
        <v>-1.85</v>
      </c>
      <c r="J2175" s="2">
        <f t="shared" si="133"/>
        <v>78.239999999999995</v>
      </c>
      <c r="K2175" s="7">
        <f t="shared" si="134"/>
        <v>46113</v>
      </c>
      <c r="L2175" t="str">
        <f t="shared" si="135"/>
        <v>Q2-2026</v>
      </c>
    </row>
    <row r="2176" spans="1:12">
      <c r="A2176" s="6">
        <v>46132</v>
      </c>
      <c r="B2176" t="s">
        <v>36</v>
      </c>
      <c r="C2176" t="s">
        <v>37</v>
      </c>
      <c r="D2176" s="2">
        <v>1358.452355721932</v>
      </c>
      <c r="E2176" s="2">
        <v>1372.941181877113</v>
      </c>
      <c r="F2176" s="2">
        <v>1346.961217736789</v>
      </c>
      <c r="G2176" s="2">
        <v>1353.656005859375</v>
      </c>
      <c r="H2176" s="3">
        <v>4878641</v>
      </c>
      <c r="I2176" s="4">
        <f t="shared" si="132"/>
        <v>-0.85</v>
      </c>
      <c r="J2176" s="2">
        <f t="shared" si="133"/>
        <v>19.29</v>
      </c>
      <c r="K2176" s="7">
        <f t="shared" si="134"/>
        <v>46113</v>
      </c>
      <c r="L2176" t="str">
        <f t="shared" si="135"/>
        <v>Q2-2026</v>
      </c>
    </row>
    <row r="2177" spans="1:12">
      <c r="A2177" s="6">
        <v>46133</v>
      </c>
      <c r="B2177" t="s">
        <v>8</v>
      </c>
      <c r="C2177" t="s">
        <v>9</v>
      </c>
      <c r="D2177" s="2">
        <v>1352.745495720188</v>
      </c>
      <c r="E2177" s="2">
        <v>1363.4958396538179</v>
      </c>
      <c r="F2177" s="2">
        <v>1343.886431748206</v>
      </c>
      <c r="G2177" s="2">
        <v>1347.07177734375</v>
      </c>
      <c r="H2177" s="3">
        <v>27293629</v>
      </c>
      <c r="I2177" s="4">
        <f t="shared" si="132"/>
        <v>-0.65</v>
      </c>
      <c r="J2177" s="2">
        <f t="shared" si="133"/>
        <v>16.420000000000002</v>
      </c>
      <c r="K2177" s="7">
        <f t="shared" si="134"/>
        <v>46113</v>
      </c>
      <c r="L2177" t="str">
        <f t="shared" si="135"/>
        <v>Q2-2026</v>
      </c>
    </row>
    <row r="2178" spans="1:12">
      <c r="A2178" s="6">
        <v>46133</v>
      </c>
      <c r="B2178" t="s">
        <v>10</v>
      </c>
      <c r="C2178" t="s">
        <v>11</v>
      </c>
      <c r="D2178" s="2">
        <v>2511.9802240950012</v>
      </c>
      <c r="E2178" s="2">
        <v>2564.967306947005</v>
      </c>
      <c r="F2178" s="2">
        <v>2511.9802240950012</v>
      </c>
      <c r="G2178" s="2">
        <v>2561.532958984375</v>
      </c>
      <c r="H2178" s="3">
        <v>2719959</v>
      </c>
      <c r="I2178" s="4">
        <f t="shared" ref="I2178:I2241" si="136">ROUND(((F2178-D2178)/D2178)*100, 2)</f>
        <v>0</v>
      </c>
      <c r="J2178" s="2">
        <f t="shared" ref="J2178:J2241" si="137">ROUND(E2178-G2178, 2)</f>
        <v>3.43</v>
      </c>
      <c r="K2178" s="7">
        <f t="shared" ref="K2178:K2241" si="138">DATE(YEAR(A2178),MONTH(A2178),1)</f>
        <v>46113</v>
      </c>
      <c r="L2178" t="str">
        <f t="shared" ref="L2178:L2241" si="139">"Q"&amp;INT((MONTH(A2178)-1)/3)+1&amp;"-"&amp;YEAR(A2178)</f>
        <v>Q2-2026</v>
      </c>
    </row>
    <row r="2179" spans="1:12">
      <c r="A2179" s="6">
        <v>46133</v>
      </c>
      <c r="B2179" t="s">
        <v>12</v>
      </c>
      <c r="C2179" t="s">
        <v>13</v>
      </c>
      <c r="D2179" s="2">
        <v>1282.2528368892561</v>
      </c>
      <c r="E2179" s="2">
        <v>1296.935121281118</v>
      </c>
      <c r="F2179" s="2">
        <v>1271.779521816956</v>
      </c>
      <c r="G2179" s="2">
        <v>1285.385009765625</v>
      </c>
      <c r="H2179" s="3">
        <v>10057440</v>
      </c>
      <c r="I2179" s="4">
        <f t="shared" si="136"/>
        <v>-0.82</v>
      </c>
      <c r="J2179" s="2">
        <f t="shared" si="137"/>
        <v>11.55</v>
      </c>
      <c r="K2179" s="7">
        <f t="shared" si="138"/>
        <v>46113</v>
      </c>
      <c r="L2179" t="str">
        <f t="shared" si="139"/>
        <v>Q2-2026</v>
      </c>
    </row>
    <row r="2180" spans="1:12">
      <c r="A2180" s="6">
        <v>46133</v>
      </c>
      <c r="B2180" t="s">
        <v>14</v>
      </c>
      <c r="C2180" t="s">
        <v>15</v>
      </c>
      <c r="D2180" s="2">
        <v>782.26182784322759</v>
      </c>
      <c r="E2180" s="2">
        <v>801.64131391093406</v>
      </c>
      <c r="F2180" s="2">
        <v>782.26182784322759</v>
      </c>
      <c r="G2180" s="2">
        <v>798.54254150390625</v>
      </c>
      <c r="H2180" s="3">
        <v>49135752</v>
      </c>
      <c r="I2180" s="4">
        <f t="shared" si="136"/>
        <v>0</v>
      </c>
      <c r="J2180" s="2">
        <f t="shared" si="137"/>
        <v>3.1</v>
      </c>
      <c r="K2180" s="7">
        <f t="shared" si="138"/>
        <v>46113</v>
      </c>
      <c r="L2180" t="str">
        <f t="shared" si="139"/>
        <v>Q2-2026</v>
      </c>
    </row>
    <row r="2181" spans="1:12">
      <c r="A2181" s="6">
        <v>46133</v>
      </c>
      <c r="B2181" t="s">
        <v>16</v>
      </c>
      <c r="C2181" t="s">
        <v>17</v>
      </c>
      <c r="D2181" s="2">
        <v>1356.5634890022859</v>
      </c>
      <c r="E2181" s="2">
        <v>1381.4536282235811</v>
      </c>
      <c r="F2181" s="2">
        <v>1348.630369183559</v>
      </c>
      <c r="G2181" s="2">
        <v>1376.79296875</v>
      </c>
      <c r="H2181" s="3">
        <v>23312455</v>
      </c>
      <c r="I2181" s="4">
        <f t="shared" si="136"/>
        <v>-0.57999999999999996</v>
      </c>
      <c r="J2181" s="2">
        <f t="shared" si="137"/>
        <v>4.66</v>
      </c>
      <c r="K2181" s="7">
        <f t="shared" si="138"/>
        <v>46113</v>
      </c>
      <c r="L2181" t="str">
        <f t="shared" si="139"/>
        <v>Q2-2026</v>
      </c>
    </row>
    <row r="2182" spans="1:12">
      <c r="A2182" s="6">
        <v>46133</v>
      </c>
      <c r="B2182" t="s">
        <v>18</v>
      </c>
      <c r="C2182" t="s">
        <v>19</v>
      </c>
      <c r="D2182" s="2">
        <v>200.70777025254301</v>
      </c>
      <c r="E2182" s="2">
        <v>203.3772794504265</v>
      </c>
      <c r="F2182" s="2">
        <v>200.19363774984629</v>
      </c>
      <c r="G2182" s="2">
        <v>202.695068359375</v>
      </c>
      <c r="H2182" s="3">
        <v>21530723</v>
      </c>
      <c r="I2182" s="4">
        <f t="shared" si="136"/>
        <v>-0.26</v>
      </c>
      <c r="J2182" s="2">
        <f t="shared" si="137"/>
        <v>0.68</v>
      </c>
      <c r="K2182" s="7">
        <f t="shared" si="138"/>
        <v>46113</v>
      </c>
      <c r="L2182" t="str">
        <f t="shared" si="139"/>
        <v>Q2-2026</v>
      </c>
    </row>
    <row r="2183" spans="1:12">
      <c r="A2183" s="6">
        <v>46133</v>
      </c>
      <c r="B2183" t="s">
        <v>20</v>
      </c>
      <c r="C2183" t="s">
        <v>21</v>
      </c>
      <c r="D2183" s="2">
        <v>1388.9569526803889</v>
      </c>
      <c r="E2183" s="2">
        <v>1413.239416888088</v>
      </c>
      <c r="F2183" s="2">
        <v>1381.575107274592</v>
      </c>
      <c r="G2183" s="2">
        <v>1399.83544921875</v>
      </c>
      <c r="H2183" s="3">
        <v>3091487</v>
      </c>
      <c r="I2183" s="4">
        <f t="shared" si="136"/>
        <v>-0.53</v>
      </c>
      <c r="J2183" s="2">
        <f t="shared" si="137"/>
        <v>13.4</v>
      </c>
      <c r="K2183" s="7">
        <f t="shared" si="138"/>
        <v>46113</v>
      </c>
      <c r="L2183" t="str">
        <f t="shared" si="139"/>
        <v>Q2-2026</v>
      </c>
    </row>
    <row r="2184" spans="1:12">
      <c r="A2184" s="6">
        <v>46133</v>
      </c>
      <c r="B2184" t="s">
        <v>22</v>
      </c>
      <c r="C2184" t="s">
        <v>23</v>
      </c>
      <c r="D2184" s="2">
        <v>913.88219817973049</v>
      </c>
      <c r="E2184" s="2">
        <v>940.17061068396379</v>
      </c>
      <c r="F2184" s="2">
        <v>913.38525299311846</v>
      </c>
      <c r="G2184" s="2">
        <v>933.11395263671875</v>
      </c>
      <c r="H2184" s="3">
        <v>6713975</v>
      </c>
      <c r="I2184" s="4">
        <f t="shared" si="136"/>
        <v>-0.05</v>
      </c>
      <c r="J2184" s="2">
        <f t="shared" si="137"/>
        <v>7.06</v>
      </c>
      <c r="K2184" s="7">
        <f t="shared" si="138"/>
        <v>46113</v>
      </c>
      <c r="L2184" t="str">
        <f t="shared" si="139"/>
        <v>Q2-2026</v>
      </c>
    </row>
    <row r="2185" spans="1:12">
      <c r="A2185" s="6">
        <v>46133</v>
      </c>
      <c r="B2185" t="s">
        <v>24</v>
      </c>
      <c r="C2185" t="s">
        <v>25</v>
      </c>
      <c r="D2185" s="2">
        <v>13322.204012981951</v>
      </c>
      <c r="E2185" s="2">
        <v>13408.33895272106</v>
      </c>
      <c r="F2185" s="2">
        <v>13287.55202573058</v>
      </c>
      <c r="G2185" s="2">
        <v>13327.154296875</v>
      </c>
      <c r="H2185" s="3">
        <v>292879</v>
      </c>
      <c r="I2185" s="4">
        <f t="shared" si="136"/>
        <v>-0.26</v>
      </c>
      <c r="J2185" s="2">
        <f t="shared" si="137"/>
        <v>81.180000000000007</v>
      </c>
      <c r="K2185" s="7">
        <f t="shared" si="138"/>
        <v>46113</v>
      </c>
      <c r="L2185" t="str">
        <f t="shared" si="139"/>
        <v>Q2-2026</v>
      </c>
    </row>
    <row r="2186" spans="1:12">
      <c r="A2186" s="6">
        <v>46133</v>
      </c>
      <c r="B2186" t="s">
        <v>26</v>
      </c>
      <c r="C2186" t="s">
        <v>27</v>
      </c>
      <c r="D2186" s="2">
        <v>351.08762232219817</v>
      </c>
      <c r="E2186" s="2">
        <v>355.94730369652018</v>
      </c>
      <c r="F2186" s="2">
        <v>350.54215930937443</v>
      </c>
      <c r="G2186" s="2">
        <v>352.97198486328119</v>
      </c>
      <c r="H2186" s="3">
        <v>5922373</v>
      </c>
      <c r="I2186" s="4">
        <f t="shared" si="136"/>
        <v>-0.16</v>
      </c>
      <c r="J2186" s="2">
        <f t="shared" si="137"/>
        <v>2.98</v>
      </c>
      <c r="K2186" s="7">
        <f t="shared" si="138"/>
        <v>46113</v>
      </c>
      <c r="L2186" t="str">
        <f t="shared" si="139"/>
        <v>Q2-2026</v>
      </c>
    </row>
    <row r="2187" spans="1:12">
      <c r="A2187" s="6">
        <v>46133</v>
      </c>
      <c r="B2187" t="s">
        <v>28</v>
      </c>
      <c r="C2187" t="s">
        <v>29</v>
      </c>
      <c r="D2187" s="2">
        <v>1662.841940028165</v>
      </c>
      <c r="E2187" s="2">
        <v>1678.5009737453111</v>
      </c>
      <c r="F2187" s="2">
        <v>1655.5610950620339</v>
      </c>
      <c r="G2187" s="2">
        <v>1660.84716796875</v>
      </c>
      <c r="H2187" s="3">
        <v>3631490</v>
      </c>
      <c r="I2187" s="4">
        <f t="shared" si="136"/>
        <v>-0.44</v>
      </c>
      <c r="J2187" s="2">
        <f t="shared" si="137"/>
        <v>17.649999999999999</v>
      </c>
      <c r="K2187" s="7">
        <f t="shared" si="138"/>
        <v>46113</v>
      </c>
      <c r="L2187" t="str">
        <f t="shared" si="139"/>
        <v>Q2-2026</v>
      </c>
    </row>
    <row r="2188" spans="1:12">
      <c r="A2188" s="6">
        <v>46133</v>
      </c>
      <c r="B2188" t="s">
        <v>30</v>
      </c>
      <c r="C2188" t="s">
        <v>31</v>
      </c>
      <c r="D2188" s="2">
        <v>2494.656448384103</v>
      </c>
      <c r="E2188" s="2">
        <v>2559.7912906799452</v>
      </c>
      <c r="F2188" s="2">
        <v>2492.0787151016139</v>
      </c>
      <c r="G2188" s="2">
        <v>2521.7216796875</v>
      </c>
      <c r="H2188" s="3">
        <v>1681872</v>
      </c>
      <c r="I2188" s="4">
        <f t="shared" si="136"/>
        <v>-0.1</v>
      </c>
      <c r="J2188" s="2">
        <f t="shared" si="137"/>
        <v>38.07</v>
      </c>
      <c r="K2188" s="7">
        <f t="shared" si="138"/>
        <v>46113</v>
      </c>
      <c r="L2188" t="str">
        <f t="shared" si="139"/>
        <v>Q2-2026</v>
      </c>
    </row>
    <row r="2189" spans="1:12">
      <c r="A2189" s="6">
        <v>46133</v>
      </c>
      <c r="B2189" t="s">
        <v>32</v>
      </c>
      <c r="C2189" t="s">
        <v>33</v>
      </c>
      <c r="D2189" s="2">
        <v>2216.1580861785019</v>
      </c>
      <c r="E2189" s="2">
        <v>2312.181376055642</v>
      </c>
      <c r="F2189" s="2">
        <v>2204.7738817085319</v>
      </c>
      <c r="G2189" s="2">
        <v>2287.43310546875</v>
      </c>
      <c r="H2189" s="3">
        <v>3217281</v>
      </c>
      <c r="I2189" s="4">
        <f t="shared" si="136"/>
        <v>-0.51</v>
      </c>
      <c r="J2189" s="2">
        <f t="shared" si="137"/>
        <v>24.75</v>
      </c>
      <c r="K2189" s="7">
        <f t="shared" si="138"/>
        <v>46113</v>
      </c>
      <c r="L2189" t="str">
        <f t="shared" si="139"/>
        <v>Q2-2026</v>
      </c>
    </row>
    <row r="2190" spans="1:12">
      <c r="A2190" s="6">
        <v>46133</v>
      </c>
      <c r="B2190" t="s">
        <v>34</v>
      </c>
      <c r="C2190" t="s">
        <v>35</v>
      </c>
      <c r="D2190" s="2">
        <v>3999.9311938449291</v>
      </c>
      <c r="E2190" s="2">
        <v>4052.2205135637091</v>
      </c>
      <c r="F2190" s="2">
        <v>3992.9989040809</v>
      </c>
      <c r="G2190" s="2">
        <v>4035.97900390625</v>
      </c>
      <c r="H2190" s="3">
        <v>2426718</v>
      </c>
      <c r="I2190" s="4">
        <f t="shared" si="136"/>
        <v>-0.17</v>
      </c>
      <c r="J2190" s="2">
        <f t="shared" si="137"/>
        <v>16.239999999999998</v>
      </c>
      <c r="K2190" s="7">
        <f t="shared" si="138"/>
        <v>46113</v>
      </c>
      <c r="L2190" t="str">
        <f t="shared" si="139"/>
        <v>Q2-2026</v>
      </c>
    </row>
    <row r="2191" spans="1:12">
      <c r="A2191" s="6">
        <v>46133</v>
      </c>
      <c r="B2191" t="s">
        <v>36</v>
      </c>
      <c r="C2191" t="s">
        <v>37</v>
      </c>
      <c r="D2191" s="2">
        <v>1359.951223352441</v>
      </c>
      <c r="E2191" s="2">
        <v>1379.236399704072</v>
      </c>
      <c r="F2191" s="2">
        <v>1353.6560292958729</v>
      </c>
      <c r="G2191" s="2">
        <v>1376.638305664062</v>
      </c>
      <c r="H2191" s="3">
        <v>5145338</v>
      </c>
      <c r="I2191" s="4">
        <f t="shared" si="136"/>
        <v>-0.46</v>
      </c>
      <c r="J2191" s="2">
        <f t="shared" si="137"/>
        <v>2.6</v>
      </c>
      <c r="K2191" s="7">
        <f t="shared" si="138"/>
        <v>46113</v>
      </c>
      <c r="L2191" t="str">
        <f t="shared" si="139"/>
        <v>Q2-2026</v>
      </c>
    </row>
    <row r="2192" spans="1:12">
      <c r="A2192" s="6">
        <v>46134</v>
      </c>
      <c r="B2192" t="s">
        <v>8</v>
      </c>
      <c r="C2192" t="s">
        <v>9</v>
      </c>
      <c r="D2192" s="2">
        <v>1344.0855568558529</v>
      </c>
      <c r="E2192" s="2">
        <v>1359.7132520720179</v>
      </c>
      <c r="F2192" s="2">
        <v>1342.891006716131</v>
      </c>
      <c r="G2192" s="2">
        <v>1355.831176757812</v>
      </c>
      <c r="H2192" s="3">
        <v>9525953</v>
      </c>
      <c r="I2192" s="4">
        <f t="shared" si="136"/>
        <v>-0.09</v>
      </c>
      <c r="J2192" s="2">
        <f t="shared" si="137"/>
        <v>3.88</v>
      </c>
      <c r="K2192" s="7">
        <f t="shared" si="138"/>
        <v>46113</v>
      </c>
      <c r="L2192" t="str">
        <f t="shared" si="139"/>
        <v>Q2-2026</v>
      </c>
    </row>
    <row r="2193" spans="1:12">
      <c r="A2193" s="6">
        <v>46134</v>
      </c>
      <c r="B2193" t="s">
        <v>10</v>
      </c>
      <c r="C2193" t="s">
        <v>11</v>
      </c>
      <c r="D2193" s="2">
        <v>2531.605099822114</v>
      </c>
      <c r="E2193" s="2">
        <v>2531.605099822114</v>
      </c>
      <c r="F2193" s="2">
        <v>2456.638284938645</v>
      </c>
      <c r="G2193" s="2">
        <v>2490.883544921875</v>
      </c>
      <c r="H2193" s="3">
        <v>5232045</v>
      </c>
      <c r="I2193" s="4">
        <f t="shared" si="136"/>
        <v>-2.96</v>
      </c>
      <c r="J2193" s="2">
        <f t="shared" si="137"/>
        <v>40.72</v>
      </c>
      <c r="K2193" s="7">
        <f t="shared" si="138"/>
        <v>46113</v>
      </c>
      <c r="L2193" t="str">
        <f t="shared" si="139"/>
        <v>Q2-2026</v>
      </c>
    </row>
    <row r="2194" spans="1:12">
      <c r="A2194" s="6">
        <v>46134</v>
      </c>
      <c r="B2194" t="s">
        <v>12</v>
      </c>
      <c r="C2194" t="s">
        <v>13</v>
      </c>
      <c r="D2194" s="2">
        <v>1267.5705813427951</v>
      </c>
      <c r="E2194" s="2">
        <v>1270.213344799575</v>
      </c>
      <c r="F2194" s="2">
        <v>1229.298783054026</v>
      </c>
      <c r="G2194" s="2">
        <v>1241.729736328125</v>
      </c>
      <c r="H2194" s="3">
        <v>20088378</v>
      </c>
      <c r="I2194" s="4">
        <f t="shared" si="136"/>
        <v>-3.02</v>
      </c>
      <c r="J2194" s="2">
        <f t="shared" si="137"/>
        <v>28.48</v>
      </c>
      <c r="K2194" s="7">
        <f t="shared" si="138"/>
        <v>46113</v>
      </c>
      <c r="L2194" t="str">
        <f t="shared" si="139"/>
        <v>Q2-2026</v>
      </c>
    </row>
    <row r="2195" spans="1:12">
      <c r="A2195" s="6">
        <v>46134</v>
      </c>
      <c r="B2195" t="s">
        <v>14</v>
      </c>
      <c r="C2195" t="s">
        <v>15</v>
      </c>
      <c r="D2195" s="2">
        <v>796.82102148690763</v>
      </c>
      <c r="E2195" s="2">
        <v>799.82138492976685</v>
      </c>
      <c r="F2195" s="2">
        <v>785.01626561302749</v>
      </c>
      <c r="G2195" s="2">
        <v>786.8853759765625</v>
      </c>
      <c r="H2195" s="3">
        <v>23876412</v>
      </c>
      <c r="I2195" s="4">
        <f t="shared" si="136"/>
        <v>-1.48</v>
      </c>
      <c r="J2195" s="2">
        <f t="shared" si="137"/>
        <v>12.94</v>
      </c>
      <c r="K2195" s="7">
        <f t="shared" si="138"/>
        <v>46113</v>
      </c>
      <c r="L2195" t="str">
        <f t="shared" si="139"/>
        <v>Q2-2026</v>
      </c>
    </row>
    <row r="2196" spans="1:12">
      <c r="A2196" s="6">
        <v>46134</v>
      </c>
      <c r="B2196" t="s">
        <v>16</v>
      </c>
      <c r="C2196" t="s">
        <v>17</v>
      </c>
      <c r="D2196" s="2">
        <v>1368.463107425001</v>
      </c>
      <c r="E2196" s="2">
        <v>1368.562247208333</v>
      </c>
      <c r="F2196" s="2">
        <v>1353.5885084312511</v>
      </c>
      <c r="G2196" s="2">
        <v>1356.166748046875</v>
      </c>
      <c r="H2196" s="3">
        <v>13613487</v>
      </c>
      <c r="I2196" s="4">
        <f t="shared" si="136"/>
        <v>-1.0900000000000001</v>
      </c>
      <c r="J2196" s="2">
        <f t="shared" si="137"/>
        <v>12.4</v>
      </c>
      <c r="K2196" s="7">
        <f t="shared" si="138"/>
        <v>46113</v>
      </c>
      <c r="L2196" t="str">
        <f t="shared" si="139"/>
        <v>Q2-2026</v>
      </c>
    </row>
    <row r="2197" spans="1:12">
      <c r="A2197" s="6">
        <v>46134</v>
      </c>
      <c r="B2197" t="s">
        <v>18</v>
      </c>
      <c r="C2197" t="s">
        <v>19</v>
      </c>
      <c r="D2197" s="2">
        <v>201.20211806951781</v>
      </c>
      <c r="E2197" s="2">
        <v>203.06089430737001</v>
      </c>
      <c r="F2197" s="2">
        <v>199.9167943962475</v>
      </c>
      <c r="G2197" s="2">
        <v>201.69647216796881</v>
      </c>
      <c r="H2197" s="3">
        <v>21790433</v>
      </c>
      <c r="I2197" s="4">
        <f t="shared" si="136"/>
        <v>-0.64</v>
      </c>
      <c r="J2197" s="2">
        <f t="shared" si="137"/>
        <v>1.36</v>
      </c>
      <c r="K2197" s="7">
        <f t="shared" si="138"/>
        <v>46113</v>
      </c>
      <c r="L2197" t="str">
        <f t="shared" si="139"/>
        <v>Q2-2026</v>
      </c>
    </row>
    <row r="2198" spans="1:12">
      <c r="A2198" s="6">
        <v>46134</v>
      </c>
      <c r="B2198" t="s">
        <v>20</v>
      </c>
      <c r="C2198" t="s">
        <v>21</v>
      </c>
      <c r="D2198" s="2">
        <v>1306.396508350414</v>
      </c>
      <c r="E2198" s="2">
        <v>1319.0233891002699</v>
      </c>
      <c r="F2198" s="2">
        <v>1244.233403120357</v>
      </c>
      <c r="G2198" s="2">
        <v>1248.410034179688</v>
      </c>
      <c r="H2198" s="3">
        <v>33066256</v>
      </c>
      <c r="I2198" s="4">
        <f t="shared" si="136"/>
        <v>-4.76</v>
      </c>
      <c r="J2198" s="2">
        <f t="shared" si="137"/>
        <v>70.61</v>
      </c>
      <c r="K2198" s="7">
        <f t="shared" si="138"/>
        <v>46113</v>
      </c>
      <c r="L2198" t="str">
        <f t="shared" si="139"/>
        <v>Q2-2026</v>
      </c>
    </row>
    <row r="2199" spans="1:12">
      <c r="A2199" s="6">
        <v>46134</v>
      </c>
      <c r="B2199" t="s">
        <v>22</v>
      </c>
      <c r="C2199" t="s">
        <v>23</v>
      </c>
      <c r="D2199" s="2">
        <v>932.26914509122594</v>
      </c>
      <c r="E2199" s="2">
        <v>940.56810522026069</v>
      </c>
      <c r="F2199" s="2">
        <v>924.46713013548083</v>
      </c>
      <c r="G2199" s="2">
        <v>929.03900146484375</v>
      </c>
      <c r="H2199" s="3">
        <v>5759028</v>
      </c>
      <c r="I2199" s="4">
        <f t="shared" si="136"/>
        <v>-0.84</v>
      </c>
      <c r="J2199" s="2">
        <f t="shared" si="137"/>
        <v>11.53</v>
      </c>
      <c r="K2199" s="7">
        <f t="shared" si="138"/>
        <v>46113</v>
      </c>
      <c r="L2199" t="str">
        <f t="shared" si="139"/>
        <v>Q2-2026</v>
      </c>
    </row>
    <row r="2200" spans="1:12">
      <c r="A2200" s="6">
        <v>46134</v>
      </c>
      <c r="B2200" t="s">
        <v>24</v>
      </c>
      <c r="C2200" t="s">
        <v>25</v>
      </c>
      <c r="D2200" s="2">
        <v>13318.24422863791</v>
      </c>
      <c r="E2200" s="2">
        <v>13395.46865993688</v>
      </c>
      <c r="F2200" s="2">
        <v>13167.755593286071</v>
      </c>
      <c r="G2200" s="2">
        <v>13204.3876953125</v>
      </c>
      <c r="H2200" s="3">
        <v>434640</v>
      </c>
      <c r="I2200" s="4">
        <f t="shared" si="136"/>
        <v>-1.1299999999999999</v>
      </c>
      <c r="J2200" s="2">
        <f t="shared" si="137"/>
        <v>191.08</v>
      </c>
      <c r="K2200" s="7">
        <f t="shared" si="138"/>
        <v>46113</v>
      </c>
      <c r="L2200" t="str">
        <f t="shared" si="139"/>
        <v>Q2-2026</v>
      </c>
    </row>
    <row r="2201" spans="1:12">
      <c r="A2201" s="6">
        <v>46134</v>
      </c>
      <c r="B2201" t="s">
        <v>26</v>
      </c>
      <c r="C2201" t="s">
        <v>27</v>
      </c>
      <c r="D2201" s="2">
        <v>352.52570606839049</v>
      </c>
      <c r="E2201" s="2">
        <v>364.92286790415449</v>
      </c>
      <c r="F2201" s="2">
        <v>350.49255336742021</v>
      </c>
      <c r="G2201" s="2">
        <v>358.873046875</v>
      </c>
      <c r="H2201" s="3">
        <v>14994313</v>
      </c>
      <c r="I2201" s="4">
        <f t="shared" si="136"/>
        <v>-0.57999999999999996</v>
      </c>
      <c r="J2201" s="2">
        <f t="shared" si="137"/>
        <v>6.05</v>
      </c>
      <c r="K2201" s="7">
        <f t="shared" si="138"/>
        <v>46113</v>
      </c>
      <c r="L2201" t="str">
        <f t="shared" si="139"/>
        <v>Q2-2026</v>
      </c>
    </row>
    <row r="2202" spans="1:12">
      <c r="A2202" s="6">
        <v>46134</v>
      </c>
      <c r="B2202" t="s">
        <v>28</v>
      </c>
      <c r="C2202" t="s">
        <v>29</v>
      </c>
      <c r="D2202" s="2">
        <v>1660.847229426962</v>
      </c>
      <c r="E2202" s="2">
        <v>1669.524561257251</v>
      </c>
      <c r="F2202" s="2">
        <v>1648.080760825027</v>
      </c>
      <c r="G2202" s="2">
        <v>1665.435302734375</v>
      </c>
      <c r="H2202" s="3">
        <v>2169514</v>
      </c>
      <c r="I2202" s="4">
        <f t="shared" si="136"/>
        <v>-0.77</v>
      </c>
      <c r="J2202" s="2">
        <f t="shared" si="137"/>
        <v>4.09</v>
      </c>
      <c r="K2202" s="7">
        <f t="shared" si="138"/>
        <v>46113</v>
      </c>
      <c r="L2202" t="str">
        <f t="shared" si="139"/>
        <v>Q2-2026</v>
      </c>
    </row>
    <row r="2203" spans="1:12">
      <c r="A2203" s="6">
        <v>46134</v>
      </c>
      <c r="B2203" t="s">
        <v>30</v>
      </c>
      <c r="C2203" t="s">
        <v>31</v>
      </c>
      <c r="D2203" s="2">
        <v>2478.4965913284491</v>
      </c>
      <c r="E2203" s="2">
        <v>2549.8772931587091</v>
      </c>
      <c r="F2203" s="2">
        <v>2478.4965913284491</v>
      </c>
      <c r="G2203" s="2">
        <v>2540.85546875</v>
      </c>
      <c r="H2203" s="3">
        <v>1126584</v>
      </c>
      <c r="I2203" s="4">
        <f t="shared" si="136"/>
        <v>0</v>
      </c>
      <c r="J2203" s="2">
        <f t="shared" si="137"/>
        <v>9.02</v>
      </c>
      <c r="K2203" s="7">
        <f t="shared" si="138"/>
        <v>46113</v>
      </c>
      <c r="L2203" t="str">
        <f t="shared" si="139"/>
        <v>Q2-2026</v>
      </c>
    </row>
    <row r="2204" spans="1:12">
      <c r="A2204" s="6">
        <v>46134</v>
      </c>
      <c r="B2204" t="s">
        <v>32</v>
      </c>
      <c r="C2204" t="s">
        <v>33</v>
      </c>
      <c r="D2204" s="2">
        <v>2287.1361356275661</v>
      </c>
      <c r="E2204" s="2">
        <v>2383.7534831109788</v>
      </c>
      <c r="F2204" s="2">
        <v>2287.1361356275661</v>
      </c>
      <c r="G2204" s="2">
        <v>2344.9482421875</v>
      </c>
      <c r="H2204" s="3">
        <v>5558325</v>
      </c>
      <c r="I2204" s="4">
        <f t="shared" si="136"/>
        <v>0</v>
      </c>
      <c r="J2204" s="2">
        <f t="shared" si="137"/>
        <v>38.81</v>
      </c>
      <c r="K2204" s="7">
        <f t="shared" si="138"/>
        <v>46113</v>
      </c>
      <c r="L2204" t="str">
        <f t="shared" si="139"/>
        <v>Q2-2026</v>
      </c>
    </row>
    <row r="2205" spans="1:12">
      <c r="A2205" s="6">
        <v>46134</v>
      </c>
      <c r="B2205" t="s">
        <v>34</v>
      </c>
      <c r="C2205" t="s">
        <v>35</v>
      </c>
      <c r="D2205" s="2">
        <v>4030.6314906487551</v>
      </c>
      <c r="E2205" s="2">
        <v>4030.6314906487551</v>
      </c>
      <c r="F2205" s="2">
        <v>3972.202188941561</v>
      </c>
      <c r="G2205" s="2">
        <v>3982.20458984375</v>
      </c>
      <c r="H2205" s="3">
        <v>2178082</v>
      </c>
      <c r="I2205" s="4">
        <f t="shared" si="136"/>
        <v>-1.45</v>
      </c>
      <c r="J2205" s="2">
        <f t="shared" si="137"/>
        <v>48.43</v>
      </c>
      <c r="K2205" s="7">
        <f t="shared" si="138"/>
        <v>46113</v>
      </c>
      <c r="L2205" t="str">
        <f t="shared" si="139"/>
        <v>Q2-2026</v>
      </c>
    </row>
    <row r="2206" spans="1:12">
      <c r="A2206" s="6">
        <v>46134</v>
      </c>
      <c r="B2206" t="s">
        <v>36</v>
      </c>
      <c r="C2206" t="s">
        <v>37</v>
      </c>
      <c r="D2206" s="2">
        <v>1368.9442873242861</v>
      </c>
      <c r="E2206" s="2">
        <v>1389.9281048672131</v>
      </c>
      <c r="F2206" s="2">
        <v>1364.947369697062</v>
      </c>
      <c r="G2206" s="2">
        <v>1378.536865234375</v>
      </c>
      <c r="H2206" s="3">
        <v>3997911</v>
      </c>
      <c r="I2206" s="4">
        <f t="shared" si="136"/>
        <v>-0.28999999999999998</v>
      </c>
      <c r="J2206" s="2">
        <f t="shared" si="137"/>
        <v>11.39</v>
      </c>
      <c r="K2206" s="7">
        <f t="shared" si="138"/>
        <v>46113</v>
      </c>
      <c r="L2206" t="str">
        <f t="shared" si="139"/>
        <v>Q2-2026</v>
      </c>
    </row>
    <row r="2207" spans="1:12">
      <c r="A2207" s="6">
        <v>46135</v>
      </c>
      <c r="B2207" t="s">
        <v>8</v>
      </c>
      <c r="C2207" t="s">
        <v>9</v>
      </c>
      <c r="D2207" s="2">
        <v>1339.8052948565</v>
      </c>
      <c r="E2207" s="2">
        <v>1349.2615729405541</v>
      </c>
      <c r="F2207" s="2">
        <v>1334.529638479888</v>
      </c>
      <c r="G2207" s="2">
        <v>1337.21728515625</v>
      </c>
      <c r="H2207" s="3">
        <v>16385079</v>
      </c>
      <c r="I2207" s="4">
        <f t="shared" si="136"/>
        <v>-0.39</v>
      </c>
      <c r="J2207" s="2">
        <f t="shared" si="137"/>
        <v>12.04</v>
      </c>
      <c r="K2207" s="7">
        <f t="shared" si="138"/>
        <v>46113</v>
      </c>
      <c r="L2207" t="str">
        <f t="shared" si="139"/>
        <v>Q2-2026</v>
      </c>
    </row>
    <row r="2208" spans="1:12">
      <c r="A2208" s="6">
        <v>46135</v>
      </c>
      <c r="B2208" t="s">
        <v>10</v>
      </c>
      <c r="C2208" t="s">
        <v>11</v>
      </c>
      <c r="D2208" s="2">
        <v>2481.561722665821</v>
      </c>
      <c r="E2208" s="2">
        <v>2511.4896121641632</v>
      </c>
      <c r="F2208" s="2">
        <v>2469.0999936393869</v>
      </c>
      <c r="G2208" s="2">
        <v>2474.496826171875</v>
      </c>
      <c r="H2208" s="3">
        <v>2509050</v>
      </c>
      <c r="I2208" s="4">
        <f t="shared" si="136"/>
        <v>-0.5</v>
      </c>
      <c r="J2208" s="2">
        <f t="shared" si="137"/>
        <v>36.99</v>
      </c>
      <c r="K2208" s="7">
        <f t="shared" si="138"/>
        <v>46113</v>
      </c>
      <c r="L2208" t="str">
        <f t="shared" si="139"/>
        <v>Q2-2026</v>
      </c>
    </row>
    <row r="2209" spans="1:12">
      <c r="A2209" s="6">
        <v>46135</v>
      </c>
      <c r="B2209" t="s">
        <v>12</v>
      </c>
      <c r="C2209" t="s">
        <v>13</v>
      </c>
      <c r="D2209" s="2">
        <v>1227.438951608261</v>
      </c>
      <c r="E2209" s="2">
        <v>1238.891085420282</v>
      </c>
      <c r="F2209" s="2">
        <v>1200.0320212693209</v>
      </c>
      <c r="G2209" s="2">
        <v>1214.32275390625</v>
      </c>
      <c r="H2209" s="3">
        <v>14792854</v>
      </c>
      <c r="I2209" s="4">
        <f t="shared" si="136"/>
        <v>-2.23</v>
      </c>
      <c r="J2209" s="2">
        <f t="shared" si="137"/>
        <v>24.57</v>
      </c>
      <c r="K2209" s="7">
        <f t="shared" si="138"/>
        <v>46113</v>
      </c>
      <c r="L2209" t="str">
        <f t="shared" si="139"/>
        <v>Q2-2026</v>
      </c>
    </row>
    <row r="2210" spans="1:12">
      <c r="A2210" s="6">
        <v>46135</v>
      </c>
      <c r="B2210" t="s">
        <v>14</v>
      </c>
      <c r="C2210" t="s">
        <v>15</v>
      </c>
      <c r="D2210" s="2">
        <v>779.11387362177732</v>
      </c>
      <c r="E2210" s="2">
        <v>783.68824045722693</v>
      </c>
      <c r="F2210" s="2">
        <v>769.76844205686962</v>
      </c>
      <c r="G2210" s="2">
        <v>771.58831787109375</v>
      </c>
      <c r="H2210" s="3">
        <v>37677616</v>
      </c>
      <c r="I2210" s="4">
        <f t="shared" si="136"/>
        <v>-1.2</v>
      </c>
      <c r="J2210" s="2">
        <f t="shared" si="137"/>
        <v>12.1</v>
      </c>
      <c r="K2210" s="7">
        <f t="shared" si="138"/>
        <v>46113</v>
      </c>
      <c r="L2210" t="str">
        <f t="shared" si="139"/>
        <v>Q2-2026</v>
      </c>
    </row>
    <row r="2211" spans="1:12">
      <c r="A2211" s="6">
        <v>46135</v>
      </c>
      <c r="B2211" t="s">
        <v>16</v>
      </c>
      <c r="C2211" t="s">
        <v>17</v>
      </c>
      <c r="D2211" s="2">
        <v>1337.127393098476</v>
      </c>
      <c r="E2211" s="2">
        <v>1342.6805528589809</v>
      </c>
      <c r="F2211" s="2">
        <v>1332.2683329143581</v>
      </c>
      <c r="G2211" s="2">
        <v>1336.730712890625</v>
      </c>
      <c r="H2211" s="3">
        <v>20111792</v>
      </c>
      <c r="I2211" s="4">
        <f t="shared" si="136"/>
        <v>-0.36</v>
      </c>
      <c r="J2211" s="2">
        <f t="shared" si="137"/>
        <v>5.95</v>
      </c>
      <c r="K2211" s="7">
        <f t="shared" si="138"/>
        <v>46113</v>
      </c>
      <c r="L2211" t="str">
        <f t="shared" si="139"/>
        <v>Q2-2026</v>
      </c>
    </row>
    <row r="2212" spans="1:12">
      <c r="A2212" s="6">
        <v>46135</v>
      </c>
      <c r="B2212" t="s">
        <v>18</v>
      </c>
      <c r="C2212" t="s">
        <v>19</v>
      </c>
      <c r="D2212" s="2">
        <v>201.6964778731373</v>
      </c>
      <c r="E2212" s="2">
        <v>202.5863092409227</v>
      </c>
      <c r="F2212" s="2">
        <v>200.01567690815921</v>
      </c>
      <c r="G2212" s="2">
        <v>200.47047424316409</v>
      </c>
      <c r="H2212" s="3">
        <v>20307250</v>
      </c>
      <c r="I2212" s="4">
        <f t="shared" si="136"/>
        <v>-0.83</v>
      </c>
      <c r="J2212" s="2">
        <f t="shared" si="137"/>
        <v>2.12</v>
      </c>
      <c r="K2212" s="7">
        <f t="shared" si="138"/>
        <v>46113</v>
      </c>
      <c r="L2212" t="str">
        <f t="shared" si="139"/>
        <v>Q2-2026</v>
      </c>
    </row>
    <row r="2213" spans="1:12">
      <c r="A2213" s="6">
        <v>46135</v>
      </c>
      <c r="B2213" t="s">
        <v>20</v>
      </c>
      <c r="C2213" t="s">
        <v>21</v>
      </c>
      <c r="D2213" s="2">
        <v>1252.9751562640481</v>
      </c>
      <c r="E2213" s="2">
        <v>1257.1517875449499</v>
      </c>
      <c r="F2213" s="2">
        <v>1235.491781990597</v>
      </c>
      <c r="G2213" s="2">
        <v>1240.931030273438</v>
      </c>
      <c r="H2213" s="3">
        <v>8304759</v>
      </c>
      <c r="I2213" s="4">
        <f t="shared" si="136"/>
        <v>-1.4</v>
      </c>
      <c r="J2213" s="2">
        <f t="shared" si="137"/>
        <v>16.22</v>
      </c>
      <c r="K2213" s="7">
        <f t="shared" si="138"/>
        <v>46113</v>
      </c>
      <c r="L2213" t="str">
        <f t="shared" si="139"/>
        <v>Q2-2026</v>
      </c>
    </row>
    <row r="2214" spans="1:12">
      <c r="A2214" s="6">
        <v>46135</v>
      </c>
      <c r="B2214" t="s">
        <v>22</v>
      </c>
      <c r="C2214" t="s">
        <v>23</v>
      </c>
      <c r="D2214" s="2">
        <v>920.44184714275718</v>
      </c>
      <c r="E2214" s="2">
        <v>924.16893602924745</v>
      </c>
      <c r="F2214" s="2">
        <v>903.79418344976682</v>
      </c>
      <c r="G2214" s="2">
        <v>912.73919677734375</v>
      </c>
      <c r="H2214" s="3">
        <v>9143598</v>
      </c>
      <c r="I2214" s="4">
        <f t="shared" si="136"/>
        <v>-1.81</v>
      </c>
      <c r="J2214" s="2">
        <f t="shared" si="137"/>
        <v>11.43</v>
      </c>
      <c r="K2214" s="7">
        <f t="shared" si="138"/>
        <v>46113</v>
      </c>
      <c r="L2214" t="str">
        <f t="shared" si="139"/>
        <v>Q2-2026</v>
      </c>
    </row>
    <row r="2215" spans="1:12">
      <c r="A2215" s="6">
        <v>46135</v>
      </c>
      <c r="B2215" t="s">
        <v>24</v>
      </c>
      <c r="C2215" t="s">
        <v>25</v>
      </c>
      <c r="D2215" s="2">
        <v>13118.252572752421</v>
      </c>
      <c r="E2215" s="2">
        <v>13225.17870693033</v>
      </c>
      <c r="F2215" s="2">
        <v>12994.495473009471</v>
      </c>
      <c r="G2215" s="2">
        <v>13029.1474609375</v>
      </c>
      <c r="H2215" s="3">
        <v>541086</v>
      </c>
      <c r="I2215" s="4">
        <f t="shared" si="136"/>
        <v>-0.94</v>
      </c>
      <c r="J2215" s="2">
        <f t="shared" si="137"/>
        <v>196.03</v>
      </c>
      <c r="K2215" s="7">
        <f t="shared" si="138"/>
        <v>46113</v>
      </c>
      <c r="L2215" t="str">
        <f t="shared" si="139"/>
        <v>Q2-2026</v>
      </c>
    </row>
    <row r="2216" spans="1:12">
      <c r="A2216" s="6">
        <v>46135</v>
      </c>
      <c r="B2216" t="s">
        <v>26</v>
      </c>
      <c r="C2216" t="s">
        <v>27</v>
      </c>
      <c r="D2216" s="2">
        <v>356.98868805216279</v>
      </c>
      <c r="E2216" s="2">
        <v>358.22840424866769</v>
      </c>
      <c r="F2216" s="2">
        <v>347.12053502138008</v>
      </c>
      <c r="G2216" s="2">
        <v>349.05450439453119</v>
      </c>
      <c r="H2216" s="3">
        <v>11374109</v>
      </c>
      <c r="I2216" s="4">
        <f t="shared" si="136"/>
        <v>-2.76</v>
      </c>
      <c r="J2216" s="2">
        <f t="shared" si="137"/>
        <v>9.17</v>
      </c>
      <c r="K2216" s="7">
        <f t="shared" si="138"/>
        <v>46113</v>
      </c>
      <c r="L2216" t="str">
        <f t="shared" si="139"/>
        <v>Q2-2026</v>
      </c>
    </row>
    <row r="2217" spans="1:12">
      <c r="A2217" s="6">
        <v>46135</v>
      </c>
      <c r="B2217" t="s">
        <v>28</v>
      </c>
      <c r="C2217" t="s">
        <v>29</v>
      </c>
      <c r="D2217" s="2">
        <v>1664.637291322138</v>
      </c>
      <c r="E2217" s="2">
        <v>1708.5222768333269</v>
      </c>
      <c r="F2217" s="2">
        <v>1656.8576315537559</v>
      </c>
      <c r="G2217" s="2">
        <v>1675.708251953125</v>
      </c>
      <c r="H2217" s="3">
        <v>3245164</v>
      </c>
      <c r="I2217" s="4">
        <f t="shared" si="136"/>
        <v>-0.47</v>
      </c>
      <c r="J2217" s="2">
        <f t="shared" si="137"/>
        <v>32.81</v>
      </c>
      <c r="K2217" s="7">
        <f t="shared" si="138"/>
        <v>46113</v>
      </c>
      <c r="L2217" t="str">
        <f t="shared" si="139"/>
        <v>Q2-2026</v>
      </c>
    </row>
    <row r="2218" spans="1:12">
      <c r="A2218" s="6">
        <v>46135</v>
      </c>
      <c r="B2218" t="s">
        <v>30</v>
      </c>
      <c r="C2218" t="s">
        <v>31</v>
      </c>
      <c r="D2218" s="2">
        <v>2508.238527355777</v>
      </c>
      <c r="E2218" s="2">
        <v>2519.8378428883771</v>
      </c>
      <c r="F2218" s="2">
        <v>2488.4105548075099</v>
      </c>
      <c r="G2218" s="2">
        <v>2499.71240234375</v>
      </c>
      <c r="H2218" s="3">
        <v>1378614</v>
      </c>
      <c r="I2218" s="4">
        <f t="shared" si="136"/>
        <v>-0.79</v>
      </c>
      <c r="J2218" s="2">
        <f t="shared" si="137"/>
        <v>20.13</v>
      </c>
      <c r="K2218" s="7">
        <f t="shared" si="138"/>
        <v>46113</v>
      </c>
      <c r="L2218" t="str">
        <f t="shared" si="139"/>
        <v>Q2-2026</v>
      </c>
    </row>
    <row r="2219" spans="1:12">
      <c r="A2219" s="6">
        <v>46135</v>
      </c>
      <c r="B2219" t="s">
        <v>32</v>
      </c>
      <c r="C2219" t="s">
        <v>33</v>
      </c>
      <c r="D2219" s="2">
        <v>2312.478464472606</v>
      </c>
      <c r="E2219" s="2">
        <v>2375.8340388417191</v>
      </c>
      <c r="F2219" s="2">
        <v>2312.478464472606</v>
      </c>
      <c r="G2219" s="2">
        <v>2342.572265625</v>
      </c>
      <c r="H2219" s="3">
        <v>2063531</v>
      </c>
      <c r="I2219" s="4">
        <f t="shared" si="136"/>
        <v>0</v>
      </c>
      <c r="J2219" s="2">
        <f t="shared" si="137"/>
        <v>33.26</v>
      </c>
      <c r="K2219" s="7">
        <f t="shared" si="138"/>
        <v>46113</v>
      </c>
      <c r="L2219" t="str">
        <f t="shared" si="139"/>
        <v>Q2-2026</v>
      </c>
    </row>
    <row r="2220" spans="1:12">
      <c r="A2220" s="6">
        <v>46135</v>
      </c>
      <c r="B2220" t="s">
        <v>34</v>
      </c>
      <c r="C2220" t="s">
        <v>35</v>
      </c>
      <c r="D2220" s="2">
        <v>3971.112601997007</v>
      </c>
      <c r="E2220" s="2">
        <v>4024.689395633784</v>
      </c>
      <c r="F2220" s="2">
        <v>3940.016427295524</v>
      </c>
      <c r="G2220" s="2">
        <v>4014.88525390625</v>
      </c>
      <c r="H2220" s="3">
        <v>2229134</v>
      </c>
      <c r="I2220" s="4">
        <f t="shared" si="136"/>
        <v>-0.78</v>
      </c>
      <c r="J2220" s="2">
        <f t="shared" si="137"/>
        <v>9.8000000000000007</v>
      </c>
      <c r="K2220" s="7">
        <f t="shared" si="138"/>
        <v>46113</v>
      </c>
      <c r="L2220" t="str">
        <f t="shared" si="139"/>
        <v>Q2-2026</v>
      </c>
    </row>
    <row r="2221" spans="1:12">
      <c r="A2221" s="6">
        <v>46135</v>
      </c>
      <c r="B2221" t="s">
        <v>36</v>
      </c>
      <c r="C2221" t="s">
        <v>37</v>
      </c>
      <c r="D2221" s="2">
        <v>1367.945042422019</v>
      </c>
      <c r="E2221" s="2">
        <v>1383.1332804429269</v>
      </c>
      <c r="F2221" s="2">
        <v>1364.347840993514</v>
      </c>
      <c r="G2221" s="2">
        <v>1368.544555664062</v>
      </c>
      <c r="H2221" s="3">
        <v>5671255</v>
      </c>
      <c r="I2221" s="4">
        <f t="shared" si="136"/>
        <v>-0.26</v>
      </c>
      <c r="J2221" s="2">
        <f t="shared" si="137"/>
        <v>14.59</v>
      </c>
      <c r="K2221" s="7">
        <f t="shared" si="138"/>
        <v>46113</v>
      </c>
      <c r="L2221" t="str">
        <f t="shared" si="139"/>
        <v>Q2-2026</v>
      </c>
    </row>
    <row r="2222" spans="1:12">
      <c r="A2222" s="6">
        <v>46136</v>
      </c>
      <c r="B2222" t="s">
        <v>8</v>
      </c>
      <c r="C2222" t="s">
        <v>9</v>
      </c>
      <c r="D2222" s="2">
        <v>1333.832889995696</v>
      </c>
      <c r="E2222" s="2">
        <v>1339.7057606040939</v>
      </c>
      <c r="F2222" s="2">
        <v>1318.901924809177</v>
      </c>
      <c r="G2222" s="2">
        <v>1321.689086914062</v>
      </c>
      <c r="H2222" s="3">
        <v>11744802</v>
      </c>
      <c r="I2222" s="4">
        <f t="shared" si="136"/>
        <v>-1.1200000000000001</v>
      </c>
      <c r="J2222" s="2">
        <f t="shared" si="137"/>
        <v>18.02</v>
      </c>
      <c r="K2222" s="7">
        <f t="shared" si="138"/>
        <v>46113</v>
      </c>
      <c r="L2222" t="str">
        <f t="shared" si="139"/>
        <v>Q2-2026</v>
      </c>
    </row>
    <row r="2223" spans="1:12">
      <c r="A2223" s="6">
        <v>46136</v>
      </c>
      <c r="B2223" t="s">
        <v>10</v>
      </c>
      <c r="C2223" t="s">
        <v>11</v>
      </c>
      <c r="D2223" s="2">
        <v>2441.3307179215672</v>
      </c>
      <c r="E2223" s="2">
        <v>2458.0118361710311</v>
      </c>
      <c r="F2223" s="2">
        <v>2343.991534636913</v>
      </c>
      <c r="G2223" s="2">
        <v>2351.939453125</v>
      </c>
      <c r="H2223" s="3">
        <v>5107719</v>
      </c>
      <c r="I2223" s="4">
        <f t="shared" si="136"/>
        <v>-3.99</v>
      </c>
      <c r="J2223" s="2">
        <f t="shared" si="137"/>
        <v>106.07</v>
      </c>
      <c r="K2223" s="7">
        <f t="shared" si="138"/>
        <v>46113</v>
      </c>
      <c r="L2223" t="str">
        <f t="shared" si="139"/>
        <v>Q2-2026</v>
      </c>
    </row>
    <row r="2224" spans="1:12">
      <c r="A2224" s="6">
        <v>46136</v>
      </c>
      <c r="B2224" t="s">
        <v>12</v>
      </c>
      <c r="C2224" t="s">
        <v>13</v>
      </c>
      <c r="D2224" s="2">
        <v>1174.582689422818</v>
      </c>
      <c r="E2224" s="2">
        <v>1197.9764852174351</v>
      </c>
      <c r="F2224" s="2">
        <v>1127.795097833583</v>
      </c>
      <c r="G2224" s="2">
        <v>1130.144287109375</v>
      </c>
      <c r="H2224" s="3">
        <v>42078914</v>
      </c>
      <c r="I2224" s="4">
        <f t="shared" si="136"/>
        <v>-3.98</v>
      </c>
      <c r="J2224" s="2">
        <f t="shared" si="137"/>
        <v>67.83</v>
      </c>
      <c r="K2224" s="7">
        <f t="shared" si="138"/>
        <v>46113</v>
      </c>
      <c r="L2224" t="str">
        <f t="shared" si="139"/>
        <v>Q2-2026</v>
      </c>
    </row>
    <row r="2225" spans="1:12">
      <c r="A2225" s="6">
        <v>46136</v>
      </c>
      <c r="B2225" t="s">
        <v>14</v>
      </c>
      <c r="C2225" t="s">
        <v>15</v>
      </c>
      <c r="D2225" s="2">
        <v>764.65305326533314</v>
      </c>
      <c r="E2225" s="2">
        <v>774.78545676227861</v>
      </c>
      <c r="F2225" s="2">
        <v>764.35794637553727</v>
      </c>
      <c r="G2225" s="2">
        <v>772.0802001953125</v>
      </c>
      <c r="H2225" s="3">
        <v>27720358</v>
      </c>
      <c r="I2225" s="4">
        <f t="shared" si="136"/>
        <v>-0.04</v>
      </c>
      <c r="J2225" s="2">
        <f t="shared" si="137"/>
        <v>2.71</v>
      </c>
      <c r="K2225" s="7">
        <f t="shared" si="138"/>
        <v>46113</v>
      </c>
      <c r="L2225" t="str">
        <f t="shared" si="139"/>
        <v>Q2-2026</v>
      </c>
    </row>
    <row r="2226" spans="1:12">
      <c r="A2226" s="6">
        <v>46136</v>
      </c>
      <c r="B2226" t="s">
        <v>16</v>
      </c>
      <c r="C2226" t="s">
        <v>17</v>
      </c>
      <c r="D2226" s="2">
        <v>1325.128575844323</v>
      </c>
      <c r="E2226" s="2">
        <v>1337.524075801522</v>
      </c>
      <c r="F2226" s="2">
        <v>1312.9313554665171</v>
      </c>
      <c r="G2226" s="2">
        <v>1315.112915039062</v>
      </c>
      <c r="H2226" s="3">
        <v>14056743</v>
      </c>
      <c r="I2226" s="4">
        <f t="shared" si="136"/>
        <v>-0.92</v>
      </c>
      <c r="J2226" s="2">
        <f t="shared" si="137"/>
        <v>22.41</v>
      </c>
      <c r="K2226" s="7">
        <f t="shared" si="138"/>
        <v>46113</v>
      </c>
      <c r="L2226" t="str">
        <f t="shared" si="139"/>
        <v>Q2-2026</v>
      </c>
    </row>
    <row r="2227" spans="1:12">
      <c r="A2227" s="6">
        <v>46136</v>
      </c>
      <c r="B2227" t="s">
        <v>18</v>
      </c>
      <c r="C2227" t="s">
        <v>19</v>
      </c>
      <c r="D2227" s="2">
        <v>200.46059172429599</v>
      </c>
      <c r="E2227" s="2">
        <v>200.46059172429599</v>
      </c>
      <c r="F2227" s="2">
        <v>195.64558751770741</v>
      </c>
      <c r="G2227" s="2">
        <v>197.10887145996091</v>
      </c>
      <c r="H2227" s="3">
        <v>39363394</v>
      </c>
      <c r="I2227" s="4">
        <f t="shared" si="136"/>
        <v>-2.4</v>
      </c>
      <c r="J2227" s="2">
        <f t="shared" si="137"/>
        <v>3.35</v>
      </c>
      <c r="K2227" s="7">
        <f t="shared" si="138"/>
        <v>46113</v>
      </c>
      <c r="L2227" t="str">
        <f t="shared" si="139"/>
        <v>Q2-2026</v>
      </c>
    </row>
    <row r="2228" spans="1:12">
      <c r="A2228" s="6">
        <v>46136</v>
      </c>
      <c r="B2228" t="s">
        <v>20</v>
      </c>
      <c r="C2228" t="s">
        <v>21</v>
      </c>
      <c r="D2228" s="2">
        <v>1251.621861930279</v>
      </c>
      <c r="E2228" s="2">
        <v>1252.017843654638</v>
      </c>
      <c r="F2228" s="2">
        <v>1185.99184851836</v>
      </c>
      <c r="G2228" s="2">
        <v>1191.040283203125</v>
      </c>
      <c r="H2228" s="3">
        <v>10903519</v>
      </c>
      <c r="I2228" s="4">
        <f t="shared" si="136"/>
        <v>-5.24</v>
      </c>
      <c r="J2228" s="2">
        <f t="shared" si="137"/>
        <v>60.98</v>
      </c>
      <c r="K2228" s="7">
        <f t="shared" si="138"/>
        <v>46113</v>
      </c>
      <c r="L2228" t="str">
        <f t="shared" si="139"/>
        <v>Q2-2026</v>
      </c>
    </row>
    <row r="2229" spans="1:12">
      <c r="A2229" s="6">
        <v>46136</v>
      </c>
      <c r="B2229" t="s">
        <v>22</v>
      </c>
      <c r="C2229" t="s">
        <v>23</v>
      </c>
      <c r="D2229" s="2">
        <v>914.37909882820838</v>
      </c>
      <c r="E2229" s="2">
        <v>919.05039548728098</v>
      </c>
      <c r="F2229" s="2">
        <v>904.24140538266283</v>
      </c>
      <c r="G2229" s="2">
        <v>915.91961669921875</v>
      </c>
      <c r="H2229" s="3">
        <v>3982355</v>
      </c>
      <c r="I2229" s="4">
        <f t="shared" si="136"/>
        <v>-1.1100000000000001</v>
      </c>
      <c r="J2229" s="2">
        <f t="shared" si="137"/>
        <v>3.13</v>
      </c>
      <c r="K2229" s="7">
        <f t="shared" si="138"/>
        <v>46113</v>
      </c>
      <c r="L2229" t="str">
        <f t="shared" si="139"/>
        <v>Q2-2026</v>
      </c>
    </row>
    <row r="2230" spans="1:12">
      <c r="A2230" s="6">
        <v>46136</v>
      </c>
      <c r="B2230" t="s">
        <v>24</v>
      </c>
      <c r="C2230" t="s">
        <v>25</v>
      </c>
      <c r="D2230" s="2">
        <v>13068.75035925046</v>
      </c>
      <c r="E2230" s="2">
        <v>13121.22337205654</v>
      </c>
      <c r="F2230" s="2">
        <v>12848.957739572161</v>
      </c>
      <c r="G2230" s="2">
        <v>12918.26171875</v>
      </c>
      <c r="H2230" s="3">
        <v>464098</v>
      </c>
      <c r="I2230" s="4">
        <f t="shared" si="136"/>
        <v>-1.68</v>
      </c>
      <c r="J2230" s="2">
        <f t="shared" si="137"/>
        <v>202.96</v>
      </c>
      <c r="K2230" s="7">
        <f t="shared" si="138"/>
        <v>46113</v>
      </c>
      <c r="L2230" t="str">
        <f t="shared" si="139"/>
        <v>Q2-2026</v>
      </c>
    </row>
    <row r="2231" spans="1:12">
      <c r="A2231" s="6">
        <v>46136</v>
      </c>
      <c r="B2231" t="s">
        <v>26</v>
      </c>
      <c r="C2231" t="s">
        <v>27</v>
      </c>
      <c r="D2231" s="2">
        <v>350.74050334994331</v>
      </c>
      <c r="E2231" s="2">
        <v>352.92241598160598</v>
      </c>
      <c r="F2231" s="2">
        <v>344.64110566273911</v>
      </c>
      <c r="G2231" s="2">
        <v>347.61642456054688</v>
      </c>
      <c r="H2231" s="3">
        <v>5722477</v>
      </c>
      <c r="I2231" s="4">
        <f t="shared" si="136"/>
        <v>-1.74</v>
      </c>
      <c r="J2231" s="2">
        <f t="shared" si="137"/>
        <v>5.31</v>
      </c>
      <c r="K2231" s="7">
        <f t="shared" si="138"/>
        <v>46113</v>
      </c>
      <c r="L2231" t="str">
        <f t="shared" si="139"/>
        <v>Q2-2026</v>
      </c>
    </row>
    <row r="2232" spans="1:12">
      <c r="A2232" s="6">
        <v>46136</v>
      </c>
      <c r="B2232" t="s">
        <v>28</v>
      </c>
      <c r="C2232" t="s">
        <v>29</v>
      </c>
      <c r="D2232" s="2">
        <v>1666.033606884095</v>
      </c>
      <c r="E2232" s="2">
        <v>1668.9260506484609</v>
      </c>
      <c r="F2232" s="2">
        <v>1609.3820331070251</v>
      </c>
      <c r="G2232" s="2">
        <v>1616.164306640625</v>
      </c>
      <c r="H2232" s="3">
        <v>9606128</v>
      </c>
      <c r="I2232" s="4">
        <f t="shared" si="136"/>
        <v>-3.4</v>
      </c>
      <c r="J2232" s="2">
        <f t="shared" si="137"/>
        <v>52.76</v>
      </c>
      <c r="K2232" s="7">
        <f t="shared" si="138"/>
        <v>46113</v>
      </c>
      <c r="L2232" t="str">
        <f t="shared" si="139"/>
        <v>Q2-2026</v>
      </c>
    </row>
    <row r="2233" spans="1:12">
      <c r="A2233" s="6">
        <v>46136</v>
      </c>
      <c r="B2233" t="s">
        <v>30</v>
      </c>
      <c r="C2233" t="s">
        <v>31</v>
      </c>
      <c r="D2233" s="2">
        <v>2499.7124304630088</v>
      </c>
      <c r="E2233" s="2">
        <v>2517.0619066379072</v>
      </c>
      <c r="F2233" s="2">
        <v>2449.4485678958699</v>
      </c>
      <c r="G2233" s="2">
        <v>2463.724853515625</v>
      </c>
      <c r="H2233" s="3">
        <v>436871</v>
      </c>
      <c r="I2233" s="4">
        <f t="shared" si="136"/>
        <v>-2.0099999999999998</v>
      </c>
      <c r="J2233" s="2">
        <f t="shared" si="137"/>
        <v>53.34</v>
      </c>
      <c r="K2233" s="7">
        <f t="shared" si="138"/>
        <v>46113</v>
      </c>
      <c r="L2233" t="str">
        <f t="shared" si="139"/>
        <v>Q2-2026</v>
      </c>
    </row>
    <row r="2234" spans="1:12">
      <c r="A2234" s="6">
        <v>46136</v>
      </c>
      <c r="B2234" t="s">
        <v>32</v>
      </c>
      <c r="C2234" t="s">
        <v>33</v>
      </c>
      <c r="D2234" s="2">
        <v>2364.549022891656</v>
      </c>
      <c r="E2234" s="2">
        <v>2364.549022891656</v>
      </c>
      <c r="F2234" s="2">
        <v>2275.8511183860142</v>
      </c>
      <c r="G2234" s="2">
        <v>2303.8662109375</v>
      </c>
      <c r="H2234" s="3">
        <v>1676706</v>
      </c>
      <c r="I2234" s="4">
        <f t="shared" si="136"/>
        <v>-3.75</v>
      </c>
      <c r="J2234" s="2">
        <f t="shared" si="137"/>
        <v>60.68</v>
      </c>
      <c r="K2234" s="7">
        <f t="shared" si="138"/>
        <v>46113</v>
      </c>
      <c r="L2234" t="str">
        <f t="shared" si="139"/>
        <v>Q2-2026</v>
      </c>
    </row>
    <row r="2235" spans="1:12">
      <c r="A2235" s="6">
        <v>46136</v>
      </c>
      <c r="B2235" t="s">
        <v>34</v>
      </c>
      <c r="C2235" t="s">
        <v>35</v>
      </c>
      <c r="D2235" s="2">
        <v>4032.612041436581</v>
      </c>
      <c r="E2235" s="2">
        <v>4048.556404814994</v>
      </c>
      <c r="F2235" s="2">
        <v>3944.6709446329328</v>
      </c>
      <c r="G2235" s="2">
        <v>3975.47021484375</v>
      </c>
      <c r="H2235" s="3">
        <v>2162213</v>
      </c>
      <c r="I2235" s="4">
        <f t="shared" si="136"/>
        <v>-2.1800000000000002</v>
      </c>
      <c r="J2235" s="2">
        <f t="shared" si="137"/>
        <v>73.09</v>
      </c>
      <c r="K2235" s="7">
        <f t="shared" si="138"/>
        <v>46113</v>
      </c>
      <c r="L2235" t="str">
        <f t="shared" si="139"/>
        <v>Q2-2026</v>
      </c>
    </row>
    <row r="2236" spans="1:12">
      <c r="A2236" s="6">
        <v>46136</v>
      </c>
      <c r="B2236" t="s">
        <v>36</v>
      </c>
      <c r="C2236" t="s">
        <v>37</v>
      </c>
      <c r="D2236" s="2">
        <v>1367.9449987412249</v>
      </c>
      <c r="E2236" s="2">
        <v>1373.940374922706</v>
      </c>
      <c r="F2236" s="2">
        <v>1348.959640833202</v>
      </c>
      <c r="G2236" s="2">
        <v>1364.847412109375</v>
      </c>
      <c r="H2236" s="3">
        <v>3648313</v>
      </c>
      <c r="I2236" s="4">
        <f t="shared" si="136"/>
        <v>-1.39</v>
      </c>
      <c r="J2236" s="2">
        <f t="shared" si="137"/>
        <v>9.09</v>
      </c>
      <c r="K2236" s="7">
        <f t="shared" si="138"/>
        <v>46113</v>
      </c>
      <c r="L2236" t="str">
        <f t="shared" si="139"/>
        <v>Q2-2026</v>
      </c>
    </row>
    <row r="2237" spans="1:12">
      <c r="A2237" s="6">
        <v>46139</v>
      </c>
      <c r="B2237" t="s">
        <v>8</v>
      </c>
      <c r="C2237" t="s">
        <v>9</v>
      </c>
      <c r="D2237" s="2">
        <v>1306.957115587122</v>
      </c>
      <c r="E2237" s="2">
        <v>1365.2873936261719</v>
      </c>
      <c r="F2237" s="2">
        <v>1304.9663202853901</v>
      </c>
      <c r="G2237" s="2">
        <v>1359.51416015625</v>
      </c>
      <c r="H2237" s="3">
        <v>24673098</v>
      </c>
      <c r="I2237" s="4">
        <f t="shared" si="136"/>
        <v>-0.15</v>
      </c>
      <c r="J2237" s="2">
        <f t="shared" si="137"/>
        <v>5.77</v>
      </c>
      <c r="K2237" s="7">
        <f t="shared" si="138"/>
        <v>46113</v>
      </c>
      <c r="L2237" t="str">
        <f t="shared" si="139"/>
        <v>Q2-2026</v>
      </c>
    </row>
    <row r="2238" spans="1:12">
      <c r="A2238" s="6">
        <v>46139</v>
      </c>
      <c r="B2238" t="s">
        <v>10</v>
      </c>
      <c r="C2238" t="s">
        <v>11</v>
      </c>
      <c r="D2238" s="2">
        <v>2351.9393059532581</v>
      </c>
      <c r="E2238" s="2">
        <v>2412.8745416877382</v>
      </c>
      <c r="F2238" s="2">
        <v>2351.9393059532581</v>
      </c>
      <c r="G2238" s="2">
        <v>2401.6884765625</v>
      </c>
      <c r="H2238" s="3">
        <v>5853425</v>
      </c>
      <c r="I2238" s="4">
        <f t="shared" si="136"/>
        <v>0</v>
      </c>
      <c r="J2238" s="2">
        <f t="shared" si="137"/>
        <v>11.19</v>
      </c>
      <c r="K2238" s="7">
        <f t="shared" si="138"/>
        <v>46113</v>
      </c>
      <c r="L2238" t="str">
        <f t="shared" si="139"/>
        <v>Q2-2026</v>
      </c>
    </row>
    <row r="2239" spans="1:12">
      <c r="A2239" s="6">
        <v>46139</v>
      </c>
      <c r="B2239" t="s">
        <v>12</v>
      </c>
      <c r="C2239" t="s">
        <v>13</v>
      </c>
      <c r="D2239" s="2">
        <v>1130.144311938569</v>
      </c>
      <c r="E2239" s="2">
        <v>1154.9084786451931</v>
      </c>
      <c r="F2239" s="2">
        <v>1130.04645394258</v>
      </c>
      <c r="G2239" s="2">
        <v>1145.511840820312</v>
      </c>
      <c r="H2239" s="3">
        <v>19579883</v>
      </c>
      <c r="I2239" s="4">
        <f t="shared" si="136"/>
        <v>-0.01</v>
      </c>
      <c r="J2239" s="2">
        <f t="shared" si="137"/>
        <v>9.4</v>
      </c>
      <c r="K2239" s="7">
        <f t="shared" si="138"/>
        <v>46113</v>
      </c>
      <c r="L2239" t="str">
        <f t="shared" si="139"/>
        <v>Q2-2026</v>
      </c>
    </row>
    <row r="2240" spans="1:12">
      <c r="A2240" s="6">
        <v>46139</v>
      </c>
      <c r="B2240" t="s">
        <v>14</v>
      </c>
      <c r="C2240" t="s">
        <v>15</v>
      </c>
      <c r="D2240" s="2">
        <v>774.68707986648917</v>
      </c>
      <c r="E2240" s="2">
        <v>780.09759280523929</v>
      </c>
      <c r="F2240" s="2">
        <v>772.22775580342102</v>
      </c>
      <c r="G2240" s="2">
        <v>776.94964599609375</v>
      </c>
      <c r="H2240" s="3">
        <v>18115375</v>
      </c>
      <c r="I2240" s="4">
        <f t="shared" si="136"/>
        <v>-0.32</v>
      </c>
      <c r="J2240" s="2">
        <f t="shared" si="137"/>
        <v>3.15</v>
      </c>
      <c r="K2240" s="7">
        <f t="shared" si="138"/>
        <v>46113</v>
      </c>
      <c r="L2240" t="str">
        <f t="shared" si="139"/>
        <v>Q2-2026</v>
      </c>
    </row>
    <row r="2241" spans="1:12">
      <c r="A2241" s="6">
        <v>46139</v>
      </c>
      <c r="B2241" t="s">
        <v>16</v>
      </c>
      <c r="C2241" t="s">
        <v>17</v>
      </c>
      <c r="D2241" s="2">
        <v>1316.798693187425</v>
      </c>
      <c r="E2241" s="2">
        <v>1324.731812663154</v>
      </c>
      <c r="F2241" s="2">
        <v>1299.9408143015021</v>
      </c>
      <c r="G2241" s="2">
        <v>1303.114013671875</v>
      </c>
      <c r="H2241" s="3">
        <v>15385625</v>
      </c>
      <c r="I2241" s="4">
        <f t="shared" si="136"/>
        <v>-1.28</v>
      </c>
      <c r="J2241" s="2">
        <f t="shared" si="137"/>
        <v>21.62</v>
      </c>
      <c r="K2241" s="7">
        <f t="shared" si="138"/>
        <v>46113</v>
      </c>
      <c r="L2241" t="str">
        <f t="shared" si="139"/>
        <v>Q2-2026</v>
      </c>
    </row>
    <row r="2242" spans="1:12">
      <c r="A2242" s="6">
        <v>46139</v>
      </c>
      <c r="B2242" t="s">
        <v>18</v>
      </c>
      <c r="C2242" t="s">
        <v>19</v>
      </c>
      <c r="D2242" s="2">
        <v>197.1088670767416</v>
      </c>
      <c r="E2242" s="2">
        <v>202.93235776304741</v>
      </c>
      <c r="F2242" s="2">
        <v>197.1088670767416</v>
      </c>
      <c r="G2242" s="2">
        <v>202.734619140625</v>
      </c>
      <c r="H2242" s="3">
        <v>42632215</v>
      </c>
      <c r="I2242" s="4">
        <f t="shared" ref="I2242:I2305" si="140">ROUND(((F2242-D2242)/D2242)*100, 2)</f>
        <v>0</v>
      </c>
      <c r="J2242" s="2">
        <f t="shared" ref="J2242:J2305" si="141">ROUND(E2242-G2242, 2)</f>
        <v>0.2</v>
      </c>
      <c r="K2242" s="7">
        <f t="shared" ref="K2242:K2305" si="142">DATE(YEAR(A2242),MONTH(A2242),1)</f>
        <v>46113</v>
      </c>
      <c r="L2242" t="str">
        <f t="shared" ref="L2242:L2305" si="143">"Q"&amp;INT((MONTH(A2242)-1)/3)+1&amp;"-"&amp;YEAR(A2242)</f>
        <v>Q2-2026</v>
      </c>
    </row>
    <row r="2243" spans="1:12">
      <c r="A2243" s="6">
        <v>46139</v>
      </c>
      <c r="B2243" t="s">
        <v>20</v>
      </c>
      <c r="C2243" t="s">
        <v>21</v>
      </c>
      <c r="D2243" s="2">
        <v>1196.781683767312</v>
      </c>
      <c r="E2243" s="2">
        <v>1219.549242680999</v>
      </c>
      <c r="F2243" s="2">
        <v>1188.862532840812</v>
      </c>
      <c r="G2243" s="2">
        <v>1215.78759765625</v>
      </c>
      <c r="H2243" s="3">
        <v>6066942</v>
      </c>
      <c r="I2243" s="4">
        <f t="shared" si="140"/>
        <v>-0.66</v>
      </c>
      <c r="J2243" s="2">
        <f t="shared" si="141"/>
        <v>3.76</v>
      </c>
      <c r="K2243" s="7">
        <f t="shared" si="142"/>
        <v>46113</v>
      </c>
      <c r="L2243" t="str">
        <f t="shared" si="143"/>
        <v>Q2-2026</v>
      </c>
    </row>
    <row r="2244" spans="1:12">
      <c r="A2244" s="6">
        <v>46139</v>
      </c>
      <c r="B2244" t="s">
        <v>22</v>
      </c>
      <c r="C2244" t="s">
        <v>23</v>
      </c>
      <c r="D2244" s="2">
        <v>917.41045372841722</v>
      </c>
      <c r="E2244" s="2">
        <v>923.27443091957218</v>
      </c>
      <c r="F2244" s="2">
        <v>902.75057141278126</v>
      </c>
      <c r="G2244" s="2">
        <v>916.1680908203125</v>
      </c>
      <c r="H2244" s="3">
        <v>7813458</v>
      </c>
      <c r="I2244" s="4">
        <f t="shared" si="140"/>
        <v>-1.6</v>
      </c>
      <c r="J2244" s="2">
        <f t="shared" si="141"/>
        <v>7.11</v>
      </c>
      <c r="K2244" s="7">
        <f t="shared" si="142"/>
        <v>46113</v>
      </c>
      <c r="L2244" t="str">
        <f t="shared" si="143"/>
        <v>Q2-2026</v>
      </c>
    </row>
    <row r="2245" spans="1:12">
      <c r="A2245" s="6">
        <v>46139</v>
      </c>
      <c r="B2245" t="s">
        <v>24</v>
      </c>
      <c r="C2245" t="s">
        <v>25</v>
      </c>
      <c r="D2245" s="2">
        <v>13022.21732954546</v>
      </c>
      <c r="E2245" s="2">
        <v>13138.05397727273</v>
      </c>
      <c r="F2245" s="2">
        <v>12913.31107954546</v>
      </c>
      <c r="G2245" s="2">
        <v>13090.53125</v>
      </c>
      <c r="H2245" s="3">
        <v>312786</v>
      </c>
      <c r="I2245" s="4">
        <f t="shared" si="140"/>
        <v>-0.84</v>
      </c>
      <c r="J2245" s="2">
        <f t="shared" si="141"/>
        <v>47.52</v>
      </c>
      <c r="K2245" s="7">
        <f t="shared" si="142"/>
        <v>46113</v>
      </c>
      <c r="L2245" t="str">
        <f t="shared" si="143"/>
        <v>Q2-2026</v>
      </c>
    </row>
    <row r="2246" spans="1:12">
      <c r="A2246" s="6">
        <v>46139</v>
      </c>
      <c r="B2246" t="s">
        <v>26</v>
      </c>
      <c r="C2246" t="s">
        <v>27</v>
      </c>
      <c r="D2246" s="2">
        <v>348.11230795822809</v>
      </c>
      <c r="E2246" s="2">
        <v>353.86457900307113</v>
      </c>
      <c r="F2246" s="2">
        <v>347.36847824036857</v>
      </c>
      <c r="G2246" s="2">
        <v>351.43475341796881</v>
      </c>
      <c r="H2246" s="3">
        <v>9713765</v>
      </c>
      <c r="I2246" s="4">
        <f t="shared" si="140"/>
        <v>-0.21</v>
      </c>
      <c r="J2246" s="2">
        <f t="shared" si="141"/>
        <v>2.4300000000000002</v>
      </c>
      <c r="K2246" s="7">
        <f t="shared" si="142"/>
        <v>46113</v>
      </c>
      <c r="L2246" t="str">
        <f t="shared" si="143"/>
        <v>Q2-2026</v>
      </c>
    </row>
    <row r="2247" spans="1:12">
      <c r="A2247" s="6">
        <v>46139</v>
      </c>
      <c r="B2247" t="s">
        <v>28</v>
      </c>
      <c r="C2247" t="s">
        <v>29</v>
      </c>
      <c r="D2247" s="2">
        <v>1620.7523615517739</v>
      </c>
      <c r="E2247" s="2">
        <v>1762.2814690430639</v>
      </c>
      <c r="F2247" s="2">
        <v>1617.6604890892129</v>
      </c>
      <c r="G2247" s="2">
        <v>1728.96875</v>
      </c>
      <c r="H2247" s="3">
        <v>26995361</v>
      </c>
      <c r="I2247" s="4">
        <f t="shared" si="140"/>
        <v>-0.19</v>
      </c>
      <c r="J2247" s="2">
        <f t="shared" si="141"/>
        <v>33.31</v>
      </c>
      <c r="K2247" s="7">
        <f t="shared" si="142"/>
        <v>46113</v>
      </c>
      <c r="L2247" t="str">
        <f t="shared" si="143"/>
        <v>Q2-2026</v>
      </c>
    </row>
    <row r="2248" spans="1:12">
      <c r="A2248" s="6">
        <v>46139</v>
      </c>
      <c r="B2248" t="s">
        <v>30</v>
      </c>
      <c r="C2248" t="s">
        <v>31</v>
      </c>
      <c r="D2248" s="2">
        <v>2481.4706738004352</v>
      </c>
      <c r="E2248" s="2">
        <v>2498.12621854091</v>
      </c>
      <c r="F2248" s="2">
        <v>2454.20721254214</v>
      </c>
      <c r="G2248" s="2">
        <v>2463.82373046875</v>
      </c>
      <c r="H2248" s="3">
        <v>452134</v>
      </c>
      <c r="I2248" s="4">
        <f t="shared" si="140"/>
        <v>-1.1000000000000001</v>
      </c>
      <c r="J2248" s="2">
        <f t="shared" si="141"/>
        <v>34.299999999999997</v>
      </c>
      <c r="K2248" s="7">
        <f t="shared" si="142"/>
        <v>46113</v>
      </c>
      <c r="L2248" t="str">
        <f t="shared" si="143"/>
        <v>Q2-2026</v>
      </c>
    </row>
    <row r="2249" spans="1:12">
      <c r="A2249" s="6">
        <v>46139</v>
      </c>
      <c r="B2249" t="s">
        <v>32</v>
      </c>
      <c r="C2249" t="s">
        <v>33</v>
      </c>
      <c r="D2249" s="2">
        <v>2311.3896002112169</v>
      </c>
      <c r="E2249" s="2">
        <v>2339.0088177903608</v>
      </c>
      <c r="F2249" s="2">
        <v>2301.5893808110281</v>
      </c>
      <c r="G2249" s="2">
        <v>2304.856201171875</v>
      </c>
      <c r="H2249" s="3">
        <v>1099681</v>
      </c>
      <c r="I2249" s="4">
        <f t="shared" si="140"/>
        <v>-0.42</v>
      </c>
      <c r="J2249" s="2">
        <f t="shared" si="141"/>
        <v>34.15</v>
      </c>
      <c r="K2249" s="7">
        <f t="shared" si="142"/>
        <v>46113</v>
      </c>
      <c r="L2249" t="str">
        <f t="shared" si="143"/>
        <v>Q2-2026</v>
      </c>
    </row>
    <row r="2250" spans="1:12">
      <c r="A2250" s="6">
        <v>46139</v>
      </c>
      <c r="B2250" t="s">
        <v>34</v>
      </c>
      <c r="C2250" t="s">
        <v>35</v>
      </c>
      <c r="D2250" s="2">
        <v>4018.7474793637462</v>
      </c>
      <c r="E2250" s="2">
        <v>4049.9427838487031</v>
      </c>
      <c r="F2250" s="2">
        <v>3991.216336891046</v>
      </c>
      <c r="G2250" s="2">
        <v>4014.39013671875</v>
      </c>
      <c r="H2250" s="3">
        <v>2000348</v>
      </c>
      <c r="I2250" s="4">
        <f t="shared" si="140"/>
        <v>-0.69</v>
      </c>
      <c r="J2250" s="2">
        <f t="shared" si="141"/>
        <v>35.549999999999997</v>
      </c>
      <c r="K2250" s="7">
        <f t="shared" si="142"/>
        <v>46113</v>
      </c>
      <c r="L2250" t="str">
        <f t="shared" si="143"/>
        <v>Q2-2026</v>
      </c>
    </row>
    <row r="2251" spans="1:12">
      <c r="A2251" s="6">
        <v>46139</v>
      </c>
      <c r="B2251" t="s">
        <v>36</v>
      </c>
      <c r="C2251" t="s">
        <v>37</v>
      </c>
      <c r="D2251" s="2">
        <v>1323.9788756219441</v>
      </c>
      <c r="E2251" s="2">
        <v>1326.2771518946511</v>
      </c>
      <c r="F2251" s="2">
        <v>1298.8982435808809</v>
      </c>
      <c r="G2251" s="2">
        <v>1323.179443359375</v>
      </c>
      <c r="H2251" s="3">
        <v>10768267</v>
      </c>
      <c r="I2251" s="4">
        <f t="shared" si="140"/>
        <v>-1.89</v>
      </c>
      <c r="J2251" s="2">
        <f t="shared" si="141"/>
        <v>3.1</v>
      </c>
      <c r="K2251" s="7">
        <f t="shared" si="142"/>
        <v>46113</v>
      </c>
      <c r="L2251" t="str">
        <f t="shared" si="143"/>
        <v>Q2-2026</v>
      </c>
    </row>
    <row r="2252" spans="1:12">
      <c r="A2252" s="6">
        <v>46140</v>
      </c>
      <c r="B2252" t="s">
        <v>8</v>
      </c>
      <c r="C2252" t="s">
        <v>9</v>
      </c>
      <c r="D2252" s="2">
        <v>1351.7500009887619</v>
      </c>
      <c r="E2252" s="2">
        <v>1388.778744754125</v>
      </c>
      <c r="F2252" s="2">
        <v>1350.7546033444401</v>
      </c>
      <c r="G2252" s="2">
        <v>1382.5078125</v>
      </c>
      <c r="H2252" s="3">
        <v>41027699</v>
      </c>
      <c r="I2252" s="4">
        <f t="shared" si="140"/>
        <v>-7.0000000000000007E-2</v>
      </c>
      <c r="J2252" s="2">
        <f t="shared" si="141"/>
        <v>6.27</v>
      </c>
      <c r="K2252" s="7">
        <f t="shared" si="142"/>
        <v>46113</v>
      </c>
      <c r="L2252" t="str">
        <f t="shared" si="143"/>
        <v>Q2-2026</v>
      </c>
    </row>
    <row r="2253" spans="1:12">
      <c r="A2253" s="6">
        <v>46140</v>
      </c>
      <c r="B2253" t="s">
        <v>10</v>
      </c>
      <c r="C2253" t="s">
        <v>11</v>
      </c>
      <c r="D2253" s="2">
        <v>2398.1559518054191</v>
      </c>
      <c r="E2253" s="2">
        <v>2440.3493666694262</v>
      </c>
      <c r="F2253" s="2">
        <v>2381.8672353590659</v>
      </c>
      <c r="G2253" s="2">
        <v>2398.8427734375</v>
      </c>
      <c r="H2253" s="3">
        <v>4508363</v>
      </c>
      <c r="I2253" s="4">
        <f t="shared" si="140"/>
        <v>-0.68</v>
      </c>
      <c r="J2253" s="2">
        <f t="shared" si="141"/>
        <v>41.51</v>
      </c>
      <c r="K2253" s="7">
        <f t="shared" si="142"/>
        <v>46113</v>
      </c>
      <c r="L2253" t="str">
        <f t="shared" si="143"/>
        <v>Q2-2026</v>
      </c>
    </row>
    <row r="2254" spans="1:12">
      <c r="A2254" s="6">
        <v>46140</v>
      </c>
      <c r="B2254" t="s">
        <v>12</v>
      </c>
      <c r="C2254" t="s">
        <v>13</v>
      </c>
      <c r="D2254" s="2">
        <v>1138.0727223885281</v>
      </c>
      <c r="E2254" s="2">
        <v>1144.6308809119321</v>
      </c>
      <c r="F2254" s="2">
        <v>1125.446053776303</v>
      </c>
      <c r="G2254" s="2">
        <v>1127.697265625</v>
      </c>
      <c r="H2254" s="3">
        <v>12720276</v>
      </c>
      <c r="I2254" s="4">
        <f t="shared" si="140"/>
        <v>-1.1100000000000001</v>
      </c>
      <c r="J2254" s="2">
        <f t="shared" si="141"/>
        <v>16.93</v>
      </c>
      <c r="K2254" s="7">
        <f t="shared" si="142"/>
        <v>46113</v>
      </c>
      <c r="L2254" t="str">
        <f t="shared" si="143"/>
        <v>Q2-2026</v>
      </c>
    </row>
    <row r="2255" spans="1:12">
      <c r="A2255" s="6">
        <v>46140</v>
      </c>
      <c r="B2255" t="s">
        <v>14</v>
      </c>
      <c r="C2255" t="s">
        <v>15</v>
      </c>
      <c r="D2255" s="2">
        <v>772.22777660828285</v>
      </c>
      <c r="E2255" s="2">
        <v>781.57320829972059</v>
      </c>
      <c r="F2255" s="2">
        <v>765.63677593327122</v>
      </c>
      <c r="G2255" s="2">
        <v>769.817626953125</v>
      </c>
      <c r="H2255" s="3">
        <v>35366803</v>
      </c>
      <c r="I2255" s="4">
        <f t="shared" si="140"/>
        <v>-0.85</v>
      </c>
      <c r="J2255" s="2">
        <f t="shared" si="141"/>
        <v>11.76</v>
      </c>
      <c r="K2255" s="7">
        <f t="shared" si="142"/>
        <v>46113</v>
      </c>
      <c r="L2255" t="str">
        <f t="shared" si="143"/>
        <v>Q2-2026</v>
      </c>
    </row>
    <row r="2256" spans="1:12">
      <c r="A2256" s="6">
        <v>46140</v>
      </c>
      <c r="B2256" t="s">
        <v>16</v>
      </c>
      <c r="C2256" t="s">
        <v>17</v>
      </c>
      <c r="D2256" s="2">
        <v>1303.3124724850061</v>
      </c>
      <c r="E2256" s="2">
        <v>1306.6839515728991</v>
      </c>
      <c r="F2256" s="2">
        <v>1275.943112231791</v>
      </c>
      <c r="G2256" s="2">
        <v>1281.198852539062</v>
      </c>
      <c r="H2256" s="3">
        <v>16774778</v>
      </c>
      <c r="I2256" s="4">
        <f t="shared" si="140"/>
        <v>-2.1</v>
      </c>
      <c r="J2256" s="2">
        <f t="shared" si="141"/>
        <v>25.49</v>
      </c>
      <c r="K2256" s="7">
        <f t="shared" si="142"/>
        <v>46113</v>
      </c>
      <c r="L2256" t="str">
        <f t="shared" si="143"/>
        <v>Q2-2026</v>
      </c>
    </row>
    <row r="2257" spans="1:12">
      <c r="A2257" s="6">
        <v>46140</v>
      </c>
      <c r="B2257" t="s">
        <v>18</v>
      </c>
      <c r="C2257" t="s">
        <v>19</v>
      </c>
      <c r="D2257" s="2">
        <v>202.25014872750131</v>
      </c>
      <c r="E2257" s="2">
        <v>203.3574970934024</v>
      </c>
      <c r="F2257" s="2">
        <v>198.7501283072838</v>
      </c>
      <c r="G2257" s="2">
        <v>199.3038024902344</v>
      </c>
      <c r="H2257" s="3">
        <v>23455983</v>
      </c>
      <c r="I2257" s="4">
        <f t="shared" si="140"/>
        <v>-1.73</v>
      </c>
      <c r="J2257" s="2">
        <f t="shared" si="141"/>
        <v>4.05</v>
      </c>
      <c r="K2257" s="7">
        <f t="shared" si="142"/>
        <v>46113</v>
      </c>
      <c r="L2257" t="str">
        <f t="shared" si="143"/>
        <v>Q2-2026</v>
      </c>
    </row>
    <row r="2258" spans="1:12">
      <c r="A2258" s="6">
        <v>46140</v>
      </c>
      <c r="B2258" t="s">
        <v>20</v>
      </c>
      <c r="C2258" t="s">
        <v>21</v>
      </c>
      <c r="D2258" s="2">
        <v>1215.4907250223951</v>
      </c>
      <c r="E2258" s="2">
        <v>1220.242143166304</v>
      </c>
      <c r="F2258" s="2">
        <v>1180.2505268992791</v>
      </c>
      <c r="G2258" s="2">
        <v>1183.9130859375</v>
      </c>
      <c r="H2258" s="3">
        <v>6643295</v>
      </c>
      <c r="I2258" s="4">
        <f t="shared" si="140"/>
        <v>-2.9</v>
      </c>
      <c r="J2258" s="2">
        <f t="shared" si="141"/>
        <v>36.33</v>
      </c>
      <c r="K2258" s="7">
        <f t="shared" si="142"/>
        <v>46113</v>
      </c>
      <c r="L2258" t="str">
        <f t="shared" si="143"/>
        <v>Q2-2026</v>
      </c>
    </row>
    <row r="2259" spans="1:12">
      <c r="A2259" s="6">
        <v>46140</v>
      </c>
      <c r="B2259" t="s">
        <v>22</v>
      </c>
      <c r="C2259" t="s">
        <v>23</v>
      </c>
      <c r="D2259" s="2">
        <v>916.16810241288806</v>
      </c>
      <c r="E2259" s="2">
        <v>924.21865055662386</v>
      </c>
      <c r="F2259" s="2">
        <v>908.76360725444192</v>
      </c>
      <c r="G2259" s="2">
        <v>918.0068359375</v>
      </c>
      <c r="H2259" s="3">
        <v>7119135</v>
      </c>
      <c r="I2259" s="4">
        <f t="shared" si="140"/>
        <v>-0.81</v>
      </c>
      <c r="J2259" s="2">
        <f t="shared" si="141"/>
        <v>6.21</v>
      </c>
      <c r="K2259" s="7">
        <f t="shared" si="142"/>
        <v>46113</v>
      </c>
      <c r="L2259" t="str">
        <f t="shared" si="143"/>
        <v>Q2-2026</v>
      </c>
    </row>
    <row r="2260" spans="1:12">
      <c r="A2260" s="6">
        <v>46140</v>
      </c>
      <c r="B2260" t="s">
        <v>24</v>
      </c>
      <c r="C2260" t="s">
        <v>25</v>
      </c>
      <c r="D2260" s="2">
        <v>13090.53125</v>
      </c>
      <c r="E2260" s="2">
        <v>13174.68607954546</v>
      </c>
      <c r="F2260" s="2">
        <v>12700.44886363636</v>
      </c>
      <c r="G2260" s="2">
        <v>12763.8125</v>
      </c>
      <c r="H2260" s="3">
        <v>836679</v>
      </c>
      <c r="I2260" s="4">
        <f t="shared" si="140"/>
        <v>-2.98</v>
      </c>
      <c r="J2260" s="2">
        <f t="shared" si="141"/>
        <v>410.87</v>
      </c>
      <c r="K2260" s="7">
        <f t="shared" si="142"/>
        <v>46113</v>
      </c>
      <c r="L2260" t="str">
        <f t="shared" si="143"/>
        <v>Q2-2026</v>
      </c>
    </row>
    <row r="2261" spans="1:12">
      <c r="A2261" s="6">
        <v>46140</v>
      </c>
      <c r="B2261" t="s">
        <v>26</v>
      </c>
      <c r="C2261" t="s">
        <v>27</v>
      </c>
      <c r="D2261" s="2">
        <v>351.43475257905629</v>
      </c>
      <c r="E2261" s="2">
        <v>353.07117190113911</v>
      </c>
      <c r="F2261" s="2">
        <v>346.47588780516389</v>
      </c>
      <c r="G2261" s="2">
        <v>347.9139404296875</v>
      </c>
      <c r="H2261" s="3">
        <v>7247106</v>
      </c>
      <c r="I2261" s="4">
        <f t="shared" si="140"/>
        <v>-1.41</v>
      </c>
      <c r="J2261" s="2">
        <f t="shared" si="141"/>
        <v>5.16</v>
      </c>
      <c r="K2261" s="7">
        <f t="shared" si="142"/>
        <v>46113</v>
      </c>
      <c r="L2261" t="str">
        <f t="shared" si="143"/>
        <v>Q2-2026</v>
      </c>
    </row>
    <row r="2262" spans="1:12">
      <c r="A2262" s="6">
        <v>46140</v>
      </c>
      <c r="B2262" t="s">
        <v>28</v>
      </c>
      <c r="C2262" t="s">
        <v>29</v>
      </c>
      <c r="D2262" s="2">
        <v>1719.493522721509</v>
      </c>
      <c r="E2262" s="2">
        <v>1759.2892498307961</v>
      </c>
      <c r="F2262" s="2">
        <v>1709.8189268916051</v>
      </c>
      <c r="G2262" s="2">
        <v>1742.732666015625</v>
      </c>
      <c r="H2262" s="3">
        <v>16599167</v>
      </c>
      <c r="I2262" s="4">
        <f t="shared" si="140"/>
        <v>-0.56000000000000005</v>
      </c>
      <c r="J2262" s="2">
        <f t="shared" si="141"/>
        <v>16.559999999999999</v>
      </c>
      <c r="K2262" s="7">
        <f t="shared" si="142"/>
        <v>46113</v>
      </c>
      <c r="L2262" t="str">
        <f t="shared" si="143"/>
        <v>Q2-2026</v>
      </c>
    </row>
    <row r="2263" spans="1:12">
      <c r="A2263" s="6">
        <v>46140</v>
      </c>
      <c r="B2263" t="s">
        <v>30</v>
      </c>
      <c r="C2263" t="s">
        <v>31</v>
      </c>
      <c r="D2263" s="2">
        <v>2453.711703700179</v>
      </c>
      <c r="E2263" s="2">
        <v>2477.50527173606</v>
      </c>
      <c r="F2263" s="2">
        <v>2434.9743656881992</v>
      </c>
      <c r="G2263" s="2">
        <v>2441.41845703125</v>
      </c>
      <c r="H2263" s="3">
        <v>556571</v>
      </c>
      <c r="I2263" s="4">
        <f t="shared" si="140"/>
        <v>-0.76</v>
      </c>
      <c r="J2263" s="2">
        <f t="shared" si="141"/>
        <v>36.090000000000003</v>
      </c>
      <c r="K2263" s="7">
        <f t="shared" si="142"/>
        <v>46113</v>
      </c>
      <c r="L2263" t="str">
        <f t="shared" si="143"/>
        <v>Q2-2026</v>
      </c>
    </row>
    <row r="2264" spans="1:12">
      <c r="A2264" s="6">
        <v>46140</v>
      </c>
      <c r="B2264" t="s">
        <v>32</v>
      </c>
      <c r="C2264" t="s">
        <v>33</v>
      </c>
      <c r="D2264" s="2">
        <v>2297.6296004432602</v>
      </c>
      <c r="E2264" s="2">
        <v>2310.8945777237641</v>
      </c>
      <c r="F2264" s="2">
        <v>2258.1314545234859</v>
      </c>
      <c r="G2264" s="2">
        <v>2266.44677734375</v>
      </c>
      <c r="H2264" s="3">
        <v>1629120</v>
      </c>
      <c r="I2264" s="4">
        <f t="shared" si="140"/>
        <v>-1.72</v>
      </c>
      <c r="J2264" s="2">
        <f t="shared" si="141"/>
        <v>44.45</v>
      </c>
      <c r="K2264" s="7">
        <f t="shared" si="142"/>
        <v>46113</v>
      </c>
      <c r="L2264" t="str">
        <f t="shared" si="143"/>
        <v>Q2-2026</v>
      </c>
    </row>
    <row r="2265" spans="1:12">
      <c r="A2265" s="6">
        <v>46140</v>
      </c>
      <c r="B2265" t="s">
        <v>34</v>
      </c>
      <c r="C2265" t="s">
        <v>35</v>
      </c>
      <c r="D2265" s="2">
        <v>4020.7281421519192</v>
      </c>
      <c r="E2265" s="2">
        <v>4048.3581723284719</v>
      </c>
      <c r="F2265" s="2">
        <v>3984.9772360975062</v>
      </c>
      <c r="G2265" s="2">
        <v>3998.643798828125</v>
      </c>
      <c r="H2265" s="3">
        <v>1750237</v>
      </c>
      <c r="I2265" s="4">
        <f t="shared" si="140"/>
        <v>-0.89</v>
      </c>
      <c r="J2265" s="2">
        <f t="shared" si="141"/>
        <v>49.71</v>
      </c>
      <c r="K2265" s="7">
        <f t="shared" si="142"/>
        <v>46113</v>
      </c>
      <c r="L2265" t="str">
        <f t="shared" si="143"/>
        <v>Q2-2026</v>
      </c>
    </row>
    <row r="2266" spans="1:12">
      <c r="A2266" s="6">
        <v>46140</v>
      </c>
      <c r="B2266" t="s">
        <v>36</v>
      </c>
      <c r="C2266" t="s">
        <v>37</v>
      </c>
      <c r="D2266" s="2">
        <v>1310.988990375291</v>
      </c>
      <c r="E2266" s="2">
        <v>1320.381771256461</v>
      </c>
      <c r="F2266" s="2">
        <v>1284.5094109203019</v>
      </c>
      <c r="G2266" s="2">
        <v>1288.006713867188</v>
      </c>
      <c r="H2266" s="3">
        <v>9939787</v>
      </c>
      <c r="I2266" s="4">
        <f t="shared" si="140"/>
        <v>-2.02</v>
      </c>
      <c r="J2266" s="2">
        <f t="shared" si="141"/>
        <v>32.380000000000003</v>
      </c>
      <c r="K2266" s="7">
        <f t="shared" si="142"/>
        <v>46113</v>
      </c>
      <c r="L2266" t="str">
        <f t="shared" si="143"/>
        <v>Q2-2026</v>
      </c>
    </row>
    <row r="2267" spans="1:12">
      <c r="A2267" s="6">
        <v>46141</v>
      </c>
      <c r="B2267" t="s">
        <v>8</v>
      </c>
      <c r="C2267" t="s">
        <v>9</v>
      </c>
      <c r="D2267" s="2">
        <v>1385.593537724171</v>
      </c>
      <c r="E2267" s="2">
        <v>1427.2012083655529</v>
      </c>
      <c r="F2267" s="2">
        <v>1384.896807968084</v>
      </c>
      <c r="G2267" s="2">
        <v>1418.83984375</v>
      </c>
      <c r="H2267" s="3">
        <v>30542143</v>
      </c>
      <c r="I2267" s="4">
        <f t="shared" si="140"/>
        <v>-0.05</v>
      </c>
      <c r="J2267" s="2">
        <f t="shared" si="141"/>
        <v>8.36</v>
      </c>
      <c r="K2267" s="7">
        <f t="shared" si="142"/>
        <v>46113</v>
      </c>
      <c r="L2267" t="str">
        <f t="shared" si="143"/>
        <v>Q2-2026</v>
      </c>
    </row>
    <row r="2268" spans="1:12">
      <c r="A2268" s="6">
        <v>46141</v>
      </c>
      <c r="B2268" t="s">
        <v>10</v>
      </c>
      <c r="C2268" t="s">
        <v>11</v>
      </c>
      <c r="D2268" s="2">
        <v>2405.0246370224609</v>
      </c>
      <c r="E2268" s="2">
        <v>2441.2323784506302</v>
      </c>
      <c r="F2268" s="2">
        <v>2401.688509360205</v>
      </c>
      <c r="G2268" s="2">
        <v>2428.280029296875</v>
      </c>
      <c r="H2268" s="3">
        <v>2835961</v>
      </c>
      <c r="I2268" s="4">
        <f t="shared" si="140"/>
        <v>-0.14000000000000001</v>
      </c>
      <c r="J2268" s="2">
        <f t="shared" si="141"/>
        <v>12.95</v>
      </c>
      <c r="K2268" s="7">
        <f t="shared" si="142"/>
        <v>46113</v>
      </c>
      <c r="L2268" t="str">
        <f t="shared" si="143"/>
        <v>Q2-2026</v>
      </c>
    </row>
    <row r="2269" spans="1:12">
      <c r="A2269" s="6">
        <v>46141</v>
      </c>
      <c r="B2269" t="s">
        <v>12</v>
      </c>
      <c r="C2269" t="s">
        <v>13</v>
      </c>
      <c r="D2269" s="2">
        <v>1133.961747660014</v>
      </c>
      <c r="E2269" s="2">
        <v>1153.244433080537</v>
      </c>
      <c r="F2269" s="2">
        <v>1132.297803247588</v>
      </c>
      <c r="G2269" s="2">
        <v>1142.771118164062</v>
      </c>
      <c r="H2269" s="3">
        <v>8303109</v>
      </c>
      <c r="I2269" s="4">
        <f t="shared" si="140"/>
        <v>-0.15</v>
      </c>
      <c r="J2269" s="2">
        <f t="shared" si="141"/>
        <v>10.47</v>
      </c>
      <c r="K2269" s="7">
        <f t="shared" si="142"/>
        <v>46113</v>
      </c>
      <c r="L2269" t="str">
        <f t="shared" si="143"/>
        <v>Q2-2026</v>
      </c>
    </row>
    <row r="2270" spans="1:12">
      <c r="A2270" s="6">
        <v>46141</v>
      </c>
      <c r="B2270" t="s">
        <v>14</v>
      </c>
      <c r="C2270" t="s">
        <v>15</v>
      </c>
      <c r="D2270" s="2">
        <v>772.71962098499932</v>
      </c>
      <c r="E2270" s="2">
        <v>777.14640430063582</v>
      </c>
      <c r="F2270" s="2">
        <v>764.70220051873218</v>
      </c>
      <c r="G2270" s="2">
        <v>766.32537841796875</v>
      </c>
      <c r="H2270" s="3">
        <v>25799963</v>
      </c>
      <c r="I2270" s="4">
        <f t="shared" si="140"/>
        <v>-1.04</v>
      </c>
      <c r="J2270" s="2">
        <f t="shared" si="141"/>
        <v>10.82</v>
      </c>
      <c r="K2270" s="7">
        <f t="shared" si="142"/>
        <v>46113</v>
      </c>
      <c r="L2270" t="str">
        <f t="shared" si="143"/>
        <v>Q2-2026</v>
      </c>
    </row>
    <row r="2271" spans="1:12">
      <c r="A2271" s="6">
        <v>46141</v>
      </c>
      <c r="B2271" t="s">
        <v>16</v>
      </c>
      <c r="C2271" t="s">
        <v>17</v>
      </c>
      <c r="D2271" s="2">
        <v>1283.876190331697</v>
      </c>
      <c r="E2271" s="2">
        <v>1285.9587310592151</v>
      </c>
      <c r="F2271" s="2">
        <v>1265.5308513211889</v>
      </c>
      <c r="G2271" s="2">
        <v>1270.290771484375</v>
      </c>
      <c r="H2271" s="3">
        <v>11716030</v>
      </c>
      <c r="I2271" s="4">
        <f t="shared" si="140"/>
        <v>-1.43</v>
      </c>
      <c r="J2271" s="2">
        <f t="shared" si="141"/>
        <v>15.67</v>
      </c>
      <c r="K2271" s="7">
        <f t="shared" si="142"/>
        <v>46113</v>
      </c>
      <c r="L2271" t="str">
        <f t="shared" si="143"/>
        <v>Q2-2026</v>
      </c>
    </row>
    <row r="2272" spans="1:12">
      <c r="A2272" s="6">
        <v>46141</v>
      </c>
      <c r="B2272" t="s">
        <v>18</v>
      </c>
      <c r="C2272" t="s">
        <v>19</v>
      </c>
      <c r="D2272" s="2">
        <v>199.30380212644289</v>
      </c>
      <c r="E2272" s="2">
        <v>201.30099692828901</v>
      </c>
      <c r="F2272" s="2">
        <v>198.03825682872591</v>
      </c>
      <c r="G2272" s="2">
        <v>198.41395568847659</v>
      </c>
      <c r="H2272" s="3">
        <v>15667662</v>
      </c>
      <c r="I2272" s="4">
        <f t="shared" si="140"/>
        <v>-0.63</v>
      </c>
      <c r="J2272" s="2">
        <f t="shared" si="141"/>
        <v>2.89</v>
      </c>
      <c r="K2272" s="7">
        <f t="shared" si="142"/>
        <v>46113</v>
      </c>
      <c r="L2272" t="str">
        <f t="shared" si="143"/>
        <v>Q2-2026</v>
      </c>
    </row>
    <row r="2273" spans="1:12">
      <c r="A2273" s="6">
        <v>46141</v>
      </c>
      <c r="B2273" t="s">
        <v>20</v>
      </c>
      <c r="C2273" t="s">
        <v>21</v>
      </c>
      <c r="D2273" s="2">
        <v>1187.8727482542281</v>
      </c>
      <c r="E2273" s="2">
        <v>1198.5636513231821</v>
      </c>
      <c r="F2273" s="2">
        <v>1180.052561827554</v>
      </c>
      <c r="G2273" s="2">
        <v>1188.070678710938</v>
      </c>
      <c r="H2273" s="3">
        <v>4777201</v>
      </c>
      <c r="I2273" s="4">
        <f t="shared" si="140"/>
        <v>-0.66</v>
      </c>
      <c r="J2273" s="2">
        <f t="shared" si="141"/>
        <v>10.49</v>
      </c>
      <c r="K2273" s="7">
        <f t="shared" si="142"/>
        <v>46113</v>
      </c>
      <c r="L2273" t="str">
        <f t="shared" si="143"/>
        <v>Q2-2026</v>
      </c>
    </row>
    <row r="2274" spans="1:12">
      <c r="A2274" s="6">
        <v>46141</v>
      </c>
      <c r="B2274" t="s">
        <v>22</v>
      </c>
      <c r="C2274" t="s">
        <v>23</v>
      </c>
      <c r="D2274" s="2">
        <v>919.34854158791154</v>
      </c>
      <c r="E2274" s="2">
        <v>931.27522537067364</v>
      </c>
      <c r="F2274" s="2">
        <v>910.99983867507785</v>
      </c>
      <c r="G2274" s="2">
        <v>924.3179931640625</v>
      </c>
      <c r="H2274" s="3">
        <v>5438997</v>
      </c>
      <c r="I2274" s="4">
        <f t="shared" si="140"/>
        <v>-0.91</v>
      </c>
      <c r="J2274" s="2">
        <f t="shared" si="141"/>
        <v>6.96</v>
      </c>
      <c r="K2274" s="7">
        <f t="shared" si="142"/>
        <v>46113</v>
      </c>
      <c r="L2274" t="str">
        <f t="shared" si="143"/>
        <v>Q2-2026</v>
      </c>
    </row>
    <row r="2275" spans="1:12">
      <c r="A2275" s="6">
        <v>46141</v>
      </c>
      <c r="B2275" t="s">
        <v>24</v>
      </c>
      <c r="C2275" t="s">
        <v>25</v>
      </c>
      <c r="D2275" s="2">
        <v>12959.84410064023</v>
      </c>
      <c r="E2275" s="2">
        <v>13413.290135635891</v>
      </c>
      <c r="F2275" s="2">
        <v>12959.84410064023</v>
      </c>
      <c r="G2275" s="2">
        <v>13125.18359375</v>
      </c>
      <c r="H2275" s="3">
        <v>754798</v>
      </c>
      <c r="I2275" s="4">
        <f t="shared" si="140"/>
        <v>0</v>
      </c>
      <c r="J2275" s="2">
        <f t="shared" si="141"/>
        <v>288.11</v>
      </c>
      <c r="K2275" s="7">
        <f t="shared" si="142"/>
        <v>46113</v>
      </c>
      <c r="L2275" t="str">
        <f t="shared" si="143"/>
        <v>Q2-2026</v>
      </c>
    </row>
    <row r="2276" spans="1:12">
      <c r="A2276" s="6">
        <v>46141</v>
      </c>
      <c r="B2276" t="s">
        <v>26</v>
      </c>
      <c r="C2276" t="s">
        <v>27</v>
      </c>
      <c r="D2276" s="2">
        <v>348.11231368227487</v>
      </c>
      <c r="E2276" s="2">
        <v>360.65823574316329</v>
      </c>
      <c r="F2276" s="2">
        <v>348.11231368227487</v>
      </c>
      <c r="G2276" s="2">
        <v>349.79833984375</v>
      </c>
      <c r="H2276" s="3">
        <v>10581537</v>
      </c>
      <c r="I2276" s="4">
        <f t="shared" si="140"/>
        <v>0</v>
      </c>
      <c r="J2276" s="2">
        <f t="shared" si="141"/>
        <v>10.86</v>
      </c>
      <c r="K2276" s="7">
        <f t="shared" si="142"/>
        <v>46113</v>
      </c>
      <c r="L2276" t="str">
        <f t="shared" si="143"/>
        <v>Q2-2026</v>
      </c>
    </row>
    <row r="2277" spans="1:12">
      <c r="A2277" s="6">
        <v>46141</v>
      </c>
      <c r="B2277" t="s">
        <v>28</v>
      </c>
      <c r="C2277" t="s">
        <v>29</v>
      </c>
      <c r="D2277" s="2">
        <v>1751.4099222365351</v>
      </c>
      <c r="E2277" s="2">
        <v>1785.1216197818981</v>
      </c>
      <c r="F2277" s="2">
        <v>1745.42560587354</v>
      </c>
      <c r="G2277" s="2">
        <v>1774.050537109375</v>
      </c>
      <c r="H2277" s="3">
        <v>9809449</v>
      </c>
      <c r="I2277" s="4">
        <f t="shared" si="140"/>
        <v>-0.34</v>
      </c>
      <c r="J2277" s="2">
        <f t="shared" si="141"/>
        <v>11.07</v>
      </c>
      <c r="K2277" s="7">
        <f t="shared" si="142"/>
        <v>46113</v>
      </c>
      <c r="L2277" t="str">
        <f t="shared" si="143"/>
        <v>Q2-2026</v>
      </c>
    </row>
    <row r="2278" spans="1:12">
      <c r="A2278" s="6">
        <v>46141</v>
      </c>
      <c r="B2278" t="s">
        <v>30</v>
      </c>
      <c r="C2278" t="s">
        <v>31</v>
      </c>
      <c r="D2278" s="2">
        <v>2448.6554645929259</v>
      </c>
      <c r="E2278" s="2">
        <v>2456.5866539087988</v>
      </c>
      <c r="F2278" s="2">
        <v>2417.624880027126</v>
      </c>
      <c r="G2278" s="2">
        <v>2426.25</v>
      </c>
      <c r="H2278" s="3">
        <v>603585</v>
      </c>
      <c r="I2278" s="4">
        <f t="shared" si="140"/>
        <v>-1.27</v>
      </c>
      <c r="J2278" s="2">
        <f t="shared" si="141"/>
        <v>30.34</v>
      </c>
      <c r="K2278" s="7">
        <f t="shared" si="142"/>
        <v>46113</v>
      </c>
      <c r="L2278" t="str">
        <f t="shared" si="143"/>
        <v>Q2-2026</v>
      </c>
    </row>
    <row r="2279" spans="1:12">
      <c r="A2279" s="6">
        <v>46141</v>
      </c>
      <c r="B2279" t="s">
        <v>32</v>
      </c>
      <c r="C2279" t="s">
        <v>33</v>
      </c>
      <c r="D2279" s="2">
        <v>2281.790693604557</v>
      </c>
      <c r="E2279" s="2">
        <v>2326.0405558989451</v>
      </c>
      <c r="F2279" s="2">
        <v>2267.931661192209</v>
      </c>
      <c r="G2279" s="2">
        <v>2291.095947265625</v>
      </c>
      <c r="H2279" s="3">
        <v>1778765</v>
      </c>
      <c r="I2279" s="4">
        <f t="shared" si="140"/>
        <v>-0.61</v>
      </c>
      <c r="J2279" s="2">
        <f t="shared" si="141"/>
        <v>34.94</v>
      </c>
      <c r="K2279" s="7">
        <f t="shared" si="142"/>
        <v>46113</v>
      </c>
      <c r="L2279" t="str">
        <f t="shared" si="143"/>
        <v>Q2-2026</v>
      </c>
    </row>
    <row r="2280" spans="1:12">
      <c r="A2280" s="6">
        <v>46141</v>
      </c>
      <c r="B2280" t="s">
        <v>34</v>
      </c>
      <c r="C2280" t="s">
        <v>35</v>
      </c>
      <c r="D2280" s="2">
        <v>4020.7280982422658</v>
      </c>
      <c r="E2280" s="2">
        <v>4086.0896880166479</v>
      </c>
      <c r="F2280" s="2">
        <v>4012.1123006732778</v>
      </c>
      <c r="G2280" s="2">
        <v>4056.47900390625</v>
      </c>
      <c r="H2280" s="3">
        <v>2175030</v>
      </c>
      <c r="I2280" s="4">
        <f t="shared" si="140"/>
        <v>-0.21</v>
      </c>
      <c r="J2280" s="2">
        <f t="shared" si="141"/>
        <v>29.61</v>
      </c>
      <c r="K2280" s="7">
        <f t="shared" si="142"/>
        <v>46113</v>
      </c>
      <c r="L2280" t="str">
        <f t="shared" si="143"/>
        <v>Q2-2026</v>
      </c>
    </row>
    <row r="2281" spans="1:12">
      <c r="A2281" s="6">
        <v>46141</v>
      </c>
      <c r="B2281" t="s">
        <v>36</v>
      </c>
      <c r="C2281" t="s">
        <v>37</v>
      </c>
      <c r="D2281" s="2">
        <v>1294.002055440297</v>
      </c>
      <c r="E2281" s="2">
        <v>1308.1910639372529</v>
      </c>
      <c r="F2281" s="2">
        <v>1278.014385257251</v>
      </c>
      <c r="G2281" s="2">
        <v>1295.401000976562</v>
      </c>
      <c r="H2281" s="3">
        <v>6228275</v>
      </c>
      <c r="I2281" s="4">
        <f t="shared" si="140"/>
        <v>-1.24</v>
      </c>
      <c r="J2281" s="2">
        <f t="shared" si="141"/>
        <v>12.79</v>
      </c>
      <c r="K2281" s="7">
        <f t="shared" si="142"/>
        <v>46113</v>
      </c>
      <c r="L2281" t="str">
        <f t="shared" si="143"/>
        <v>Q2-2026</v>
      </c>
    </row>
    <row r="2282" spans="1:12">
      <c r="A2282" s="6">
        <v>46142</v>
      </c>
      <c r="B2282" t="s">
        <v>8</v>
      </c>
      <c r="C2282" t="s">
        <v>9</v>
      </c>
      <c r="D2282" s="2">
        <v>1402.5153692729209</v>
      </c>
      <c r="E2282" s="2">
        <v>1430.3865050711049</v>
      </c>
      <c r="F2282" s="2">
        <v>1386.6885214286781</v>
      </c>
      <c r="G2282" s="2">
        <v>1424.215087890625</v>
      </c>
      <c r="H2282" s="3">
        <v>30957881</v>
      </c>
      <c r="I2282" s="4">
        <f t="shared" si="140"/>
        <v>-1.1299999999999999</v>
      </c>
      <c r="J2282" s="2">
        <f t="shared" si="141"/>
        <v>6.17</v>
      </c>
      <c r="K2282" s="7">
        <f t="shared" si="142"/>
        <v>46113</v>
      </c>
      <c r="L2282" t="str">
        <f t="shared" si="143"/>
        <v>Q2-2026</v>
      </c>
    </row>
    <row r="2283" spans="1:12">
      <c r="A2283" s="6">
        <v>46142</v>
      </c>
      <c r="B2283" t="s">
        <v>10</v>
      </c>
      <c r="C2283" t="s">
        <v>11</v>
      </c>
      <c r="D2283" s="2">
        <v>2432.499548509074</v>
      </c>
      <c r="E2283" s="2">
        <v>2444.2744555611539</v>
      </c>
      <c r="F2283" s="2">
        <v>2392.2686160811299</v>
      </c>
      <c r="G2283" s="2">
        <v>2427.4951171875</v>
      </c>
      <c r="H2283" s="3">
        <v>3970446</v>
      </c>
      <c r="I2283" s="4">
        <f t="shared" si="140"/>
        <v>-1.65</v>
      </c>
      <c r="J2283" s="2">
        <f t="shared" si="141"/>
        <v>16.78</v>
      </c>
      <c r="K2283" s="7">
        <f t="shared" si="142"/>
        <v>46113</v>
      </c>
      <c r="L2283" t="str">
        <f t="shared" si="143"/>
        <v>Q2-2026</v>
      </c>
    </row>
    <row r="2284" spans="1:12">
      <c r="A2284" s="6">
        <v>46142</v>
      </c>
      <c r="B2284" t="s">
        <v>12</v>
      </c>
      <c r="C2284" t="s">
        <v>13</v>
      </c>
      <c r="D2284" s="2">
        <v>1142.7711514334951</v>
      </c>
      <c r="E2284" s="2">
        <v>1164.5988623339999</v>
      </c>
      <c r="F2284" s="2">
        <v>1135.038457646762</v>
      </c>
      <c r="G2284" s="2">
        <v>1156.768310546875</v>
      </c>
      <c r="H2284" s="3">
        <v>12205669</v>
      </c>
      <c r="I2284" s="4">
        <f t="shared" si="140"/>
        <v>-0.68</v>
      </c>
      <c r="J2284" s="2">
        <f t="shared" si="141"/>
        <v>7.83</v>
      </c>
      <c r="K2284" s="7">
        <f t="shared" si="142"/>
        <v>46113</v>
      </c>
      <c r="L2284" t="str">
        <f t="shared" si="143"/>
        <v>Q2-2026</v>
      </c>
    </row>
    <row r="2285" spans="1:12">
      <c r="A2285" s="6">
        <v>46142</v>
      </c>
      <c r="B2285" t="s">
        <v>14</v>
      </c>
      <c r="C2285" t="s">
        <v>15</v>
      </c>
      <c r="D2285" s="2">
        <v>757.47181266502014</v>
      </c>
      <c r="E2285" s="2">
        <v>766.12862137277352</v>
      </c>
      <c r="F2285" s="2">
        <v>749.84790805702801</v>
      </c>
      <c r="G2285" s="2">
        <v>759.1441650390625</v>
      </c>
      <c r="H2285" s="3">
        <v>47998755</v>
      </c>
      <c r="I2285" s="4">
        <f t="shared" si="140"/>
        <v>-1.01</v>
      </c>
      <c r="J2285" s="2">
        <f t="shared" si="141"/>
        <v>6.98</v>
      </c>
      <c r="K2285" s="7">
        <f t="shared" si="142"/>
        <v>46113</v>
      </c>
      <c r="L2285" t="str">
        <f t="shared" si="143"/>
        <v>Q2-2026</v>
      </c>
    </row>
    <row r="2286" spans="1:12">
      <c r="A2286" s="6">
        <v>46142</v>
      </c>
      <c r="B2286" t="s">
        <v>16</v>
      </c>
      <c r="C2286" t="s">
        <v>17</v>
      </c>
      <c r="D2286" s="2">
        <v>1250.458052461634</v>
      </c>
      <c r="E2286" s="2">
        <v>1261.5643721523941</v>
      </c>
      <c r="F2286" s="2">
        <v>1248.4747724418689</v>
      </c>
      <c r="G2286" s="2">
        <v>1252.838012695312</v>
      </c>
      <c r="H2286" s="3">
        <v>17740110</v>
      </c>
      <c r="I2286" s="4">
        <f t="shared" si="140"/>
        <v>-0.16</v>
      </c>
      <c r="J2286" s="2">
        <f t="shared" si="141"/>
        <v>8.73</v>
      </c>
      <c r="K2286" s="7">
        <f t="shared" si="142"/>
        <v>46113</v>
      </c>
      <c r="L2286" t="str">
        <f t="shared" si="143"/>
        <v>Q2-2026</v>
      </c>
    </row>
    <row r="2287" spans="1:12">
      <c r="A2287" s="6">
        <v>46142</v>
      </c>
      <c r="B2287" t="s">
        <v>18</v>
      </c>
      <c r="C2287" t="s">
        <v>19</v>
      </c>
      <c r="D2287" s="2">
        <v>198.6215879996505</v>
      </c>
      <c r="E2287" s="2">
        <v>199.8673548898837</v>
      </c>
      <c r="F2287" s="2">
        <v>197.74163831261899</v>
      </c>
      <c r="G2287" s="2">
        <v>198.38429260253909</v>
      </c>
      <c r="H2287" s="3">
        <v>15300274</v>
      </c>
      <c r="I2287" s="4">
        <f t="shared" si="140"/>
        <v>-0.44</v>
      </c>
      <c r="J2287" s="2">
        <f t="shared" si="141"/>
        <v>1.48</v>
      </c>
      <c r="K2287" s="7">
        <f t="shared" si="142"/>
        <v>46113</v>
      </c>
      <c r="L2287" t="str">
        <f t="shared" si="143"/>
        <v>Q2-2026</v>
      </c>
    </row>
    <row r="2288" spans="1:12">
      <c r="A2288" s="6">
        <v>46142</v>
      </c>
      <c r="B2288" t="s">
        <v>20</v>
      </c>
      <c r="C2288" t="s">
        <v>21</v>
      </c>
      <c r="D2288" s="2">
        <v>1187.8727402459549</v>
      </c>
      <c r="E2288" s="2">
        <v>1201.4342390290969</v>
      </c>
      <c r="F2288" s="2">
        <v>1172.0344370426751</v>
      </c>
      <c r="G2288" s="2">
        <v>1186.981811523438</v>
      </c>
      <c r="H2288" s="3">
        <v>5070033</v>
      </c>
      <c r="I2288" s="4">
        <f t="shared" si="140"/>
        <v>-1.33</v>
      </c>
      <c r="J2288" s="2">
        <f t="shared" si="141"/>
        <v>14.45</v>
      </c>
      <c r="K2288" s="7">
        <f t="shared" si="142"/>
        <v>46113</v>
      </c>
      <c r="L2288" t="str">
        <f t="shared" si="143"/>
        <v>Q2-2026</v>
      </c>
    </row>
    <row r="2289" spans="1:12">
      <c r="A2289" s="6">
        <v>46142</v>
      </c>
      <c r="B2289" t="s">
        <v>22</v>
      </c>
      <c r="C2289" t="s">
        <v>23</v>
      </c>
      <c r="D2289" s="2">
        <v>939.22639144522918</v>
      </c>
      <c r="E2289" s="2">
        <v>969.04310228476027</v>
      </c>
      <c r="F2289" s="2">
        <v>928.19423269950403</v>
      </c>
      <c r="G2289" s="2">
        <v>931.2752685546875</v>
      </c>
      <c r="H2289" s="3">
        <v>27364272</v>
      </c>
      <c r="I2289" s="4">
        <f t="shared" si="140"/>
        <v>-1.17</v>
      </c>
      <c r="J2289" s="2">
        <f t="shared" si="141"/>
        <v>37.770000000000003</v>
      </c>
      <c r="K2289" s="7">
        <f t="shared" si="142"/>
        <v>46113</v>
      </c>
      <c r="L2289" t="str">
        <f t="shared" si="143"/>
        <v>Q2-2026</v>
      </c>
    </row>
    <row r="2290" spans="1:12">
      <c r="A2290" s="6">
        <v>46142</v>
      </c>
      <c r="B2290" t="s">
        <v>24</v>
      </c>
      <c r="C2290" t="s">
        <v>25</v>
      </c>
      <c r="D2290" s="2">
        <v>13003.40598726552</v>
      </c>
      <c r="E2290" s="2">
        <v>13227.15882365367</v>
      </c>
      <c r="F2290" s="2">
        <v>12841.03667236438</v>
      </c>
      <c r="G2290" s="2">
        <v>13181.6162109375</v>
      </c>
      <c r="H2290" s="3">
        <v>612975</v>
      </c>
      <c r="I2290" s="4">
        <f t="shared" si="140"/>
        <v>-1.25</v>
      </c>
      <c r="J2290" s="2">
        <f t="shared" si="141"/>
        <v>45.54</v>
      </c>
      <c r="K2290" s="7">
        <f t="shared" si="142"/>
        <v>46113</v>
      </c>
      <c r="L2290" t="str">
        <f t="shared" si="143"/>
        <v>Q2-2026</v>
      </c>
    </row>
    <row r="2291" spans="1:12">
      <c r="A2291" s="6">
        <v>46142</v>
      </c>
      <c r="B2291" t="s">
        <v>26</v>
      </c>
      <c r="C2291" t="s">
        <v>27</v>
      </c>
      <c r="D2291" s="2">
        <v>349.1040910800748</v>
      </c>
      <c r="E2291" s="2">
        <v>349.1040910800748</v>
      </c>
      <c r="F2291" s="2">
        <v>334.72338278274208</v>
      </c>
      <c r="G2291" s="2">
        <v>338.74005126953119</v>
      </c>
      <c r="H2291" s="3">
        <v>12670807</v>
      </c>
      <c r="I2291" s="4">
        <f t="shared" si="140"/>
        <v>-4.12</v>
      </c>
      <c r="J2291" s="2">
        <f t="shared" si="141"/>
        <v>10.36</v>
      </c>
      <c r="K2291" s="7">
        <f t="shared" si="142"/>
        <v>46113</v>
      </c>
      <c r="L2291" t="str">
        <f t="shared" si="143"/>
        <v>Q2-2026</v>
      </c>
    </row>
    <row r="2292" spans="1:12">
      <c r="A2292" s="6">
        <v>46142</v>
      </c>
      <c r="B2292" t="s">
        <v>28</v>
      </c>
      <c r="C2292" t="s">
        <v>29</v>
      </c>
      <c r="D2292" s="2">
        <v>1766.370693837026</v>
      </c>
      <c r="E2292" s="2">
        <v>1810.255680019312</v>
      </c>
      <c r="F2292" s="2">
        <v>1756.795812111136</v>
      </c>
      <c r="G2292" s="2">
        <v>1803.5732421875</v>
      </c>
      <c r="H2292" s="3">
        <v>4749798</v>
      </c>
      <c r="I2292" s="4">
        <f t="shared" si="140"/>
        <v>-0.54</v>
      </c>
      <c r="J2292" s="2">
        <f t="shared" si="141"/>
        <v>6.68</v>
      </c>
      <c r="K2292" s="7">
        <f t="shared" si="142"/>
        <v>46113</v>
      </c>
      <c r="L2292" t="str">
        <f t="shared" si="143"/>
        <v>Q2-2026</v>
      </c>
    </row>
    <row r="2293" spans="1:12">
      <c r="A2293" s="6">
        <v>46142</v>
      </c>
      <c r="B2293" t="s">
        <v>30</v>
      </c>
      <c r="C2293" t="s">
        <v>31</v>
      </c>
      <c r="D2293" s="2">
        <v>2405.8269334704291</v>
      </c>
      <c r="E2293" s="2">
        <v>2434.775724173373</v>
      </c>
      <c r="F2293" s="2">
        <v>2364.9813595711521</v>
      </c>
      <c r="G2293" s="2">
        <v>2423.473876953125</v>
      </c>
      <c r="H2293" s="3">
        <v>823684</v>
      </c>
      <c r="I2293" s="4">
        <f t="shared" si="140"/>
        <v>-1.7</v>
      </c>
      <c r="J2293" s="2">
        <f t="shared" si="141"/>
        <v>11.3</v>
      </c>
      <c r="K2293" s="7">
        <f t="shared" si="142"/>
        <v>46113</v>
      </c>
      <c r="L2293" t="str">
        <f t="shared" si="143"/>
        <v>Q2-2026</v>
      </c>
    </row>
    <row r="2294" spans="1:12">
      <c r="A2294" s="6">
        <v>46142</v>
      </c>
      <c r="B2294" t="s">
        <v>32</v>
      </c>
      <c r="C2294" t="s">
        <v>33</v>
      </c>
      <c r="D2294" s="2">
        <v>2288.7202258298171</v>
      </c>
      <c r="E2294" s="2">
        <v>2344.9483489185068</v>
      </c>
      <c r="F2294" s="2">
        <v>2189.3312607928451</v>
      </c>
      <c r="G2294" s="2">
        <v>2228.2353515625</v>
      </c>
      <c r="H2294" s="3">
        <v>4434979</v>
      </c>
      <c r="I2294" s="4">
        <f t="shared" si="140"/>
        <v>-4.34</v>
      </c>
      <c r="J2294" s="2">
        <f t="shared" si="141"/>
        <v>116.71</v>
      </c>
      <c r="K2294" s="7">
        <f t="shared" si="142"/>
        <v>46113</v>
      </c>
      <c r="L2294" t="str">
        <f t="shared" si="143"/>
        <v>Q2-2026</v>
      </c>
    </row>
    <row r="2295" spans="1:12">
      <c r="A2295" s="6">
        <v>46142</v>
      </c>
      <c r="B2295" t="s">
        <v>34</v>
      </c>
      <c r="C2295" t="s">
        <v>35</v>
      </c>
      <c r="D2295" s="2">
        <v>4043.505667602356</v>
      </c>
      <c r="E2295" s="2">
        <v>4060.3412287949209</v>
      </c>
      <c r="F2295" s="2">
        <v>3951.4052446077399</v>
      </c>
      <c r="G2295" s="2">
        <v>3975.173095703125</v>
      </c>
      <c r="H2295" s="3">
        <v>2569328</v>
      </c>
      <c r="I2295" s="4">
        <f t="shared" si="140"/>
        <v>-2.2799999999999998</v>
      </c>
      <c r="J2295" s="2">
        <f t="shared" si="141"/>
        <v>85.17</v>
      </c>
      <c r="K2295" s="7">
        <f t="shared" si="142"/>
        <v>46113</v>
      </c>
      <c r="L2295" t="str">
        <f t="shared" si="143"/>
        <v>Q2-2026</v>
      </c>
    </row>
    <row r="2296" spans="1:12">
      <c r="A2296" s="6">
        <v>46142</v>
      </c>
      <c r="B2296" t="s">
        <v>36</v>
      </c>
      <c r="C2296" t="s">
        <v>37</v>
      </c>
      <c r="D2296" s="2">
        <v>1287.0074012162181</v>
      </c>
      <c r="E2296" s="2">
        <v>1287.0074012162181</v>
      </c>
      <c r="F2296" s="2">
        <v>1256.331108999464</v>
      </c>
      <c r="G2296" s="2">
        <v>1267.322631835938</v>
      </c>
      <c r="H2296" s="3">
        <v>16481853</v>
      </c>
      <c r="I2296" s="4">
        <f t="shared" si="140"/>
        <v>-2.38</v>
      </c>
      <c r="J2296" s="2">
        <f t="shared" si="141"/>
        <v>19.68</v>
      </c>
      <c r="K2296" s="7">
        <f t="shared" si="142"/>
        <v>46113</v>
      </c>
      <c r="L2296" t="str">
        <f t="shared" si="143"/>
        <v>Q2-2026</v>
      </c>
    </row>
    <row r="2297" spans="1:12">
      <c r="A2297" s="6">
        <v>46146</v>
      </c>
      <c r="B2297" t="s">
        <v>8</v>
      </c>
      <c r="C2297" t="s">
        <v>9</v>
      </c>
      <c r="D2297" s="2">
        <v>1426.8030702776821</v>
      </c>
      <c r="E2297" s="2">
        <v>1460.6465916696061</v>
      </c>
      <c r="F2297" s="2">
        <v>1426.8030702776821</v>
      </c>
      <c r="G2297" s="2">
        <v>1456.366333007812</v>
      </c>
      <c r="H2297" s="3">
        <v>24035700</v>
      </c>
      <c r="I2297" s="4">
        <f t="shared" si="140"/>
        <v>0</v>
      </c>
      <c r="J2297" s="2">
        <f t="shared" si="141"/>
        <v>4.28</v>
      </c>
      <c r="K2297" s="7">
        <f t="shared" si="142"/>
        <v>46143</v>
      </c>
      <c r="L2297" t="str">
        <f t="shared" si="143"/>
        <v>Q2-2026</v>
      </c>
    </row>
    <row r="2298" spans="1:12">
      <c r="A2298" s="6">
        <v>46146</v>
      </c>
      <c r="B2298" t="s">
        <v>10</v>
      </c>
      <c r="C2298" t="s">
        <v>11</v>
      </c>
      <c r="D2298" s="2">
        <v>2447.2181772447052</v>
      </c>
      <c r="E2298" s="2">
        <v>2451.4375668418279</v>
      </c>
      <c r="F2298" s="2">
        <v>2379.512461835769</v>
      </c>
      <c r="G2298" s="2">
        <v>2385.6943359375</v>
      </c>
      <c r="H2298" s="3">
        <v>2632358</v>
      </c>
      <c r="I2298" s="4">
        <f t="shared" si="140"/>
        <v>-2.77</v>
      </c>
      <c r="J2298" s="2">
        <f t="shared" si="141"/>
        <v>65.739999999999995</v>
      </c>
      <c r="K2298" s="7">
        <f t="shared" si="142"/>
        <v>46143</v>
      </c>
      <c r="L2298" t="str">
        <f t="shared" si="143"/>
        <v>Q2-2026</v>
      </c>
    </row>
    <row r="2299" spans="1:12">
      <c r="A2299" s="6">
        <v>46146</v>
      </c>
      <c r="B2299" t="s">
        <v>12</v>
      </c>
      <c r="C2299" t="s">
        <v>13</v>
      </c>
      <c r="D2299" s="2">
        <v>1169.688660113276</v>
      </c>
      <c r="E2299" s="2">
        <v>1169.688660113276</v>
      </c>
      <c r="F2299" s="2">
        <v>1140.519807238732</v>
      </c>
      <c r="G2299" s="2">
        <v>1143.652099609375</v>
      </c>
      <c r="H2299" s="3">
        <v>7735811</v>
      </c>
      <c r="I2299" s="4">
        <f t="shared" si="140"/>
        <v>-2.4900000000000002</v>
      </c>
      <c r="J2299" s="2">
        <f t="shared" si="141"/>
        <v>26.04</v>
      </c>
      <c r="K2299" s="7">
        <f t="shared" si="142"/>
        <v>46143</v>
      </c>
      <c r="L2299" t="str">
        <f t="shared" si="143"/>
        <v>Q2-2026</v>
      </c>
    </row>
    <row r="2300" spans="1:12">
      <c r="A2300" s="6">
        <v>46146</v>
      </c>
      <c r="B2300" t="s">
        <v>14</v>
      </c>
      <c r="C2300" t="s">
        <v>15</v>
      </c>
      <c r="D2300" s="2">
        <v>760.02952327835885</v>
      </c>
      <c r="E2300" s="2">
        <v>773.80173873542947</v>
      </c>
      <c r="F2300" s="2">
        <v>760.02952327835885</v>
      </c>
      <c r="G2300" s="2">
        <v>766.71893310546875</v>
      </c>
      <c r="H2300" s="3">
        <v>29028060</v>
      </c>
      <c r="I2300" s="4">
        <f t="shared" si="140"/>
        <v>0</v>
      </c>
      <c r="J2300" s="2">
        <f t="shared" si="141"/>
        <v>7.08</v>
      </c>
      <c r="K2300" s="7">
        <f t="shared" si="142"/>
        <v>46143</v>
      </c>
      <c r="L2300" t="str">
        <f t="shared" si="143"/>
        <v>Q2-2026</v>
      </c>
    </row>
    <row r="2301" spans="1:12">
      <c r="A2301" s="6">
        <v>46146</v>
      </c>
      <c r="B2301" t="s">
        <v>16</v>
      </c>
      <c r="C2301" t="s">
        <v>17</v>
      </c>
      <c r="D2301" s="2">
        <v>1253.7304875272209</v>
      </c>
      <c r="E2301" s="2">
        <v>1271.480746504843</v>
      </c>
      <c r="F2301" s="2">
        <v>1253.7304875272209</v>
      </c>
      <c r="G2301" s="2">
        <v>1260.176147460938</v>
      </c>
      <c r="H2301" s="3">
        <v>14597051</v>
      </c>
      <c r="I2301" s="4">
        <f t="shared" si="140"/>
        <v>0</v>
      </c>
      <c r="J2301" s="2">
        <f t="shared" si="141"/>
        <v>11.3</v>
      </c>
      <c r="K2301" s="7">
        <f t="shared" si="142"/>
        <v>46143</v>
      </c>
      <c r="L2301" t="str">
        <f t="shared" si="143"/>
        <v>Q2-2026</v>
      </c>
    </row>
    <row r="2302" spans="1:12">
      <c r="A2302" s="6">
        <v>46146</v>
      </c>
      <c r="B2302" t="s">
        <v>18</v>
      </c>
      <c r="C2302" t="s">
        <v>19</v>
      </c>
      <c r="D2302" s="2">
        <v>200.11453203796401</v>
      </c>
      <c r="E2302" s="2">
        <v>201.07358019117959</v>
      </c>
      <c r="F2302" s="2">
        <v>197.8009584893056</v>
      </c>
      <c r="G2302" s="2">
        <v>198.48316955566409</v>
      </c>
      <c r="H2302" s="3">
        <v>8446995</v>
      </c>
      <c r="I2302" s="4">
        <f t="shared" si="140"/>
        <v>-1.1599999999999999</v>
      </c>
      <c r="J2302" s="2">
        <f t="shared" si="141"/>
        <v>2.59</v>
      </c>
      <c r="K2302" s="7">
        <f t="shared" si="142"/>
        <v>46143</v>
      </c>
      <c r="L2302" t="str">
        <f t="shared" si="143"/>
        <v>Q2-2026</v>
      </c>
    </row>
    <row r="2303" spans="1:12">
      <c r="A2303" s="6">
        <v>46146</v>
      </c>
      <c r="B2303" t="s">
        <v>20</v>
      </c>
      <c r="C2303" t="s">
        <v>21</v>
      </c>
      <c r="D2303" s="2">
        <v>1195.7918803363179</v>
      </c>
      <c r="E2303" s="2">
        <v>1201.2362970100351</v>
      </c>
      <c r="F2303" s="2">
        <v>1179.3596650884331</v>
      </c>
      <c r="G2303" s="2">
        <v>1188.36767578125</v>
      </c>
      <c r="H2303" s="3">
        <v>3318673</v>
      </c>
      <c r="I2303" s="4">
        <f t="shared" si="140"/>
        <v>-1.37</v>
      </c>
      <c r="J2303" s="2">
        <f t="shared" si="141"/>
        <v>12.87</v>
      </c>
      <c r="K2303" s="7">
        <f t="shared" si="142"/>
        <v>46143</v>
      </c>
      <c r="L2303" t="str">
        <f t="shared" si="143"/>
        <v>Q2-2026</v>
      </c>
    </row>
    <row r="2304" spans="1:12">
      <c r="A2304" s="6">
        <v>46146</v>
      </c>
      <c r="B2304" t="s">
        <v>22</v>
      </c>
      <c r="C2304" t="s">
        <v>23</v>
      </c>
      <c r="D2304" s="2">
        <v>932.3684830401445</v>
      </c>
      <c r="E2304" s="2">
        <v>960.09804717692487</v>
      </c>
      <c r="F2304" s="2">
        <v>932.3684830401445</v>
      </c>
      <c r="G2304" s="2">
        <v>944.39459228515625</v>
      </c>
      <c r="H2304" s="3">
        <v>7503756</v>
      </c>
      <c r="I2304" s="4">
        <f t="shared" si="140"/>
        <v>0</v>
      </c>
      <c r="J2304" s="2">
        <f t="shared" si="141"/>
        <v>15.7</v>
      </c>
      <c r="K2304" s="7">
        <f t="shared" si="142"/>
        <v>46143</v>
      </c>
      <c r="L2304" t="str">
        <f t="shared" si="143"/>
        <v>Q2-2026</v>
      </c>
    </row>
    <row r="2305" spans="1:12">
      <c r="A2305" s="6">
        <v>46146</v>
      </c>
      <c r="B2305" t="s">
        <v>24</v>
      </c>
      <c r="C2305" t="s">
        <v>25</v>
      </c>
      <c r="D2305" s="2">
        <v>13424.180486368399</v>
      </c>
      <c r="E2305" s="2">
        <v>13837.034182276329</v>
      </c>
      <c r="F2305" s="2">
        <v>13301.41344010321</v>
      </c>
      <c r="G2305" s="2">
        <v>13444.9716796875</v>
      </c>
      <c r="H2305" s="3">
        <v>722127</v>
      </c>
      <c r="I2305" s="4">
        <f t="shared" si="140"/>
        <v>-0.91</v>
      </c>
      <c r="J2305" s="2">
        <f t="shared" si="141"/>
        <v>392.06</v>
      </c>
      <c r="K2305" s="7">
        <f t="shared" si="142"/>
        <v>46143</v>
      </c>
      <c r="L2305" t="str">
        <f t="shared" si="143"/>
        <v>Q2-2026</v>
      </c>
    </row>
    <row r="2306" spans="1:12">
      <c r="A2306" s="6">
        <v>46146</v>
      </c>
      <c r="B2306" t="s">
        <v>26</v>
      </c>
      <c r="C2306" t="s">
        <v>27</v>
      </c>
      <c r="D2306" s="2">
        <v>335.61595357755891</v>
      </c>
      <c r="E2306" s="2">
        <v>343.05425055519322</v>
      </c>
      <c r="F2306" s="2">
        <v>335.21925045872001</v>
      </c>
      <c r="G2306" s="2">
        <v>340.22769165039063</v>
      </c>
      <c r="H2306" s="3">
        <v>7734863</v>
      </c>
      <c r="I2306" s="4">
        <f t="shared" ref="I2306:I2369" si="144">ROUND(((F2306-D2306)/D2306)*100, 2)</f>
        <v>-0.12</v>
      </c>
      <c r="J2306" s="2">
        <f t="shared" ref="J2306:J2369" si="145">ROUND(E2306-G2306, 2)</f>
        <v>2.83</v>
      </c>
      <c r="K2306" s="7">
        <f t="shared" ref="K2306:K2369" si="146">DATE(YEAR(A2306),MONTH(A2306),1)</f>
        <v>46143</v>
      </c>
      <c r="L2306" t="str">
        <f t="shared" ref="L2306:L2369" si="147">"Q"&amp;INT((MONTH(A2306)-1)/3)+1&amp;"-"&amp;YEAR(A2306)</f>
        <v>Q2-2026</v>
      </c>
    </row>
    <row r="2307" spans="1:12">
      <c r="A2307" s="6">
        <v>46146</v>
      </c>
      <c r="B2307" t="s">
        <v>28</v>
      </c>
      <c r="C2307" t="s">
        <v>29</v>
      </c>
      <c r="D2307" s="2">
        <v>1815.2425473848371</v>
      </c>
      <c r="E2307" s="2">
        <v>1836.1876537008161</v>
      </c>
      <c r="F2307" s="2">
        <v>1805.2686872343711</v>
      </c>
      <c r="G2307" s="2">
        <v>1818.7333984375</v>
      </c>
      <c r="H2307" s="3">
        <v>4206373</v>
      </c>
      <c r="I2307" s="4">
        <f t="shared" si="144"/>
        <v>-0.55000000000000004</v>
      </c>
      <c r="J2307" s="2">
        <f t="shared" si="145"/>
        <v>17.45</v>
      </c>
      <c r="K2307" s="7">
        <f t="shared" si="146"/>
        <v>46143</v>
      </c>
      <c r="L2307" t="str">
        <f t="shared" si="147"/>
        <v>Q2-2026</v>
      </c>
    </row>
    <row r="2308" spans="1:12">
      <c r="A2308" s="6">
        <v>46146</v>
      </c>
      <c r="B2308" t="s">
        <v>30</v>
      </c>
      <c r="C2308" t="s">
        <v>31</v>
      </c>
      <c r="D2308" s="2">
        <v>2438.8405150757649</v>
      </c>
      <c r="E2308" s="2">
        <v>2485.4362484938802</v>
      </c>
      <c r="F2308" s="2">
        <v>2421.292808558354</v>
      </c>
      <c r="G2308" s="2">
        <v>2427.04296875</v>
      </c>
      <c r="H2308" s="3">
        <v>581159</v>
      </c>
      <c r="I2308" s="4">
        <f t="shared" si="144"/>
        <v>-0.72</v>
      </c>
      <c r="J2308" s="2">
        <f t="shared" si="145"/>
        <v>58.39</v>
      </c>
      <c r="K2308" s="7">
        <f t="shared" si="146"/>
        <v>46143</v>
      </c>
      <c r="L2308" t="str">
        <f t="shared" si="147"/>
        <v>Q2-2026</v>
      </c>
    </row>
    <row r="2309" spans="1:12">
      <c r="A2309" s="6">
        <v>46146</v>
      </c>
      <c r="B2309" t="s">
        <v>32</v>
      </c>
      <c r="C2309" t="s">
        <v>33</v>
      </c>
      <c r="D2309" s="2">
        <v>2245.9551638029388</v>
      </c>
      <c r="E2309" s="2">
        <v>2341.978456380622</v>
      </c>
      <c r="F2309" s="2">
        <v>2245.9551638029388</v>
      </c>
      <c r="G2309" s="2">
        <v>2286.04736328125</v>
      </c>
      <c r="H2309" s="3">
        <v>2554255</v>
      </c>
      <c r="I2309" s="4">
        <f t="shared" si="144"/>
        <v>0</v>
      </c>
      <c r="J2309" s="2">
        <f t="shared" si="145"/>
        <v>55.93</v>
      </c>
      <c r="K2309" s="7">
        <f t="shared" si="146"/>
        <v>46143</v>
      </c>
      <c r="L2309" t="str">
        <f t="shared" si="147"/>
        <v>Q2-2026</v>
      </c>
    </row>
    <row r="2310" spans="1:12">
      <c r="A2310" s="6">
        <v>46146</v>
      </c>
      <c r="B2310" t="s">
        <v>34</v>
      </c>
      <c r="C2310" t="s">
        <v>35</v>
      </c>
      <c r="D2310" s="2">
        <v>3987.0570248896279</v>
      </c>
      <c r="E2310" s="2">
        <v>4099.4591541308037</v>
      </c>
      <c r="F2310" s="2">
        <v>3987.0570248896279</v>
      </c>
      <c r="G2310" s="2">
        <v>4061.13330078125</v>
      </c>
      <c r="H2310" s="3">
        <v>2173027</v>
      </c>
      <c r="I2310" s="4">
        <f t="shared" si="144"/>
        <v>0</v>
      </c>
      <c r="J2310" s="2">
        <f t="shared" si="145"/>
        <v>38.33</v>
      </c>
      <c r="K2310" s="7">
        <f t="shared" si="146"/>
        <v>46143</v>
      </c>
      <c r="L2310" t="str">
        <f t="shared" si="147"/>
        <v>Q2-2026</v>
      </c>
    </row>
    <row r="2311" spans="1:12">
      <c r="A2311" s="6">
        <v>46146</v>
      </c>
      <c r="B2311" t="s">
        <v>36</v>
      </c>
      <c r="C2311" t="s">
        <v>37</v>
      </c>
      <c r="D2311" s="2">
        <v>1267.3226232305551</v>
      </c>
      <c r="E2311" s="2">
        <v>1293.402484661126</v>
      </c>
      <c r="F2311" s="2">
        <v>1263.525502940515</v>
      </c>
      <c r="G2311" s="2">
        <v>1274.117309570312</v>
      </c>
      <c r="H2311" s="3">
        <v>9759479</v>
      </c>
      <c r="I2311" s="4">
        <f t="shared" si="144"/>
        <v>-0.3</v>
      </c>
      <c r="J2311" s="2">
        <f t="shared" si="145"/>
        <v>19.29</v>
      </c>
      <c r="K2311" s="7">
        <f t="shared" si="146"/>
        <v>46143</v>
      </c>
      <c r="L2311" t="str">
        <f t="shared" si="147"/>
        <v>Q2-2026</v>
      </c>
    </row>
    <row r="2312" spans="1:12">
      <c r="A2312" s="6">
        <v>46147</v>
      </c>
      <c r="B2312" t="s">
        <v>8</v>
      </c>
      <c r="C2312" t="s">
        <v>9</v>
      </c>
      <c r="D2312" s="2">
        <v>1453.280606341501</v>
      </c>
      <c r="E2312" s="2">
        <v>1466.618959495926</v>
      </c>
      <c r="F2312" s="2">
        <v>1443.326629585737</v>
      </c>
      <c r="G2312" s="2">
        <v>1456.864013671875</v>
      </c>
      <c r="H2312" s="3">
        <v>23543341</v>
      </c>
      <c r="I2312" s="4">
        <f t="shared" si="144"/>
        <v>-0.68</v>
      </c>
      <c r="J2312" s="2">
        <f t="shared" si="145"/>
        <v>9.75</v>
      </c>
      <c r="K2312" s="7">
        <f t="shared" si="146"/>
        <v>46143</v>
      </c>
      <c r="L2312" t="str">
        <f t="shared" si="147"/>
        <v>Q2-2026</v>
      </c>
    </row>
    <row r="2313" spans="1:12">
      <c r="A2313" s="6">
        <v>46147</v>
      </c>
      <c r="B2313" t="s">
        <v>10</v>
      </c>
      <c r="C2313" t="s">
        <v>11</v>
      </c>
      <c r="D2313" s="2">
        <v>2384.4188376017792</v>
      </c>
      <c r="E2313" s="2">
        <v>2414.2485083053562</v>
      </c>
      <c r="F2313" s="2">
        <v>2366.9526763935442</v>
      </c>
      <c r="G2313" s="2">
        <v>2381.76953125</v>
      </c>
      <c r="H2313" s="3">
        <v>3385720</v>
      </c>
      <c r="I2313" s="4">
        <f t="shared" si="144"/>
        <v>-0.73</v>
      </c>
      <c r="J2313" s="2">
        <f t="shared" si="145"/>
        <v>32.479999999999997</v>
      </c>
      <c r="K2313" s="7">
        <f t="shared" si="146"/>
        <v>46143</v>
      </c>
      <c r="L2313" t="str">
        <f t="shared" si="147"/>
        <v>Q2-2026</v>
      </c>
    </row>
    <row r="2314" spans="1:12">
      <c r="A2314" s="6">
        <v>46147</v>
      </c>
      <c r="B2314" t="s">
        <v>12</v>
      </c>
      <c r="C2314" t="s">
        <v>13</v>
      </c>
      <c r="D2314" s="2">
        <v>1144.7287871872279</v>
      </c>
      <c r="E2314" s="2">
        <v>1160.0961972461239</v>
      </c>
      <c r="F2314" s="2">
        <v>1135.5278649580359</v>
      </c>
      <c r="G2314" s="2">
        <v>1153.146606445312</v>
      </c>
      <c r="H2314" s="3">
        <v>8164108</v>
      </c>
      <c r="I2314" s="4">
        <f t="shared" si="144"/>
        <v>-0.8</v>
      </c>
      <c r="J2314" s="2">
        <f t="shared" si="145"/>
        <v>6.95</v>
      </c>
      <c r="K2314" s="7">
        <f t="shared" si="146"/>
        <v>46143</v>
      </c>
      <c r="L2314" t="str">
        <f t="shared" si="147"/>
        <v>Q2-2026</v>
      </c>
    </row>
    <row r="2315" spans="1:12">
      <c r="A2315" s="6">
        <v>46147</v>
      </c>
      <c r="B2315" t="s">
        <v>14</v>
      </c>
      <c r="C2315" t="s">
        <v>15</v>
      </c>
      <c r="D2315" s="2">
        <v>761.80024323128566</v>
      </c>
      <c r="E2315" s="2">
        <v>764.25956728608435</v>
      </c>
      <c r="F2315" s="2">
        <v>751.27432426832888</v>
      </c>
      <c r="G2315" s="2">
        <v>759.734375</v>
      </c>
      <c r="H2315" s="3">
        <v>38887657</v>
      </c>
      <c r="I2315" s="4">
        <f t="shared" si="144"/>
        <v>-1.38</v>
      </c>
      <c r="J2315" s="2">
        <f t="shared" si="145"/>
        <v>4.53</v>
      </c>
      <c r="K2315" s="7">
        <f t="shared" si="146"/>
        <v>46143</v>
      </c>
      <c r="L2315" t="str">
        <f t="shared" si="147"/>
        <v>Q2-2026</v>
      </c>
    </row>
    <row r="2316" spans="1:12">
      <c r="A2316" s="6">
        <v>46147</v>
      </c>
      <c r="B2316" t="s">
        <v>16</v>
      </c>
      <c r="C2316" t="s">
        <v>17</v>
      </c>
      <c r="D2316" s="2">
        <v>1253.4328902069619</v>
      </c>
      <c r="E2316" s="2">
        <v>1256.1102696379601</v>
      </c>
      <c r="F2316" s="2">
        <v>1235.087551228459</v>
      </c>
      <c r="G2316" s="2">
        <v>1240.839111328125</v>
      </c>
      <c r="H2316" s="3">
        <v>24447935</v>
      </c>
      <c r="I2316" s="4">
        <f t="shared" si="144"/>
        <v>-1.46</v>
      </c>
      <c r="J2316" s="2">
        <f t="shared" si="145"/>
        <v>15.27</v>
      </c>
      <c r="K2316" s="7">
        <f t="shared" si="146"/>
        <v>46143</v>
      </c>
      <c r="L2316" t="str">
        <f t="shared" si="147"/>
        <v>Q2-2026</v>
      </c>
    </row>
    <row r="2317" spans="1:12">
      <c r="A2317" s="6">
        <v>46147</v>
      </c>
      <c r="B2317" t="s">
        <v>18</v>
      </c>
      <c r="C2317" t="s">
        <v>19</v>
      </c>
      <c r="D2317" s="2">
        <v>197.74164115770051</v>
      </c>
      <c r="E2317" s="2">
        <v>200.01567304831201</v>
      </c>
      <c r="F2317" s="2">
        <v>197.34616390998099</v>
      </c>
      <c r="G2317" s="2">
        <v>197.52412414550781</v>
      </c>
      <c r="H2317" s="3">
        <v>8899200</v>
      </c>
      <c r="I2317" s="4">
        <f t="shared" si="144"/>
        <v>-0.2</v>
      </c>
      <c r="J2317" s="2">
        <f t="shared" si="145"/>
        <v>2.4900000000000002</v>
      </c>
      <c r="K2317" s="7">
        <f t="shared" si="146"/>
        <v>46143</v>
      </c>
      <c r="L2317" t="str">
        <f t="shared" si="147"/>
        <v>Q2-2026</v>
      </c>
    </row>
    <row r="2318" spans="1:12">
      <c r="A2318" s="6">
        <v>46147</v>
      </c>
      <c r="B2318" t="s">
        <v>20</v>
      </c>
      <c r="C2318" t="s">
        <v>21</v>
      </c>
      <c r="D2318" s="2">
        <v>1187.8727482542281</v>
      </c>
      <c r="E2318" s="2">
        <v>1193.2181997887051</v>
      </c>
      <c r="F2318" s="2">
        <v>1177.973808685442</v>
      </c>
      <c r="G2318" s="2">
        <v>1188.070678710938</v>
      </c>
      <c r="H2318" s="3">
        <v>2459953</v>
      </c>
      <c r="I2318" s="4">
        <f t="shared" si="144"/>
        <v>-0.83</v>
      </c>
      <c r="J2318" s="2">
        <f t="shared" si="145"/>
        <v>5.15</v>
      </c>
      <c r="K2318" s="7">
        <f t="shared" si="146"/>
        <v>46143</v>
      </c>
      <c r="L2318" t="str">
        <f t="shared" si="147"/>
        <v>Q2-2026</v>
      </c>
    </row>
    <row r="2319" spans="1:12">
      <c r="A2319" s="6">
        <v>46147</v>
      </c>
      <c r="B2319" t="s">
        <v>22</v>
      </c>
      <c r="C2319" t="s">
        <v>23</v>
      </c>
      <c r="D2319" s="2">
        <v>944.39464340713062</v>
      </c>
      <c r="E2319" s="2">
        <v>955.22801206228712</v>
      </c>
      <c r="F2319" s="2">
        <v>927.44882470056518</v>
      </c>
      <c r="G2319" s="2">
        <v>952.7432861328125</v>
      </c>
      <c r="H2319" s="3">
        <v>7290077</v>
      </c>
      <c r="I2319" s="4">
        <f t="shared" si="144"/>
        <v>-1.79</v>
      </c>
      <c r="J2319" s="2">
        <f t="shared" si="145"/>
        <v>2.48</v>
      </c>
      <c r="K2319" s="7">
        <f t="shared" si="146"/>
        <v>46143</v>
      </c>
      <c r="L2319" t="str">
        <f t="shared" si="147"/>
        <v>Q2-2026</v>
      </c>
    </row>
    <row r="2320" spans="1:12">
      <c r="A2320" s="6">
        <v>46147</v>
      </c>
      <c r="B2320" t="s">
        <v>24</v>
      </c>
      <c r="C2320" t="s">
        <v>25</v>
      </c>
      <c r="D2320" s="2">
        <v>13425.17054420993</v>
      </c>
      <c r="E2320" s="2">
        <v>13433.09099880828</v>
      </c>
      <c r="F2320" s="2">
        <v>13227.159179251081</v>
      </c>
      <c r="G2320" s="2">
        <v>13292.5029296875</v>
      </c>
      <c r="H2320" s="3">
        <v>419490</v>
      </c>
      <c r="I2320" s="4">
        <f t="shared" si="144"/>
        <v>-1.47</v>
      </c>
      <c r="J2320" s="2">
        <f t="shared" si="145"/>
        <v>140.59</v>
      </c>
      <c r="K2320" s="7">
        <f t="shared" si="146"/>
        <v>46143</v>
      </c>
      <c r="L2320" t="str">
        <f t="shared" si="147"/>
        <v>Q2-2026</v>
      </c>
    </row>
    <row r="2321" spans="1:12">
      <c r="A2321" s="6">
        <v>46147</v>
      </c>
      <c r="B2321" t="s">
        <v>26</v>
      </c>
      <c r="C2321" t="s">
        <v>27</v>
      </c>
      <c r="D2321" s="2">
        <v>339.08716516049759</v>
      </c>
      <c r="E2321" s="2">
        <v>341.16989440639662</v>
      </c>
      <c r="F2321" s="2">
        <v>336.21102966211748</v>
      </c>
      <c r="G2321" s="2">
        <v>337.3515625</v>
      </c>
      <c r="H2321" s="3">
        <v>6084755</v>
      </c>
      <c r="I2321" s="4">
        <f t="shared" si="144"/>
        <v>-0.85</v>
      </c>
      <c r="J2321" s="2">
        <f t="shared" si="145"/>
        <v>3.82</v>
      </c>
      <c r="K2321" s="7">
        <f t="shared" si="146"/>
        <v>46143</v>
      </c>
      <c r="L2321" t="str">
        <f t="shared" si="147"/>
        <v>Q2-2026</v>
      </c>
    </row>
    <row r="2322" spans="1:12">
      <c r="A2322" s="6">
        <v>46147</v>
      </c>
      <c r="B2322" t="s">
        <v>28</v>
      </c>
      <c r="C2322" t="s">
        <v>29</v>
      </c>
      <c r="D2322" s="2">
        <v>1823.720351054043</v>
      </c>
      <c r="E2322" s="2">
        <v>1826.9119376411511</v>
      </c>
      <c r="F2322" s="2">
        <v>1793.8984844853039</v>
      </c>
      <c r="G2322" s="2">
        <v>1816.04052734375</v>
      </c>
      <c r="H2322" s="3">
        <v>3011421</v>
      </c>
      <c r="I2322" s="4">
        <f t="shared" si="144"/>
        <v>-1.64</v>
      </c>
      <c r="J2322" s="2">
        <f t="shared" si="145"/>
        <v>10.87</v>
      </c>
      <c r="K2322" s="7">
        <f t="shared" si="146"/>
        <v>46143</v>
      </c>
      <c r="L2322" t="str">
        <f t="shared" si="147"/>
        <v>Q2-2026</v>
      </c>
    </row>
    <row r="2323" spans="1:12">
      <c r="A2323" s="6">
        <v>46147</v>
      </c>
      <c r="B2323" t="s">
        <v>30</v>
      </c>
      <c r="C2323" t="s">
        <v>31</v>
      </c>
      <c r="D2323" s="2">
        <v>2409.0986328125</v>
      </c>
      <c r="E2323" s="2">
        <v>2433.7843614929502</v>
      </c>
      <c r="F2323" s="2">
        <v>2394.227653597608</v>
      </c>
      <c r="G2323" s="2">
        <v>2409.0986328125</v>
      </c>
      <c r="H2323" s="3">
        <v>327682</v>
      </c>
      <c r="I2323" s="4">
        <f t="shared" si="144"/>
        <v>-0.62</v>
      </c>
      <c r="J2323" s="2">
        <f t="shared" si="145"/>
        <v>24.69</v>
      </c>
      <c r="K2323" s="7">
        <f t="shared" si="146"/>
        <v>46143</v>
      </c>
      <c r="L2323" t="str">
        <f t="shared" si="147"/>
        <v>Q2-2026</v>
      </c>
    </row>
    <row r="2324" spans="1:12">
      <c r="A2324" s="6">
        <v>46147</v>
      </c>
      <c r="B2324" t="s">
        <v>32</v>
      </c>
      <c r="C2324" t="s">
        <v>33</v>
      </c>
      <c r="D2324" s="2">
        <v>2278.325974165612</v>
      </c>
      <c r="E2324" s="2">
        <v>2311.884535117792</v>
      </c>
      <c r="F2324" s="2">
        <v>2265.060996733047</v>
      </c>
      <c r="G2324" s="2">
        <v>2303.965087890625</v>
      </c>
      <c r="H2324" s="3">
        <v>1741424</v>
      </c>
      <c r="I2324" s="4">
        <f t="shared" si="144"/>
        <v>-0.57999999999999996</v>
      </c>
      <c r="J2324" s="2">
        <f t="shared" si="145"/>
        <v>7.92</v>
      </c>
      <c r="K2324" s="7">
        <f t="shared" si="146"/>
        <v>46143</v>
      </c>
      <c r="L2324" t="str">
        <f t="shared" si="147"/>
        <v>Q2-2026</v>
      </c>
    </row>
    <row r="2325" spans="1:12">
      <c r="A2325" s="6">
        <v>46147</v>
      </c>
      <c r="B2325" t="s">
        <v>34</v>
      </c>
      <c r="C2325" t="s">
        <v>35</v>
      </c>
      <c r="D2325" s="2">
        <v>4045.4862267233939</v>
      </c>
      <c r="E2325" s="2">
        <v>4050.4378622518188</v>
      </c>
      <c r="F2325" s="2">
        <v>3985.076273276607</v>
      </c>
      <c r="G2325" s="2">
        <v>4015.28125</v>
      </c>
      <c r="H2325" s="3">
        <v>3849402</v>
      </c>
      <c r="I2325" s="4">
        <f t="shared" si="144"/>
        <v>-1.49</v>
      </c>
      <c r="J2325" s="2">
        <f t="shared" si="145"/>
        <v>35.159999999999997</v>
      </c>
      <c r="K2325" s="7">
        <f t="shared" si="146"/>
        <v>46143</v>
      </c>
      <c r="L2325" t="str">
        <f t="shared" si="147"/>
        <v>Q2-2026</v>
      </c>
    </row>
    <row r="2326" spans="1:12">
      <c r="A2326" s="6">
        <v>46147</v>
      </c>
      <c r="B2326" t="s">
        <v>36</v>
      </c>
      <c r="C2326" t="s">
        <v>37</v>
      </c>
      <c r="D2326" s="2">
        <v>1267.022901000071</v>
      </c>
      <c r="E2326" s="2">
        <v>1272.7184598875699</v>
      </c>
      <c r="F2326" s="2">
        <v>1251.035230324992</v>
      </c>
      <c r="G2326" s="2">
        <v>1258.729248046875</v>
      </c>
      <c r="H2326" s="3">
        <v>10163714</v>
      </c>
      <c r="I2326" s="4">
        <f t="shared" si="144"/>
        <v>-1.26</v>
      </c>
      <c r="J2326" s="2">
        <f t="shared" si="145"/>
        <v>13.99</v>
      </c>
      <c r="K2326" s="7">
        <f t="shared" si="146"/>
        <v>46143</v>
      </c>
      <c r="L2326" t="str">
        <f t="shared" si="147"/>
        <v>Q2-2026</v>
      </c>
    </row>
    <row r="2327" spans="1:12">
      <c r="A2327" s="6">
        <v>46148</v>
      </c>
      <c r="B2327" t="s">
        <v>8</v>
      </c>
      <c r="C2327" t="s">
        <v>9</v>
      </c>
      <c r="D2327" s="2">
        <v>1456.266806103635</v>
      </c>
      <c r="E2327" s="2">
        <v>1466.519450812893</v>
      </c>
      <c r="F2327" s="2">
        <v>1420.9301884572369</v>
      </c>
      <c r="G2327" s="2">
        <v>1431.282348632812</v>
      </c>
      <c r="H2327" s="3">
        <v>14221786</v>
      </c>
      <c r="I2327" s="4">
        <f t="shared" si="144"/>
        <v>-2.4300000000000002</v>
      </c>
      <c r="J2327" s="2">
        <f t="shared" si="145"/>
        <v>35.24</v>
      </c>
      <c r="K2327" s="7">
        <f t="shared" si="146"/>
        <v>46143</v>
      </c>
      <c r="L2327" t="str">
        <f t="shared" si="147"/>
        <v>Q2-2026</v>
      </c>
    </row>
    <row r="2328" spans="1:12">
      <c r="A2328" s="6">
        <v>46148</v>
      </c>
      <c r="B2328" t="s">
        <v>10</v>
      </c>
      <c r="C2328" t="s">
        <v>11</v>
      </c>
      <c r="D2328" s="2">
        <v>2396.0953597954781</v>
      </c>
      <c r="E2328" s="2">
        <v>2424.6496051586109</v>
      </c>
      <c r="F2328" s="2">
        <v>2361.359479892431</v>
      </c>
      <c r="G2328" s="2">
        <v>2389.71728515625</v>
      </c>
      <c r="H2328" s="3">
        <v>3147628</v>
      </c>
      <c r="I2328" s="4">
        <f t="shared" si="144"/>
        <v>-1.45</v>
      </c>
      <c r="J2328" s="2">
        <f t="shared" si="145"/>
        <v>34.93</v>
      </c>
      <c r="K2328" s="7">
        <f t="shared" si="146"/>
        <v>46143</v>
      </c>
      <c r="L2328" t="str">
        <f t="shared" si="147"/>
        <v>Q2-2026</v>
      </c>
    </row>
    <row r="2329" spans="1:12">
      <c r="A2329" s="6">
        <v>46148</v>
      </c>
      <c r="B2329" t="s">
        <v>12</v>
      </c>
      <c r="C2329" t="s">
        <v>13</v>
      </c>
      <c r="D2329" s="2">
        <v>1161.8580797644599</v>
      </c>
      <c r="E2329" s="2">
        <v>1166.2627649868191</v>
      </c>
      <c r="F2329" s="2">
        <v>1139.443102180398</v>
      </c>
      <c r="G2329" s="2">
        <v>1142.477416992188</v>
      </c>
      <c r="H2329" s="3">
        <v>9856963</v>
      </c>
      <c r="I2329" s="4">
        <f t="shared" si="144"/>
        <v>-1.93</v>
      </c>
      <c r="J2329" s="2">
        <f t="shared" si="145"/>
        <v>23.79</v>
      </c>
      <c r="K2329" s="7">
        <f t="shared" si="146"/>
        <v>46143</v>
      </c>
      <c r="L2329" t="str">
        <f t="shared" si="147"/>
        <v>Q2-2026</v>
      </c>
    </row>
    <row r="2330" spans="1:12">
      <c r="A2330" s="6">
        <v>46148</v>
      </c>
      <c r="B2330" t="s">
        <v>14</v>
      </c>
      <c r="C2330" t="s">
        <v>15</v>
      </c>
      <c r="D2330" s="2">
        <v>762.53806518329031</v>
      </c>
      <c r="E2330" s="2">
        <v>785.95081893602969</v>
      </c>
      <c r="F2330" s="2">
        <v>760.91488723763325</v>
      </c>
      <c r="G2330" s="2">
        <v>783.58984375</v>
      </c>
      <c r="H2330" s="3">
        <v>35530831</v>
      </c>
      <c r="I2330" s="4">
        <f t="shared" si="144"/>
        <v>-0.21</v>
      </c>
      <c r="J2330" s="2">
        <f t="shared" si="145"/>
        <v>2.36</v>
      </c>
      <c r="K2330" s="7">
        <f t="shared" si="146"/>
        <v>46143</v>
      </c>
      <c r="L2330" t="str">
        <f t="shared" si="147"/>
        <v>Q2-2026</v>
      </c>
    </row>
    <row r="2331" spans="1:12">
      <c r="A2331" s="6">
        <v>46148</v>
      </c>
      <c r="B2331" t="s">
        <v>16</v>
      </c>
      <c r="C2331" t="s">
        <v>17</v>
      </c>
      <c r="D2331" s="2">
        <v>1251.449645209005</v>
      </c>
      <c r="E2331" s="2">
        <v>1272.075805055508</v>
      </c>
      <c r="F2331" s="2">
        <v>1241.632385271969</v>
      </c>
      <c r="G2331" s="2">
        <v>1268.803344726562</v>
      </c>
      <c r="H2331" s="3">
        <v>22909586</v>
      </c>
      <c r="I2331" s="4">
        <f t="shared" si="144"/>
        <v>-0.78</v>
      </c>
      <c r="J2331" s="2">
        <f t="shared" si="145"/>
        <v>3.27</v>
      </c>
      <c r="K2331" s="7">
        <f t="shared" si="146"/>
        <v>46143</v>
      </c>
      <c r="L2331" t="str">
        <f t="shared" si="147"/>
        <v>Q2-2026</v>
      </c>
    </row>
    <row r="2332" spans="1:12">
      <c r="A2332" s="6">
        <v>46148</v>
      </c>
      <c r="B2332" t="s">
        <v>18</v>
      </c>
      <c r="C2332" t="s">
        <v>19</v>
      </c>
      <c r="D2332" s="2">
        <v>198.2458705308143</v>
      </c>
      <c r="E2332" s="2">
        <v>198.8588798574861</v>
      </c>
      <c r="F2332" s="2">
        <v>196.011395488787</v>
      </c>
      <c r="G2332" s="2">
        <v>196.87156677246091</v>
      </c>
      <c r="H2332" s="3">
        <v>13166683</v>
      </c>
      <c r="I2332" s="4">
        <f t="shared" si="144"/>
        <v>-1.1299999999999999</v>
      </c>
      <c r="J2332" s="2">
        <f t="shared" si="145"/>
        <v>1.99</v>
      </c>
      <c r="K2332" s="7">
        <f t="shared" si="146"/>
        <v>46143</v>
      </c>
      <c r="L2332" t="str">
        <f t="shared" si="147"/>
        <v>Q2-2026</v>
      </c>
    </row>
    <row r="2333" spans="1:12">
      <c r="A2333" s="6">
        <v>46148</v>
      </c>
      <c r="B2333" t="s">
        <v>20</v>
      </c>
      <c r="C2333" t="s">
        <v>21</v>
      </c>
      <c r="D2333" s="2">
        <v>1195.7919057864781</v>
      </c>
      <c r="E2333" s="2">
        <v>1199.7514816334531</v>
      </c>
      <c r="F2333" s="2">
        <v>1174.4102203801449</v>
      </c>
      <c r="G2333" s="2">
        <v>1177.082885742188</v>
      </c>
      <c r="H2333" s="3">
        <v>3541520</v>
      </c>
      <c r="I2333" s="4">
        <f t="shared" si="144"/>
        <v>-1.79</v>
      </c>
      <c r="J2333" s="2">
        <f t="shared" si="145"/>
        <v>22.67</v>
      </c>
      <c r="K2333" s="7">
        <f t="shared" si="146"/>
        <v>46143</v>
      </c>
      <c r="L2333" t="str">
        <f t="shared" si="147"/>
        <v>Q2-2026</v>
      </c>
    </row>
    <row r="2334" spans="1:12">
      <c r="A2334" s="6">
        <v>46148</v>
      </c>
      <c r="B2334" t="s">
        <v>22</v>
      </c>
      <c r="C2334" t="s">
        <v>23</v>
      </c>
      <c r="D2334" s="2">
        <v>959.10416197843642</v>
      </c>
      <c r="E2334" s="2">
        <v>977.988078121017</v>
      </c>
      <c r="F2334" s="2">
        <v>959.10416197843642</v>
      </c>
      <c r="G2334" s="2">
        <v>974.7579345703125</v>
      </c>
      <c r="H2334" s="3">
        <v>7771237</v>
      </c>
      <c r="I2334" s="4">
        <f t="shared" si="144"/>
        <v>0</v>
      </c>
      <c r="J2334" s="2">
        <f t="shared" si="145"/>
        <v>3.23</v>
      </c>
      <c r="K2334" s="7">
        <f t="shared" si="146"/>
        <v>46143</v>
      </c>
      <c r="L2334" t="str">
        <f t="shared" si="147"/>
        <v>Q2-2026</v>
      </c>
    </row>
    <row r="2335" spans="1:12">
      <c r="A2335" s="6">
        <v>46148</v>
      </c>
      <c r="B2335" t="s">
        <v>24</v>
      </c>
      <c r="C2335" t="s">
        <v>25</v>
      </c>
      <c r="D2335" s="2">
        <v>13420.22008275659</v>
      </c>
      <c r="E2335" s="2">
        <v>13625.161842780981</v>
      </c>
      <c r="F2335" s="2">
        <v>13245.97008389527</v>
      </c>
      <c r="G2335" s="2">
        <v>13585.5595703125</v>
      </c>
      <c r="H2335" s="3">
        <v>435208</v>
      </c>
      <c r="I2335" s="4">
        <f t="shared" si="144"/>
        <v>-1.3</v>
      </c>
      <c r="J2335" s="2">
        <f t="shared" si="145"/>
        <v>39.6</v>
      </c>
      <c r="K2335" s="7">
        <f t="shared" si="146"/>
        <v>46143</v>
      </c>
      <c r="L2335" t="str">
        <f t="shared" si="147"/>
        <v>Q2-2026</v>
      </c>
    </row>
    <row r="2336" spans="1:12">
      <c r="A2336" s="6">
        <v>46148</v>
      </c>
      <c r="B2336" t="s">
        <v>26</v>
      </c>
      <c r="C2336" t="s">
        <v>27</v>
      </c>
      <c r="D2336" s="2">
        <v>342.50877958662352</v>
      </c>
      <c r="E2336" s="2">
        <v>355.99689717909729</v>
      </c>
      <c r="F2336" s="2">
        <v>340.82275353762412</v>
      </c>
      <c r="G2336" s="2">
        <v>355.20346069335938</v>
      </c>
      <c r="H2336" s="3">
        <v>11036464</v>
      </c>
      <c r="I2336" s="4">
        <f t="shared" si="144"/>
        <v>-0.49</v>
      </c>
      <c r="J2336" s="2">
        <f t="shared" si="145"/>
        <v>0.79</v>
      </c>
      <c r="K2336" s="7">
        <f t="shared" si="146"/>
        <v>46143</v>
      </c>
      <c r="L2336" t="str">
        <f t="shared" si="147"/>
        <v>Q2-2026</v>
      </c>
    </row>
    <row r="2337" spans="1:12">
      <c r="A2337" s="6">
        <v>46148</v>
      </c>
      <c r="B2337" t="s">
        <v>28</v>
      </c>
      <c r="C2337" t="s">
        <v>29</v>
      </c>
      <c r="D2337" s="2">
        <v>1832.1982001127151</v>
      </c>
      <c r="E2337" s="2">
        <v>1852.9438789505739</v>
      </c>
      <c r="F2337" s="2">
        <v>1813.646843667045</v>
      </c>
      <c r="G2337" s="2">
        <v>1845.363647460938</v>
      </c>
      <c r="H2337" s="3">
        <v>3247156</v>
      </c>
      <c r="I2337" s="4">
        <f t="shared" si="144"/>
        <v>-1.01</v>
      </c>
      <c r="J2337" s="2">
        <f t="shared" si="145"/>
        <v>7.58</v>
      </c>
      <c r="K2337" s="7">
        <f t="shared" si="146"/>
        <v>46143</v>
      </c>
      <c r="L2337" t="str">
        <f t="shared" si="147"/>
        <v>Q2-2026</v>
      </c>
    </row>
    <row r="2338" spans="1:12">
      <c r="A2338" s="6">
        <v>46148</v>
      </c>
      <c r="B2338" t="s">
        <v>30</v>
      </c>
      <c r="C2338" t="s">
        <v>31</v>
      </c>
      <c r="D2338" s="2">
        <v>2438.8407303710551</v>
      </c>
      <c r="E2338" s="2">
        <v>2507.2472386619502</v>
      </c>
      <c r="F2338" s="2">
        <v>2419.4092196054812</v>
      </c>
      <c r="G2338" s="2">
        <v>2497.333251953125</v>
      </c>
      <c r="H2338" s="3">
        <v>1395987</v>
      </c>
      <c r="I2338" s="4">
        <f t="shared" si="144"/>
        <v>-0.8</v>
      </c>
      <c r="J2338" s="2">
        <f t="shared" si="145"/>
        <v>9.91</v>
      </c>
      <c r="K2338" s="7">
        <f t="shared" si="146"/>
        <v>46143</v>
      </c>
      <c r="L2338" t="str">
        <f t="shared" si="147"/>
        <v>Q2-2026</v>
      </c>
    </row>
    <row r="2339" spans="1:12">
      <c r="A2339" s="6">
        <v>46148</v>
      </c>
      <c r="B2339" t="s">
        <v>32</v>
      </c>
      <c r="C2339" t="s">
        <v>33</v>
      </c>
      <c r="D2339" s="2">
        <v>2306.5388097283681</v>
      </c>
      <c r="E2339" s="2">
        <v>2315.8440627599198</v>
      </c>
      <c r="F2339" s="2">
        <v>2265.2587428864331</v>
      </c>
      <c r="G2339" s="2">
        <v>2293.768798828125</v>
      </c>
      <c r="H2339" s="3">
        <v>1196175</v>
      </c>
      <c r="I2339" s="4">
        <f t="shared" si="144"/>
        <v>-1.79</v>
      </c>
      <c r="J2339" s="2">
        <f t="shared" si="145"/>
        <v>22.08</v>
      </c>
      <c r="K2339" s="7">
        <f t="shared" si="146"/>
        <v>46143</v>
      </c>
      <c r="L2339" t="str">
        <f t="shared" si="147"/>
        <v>Q2-2026</v>
      </c>
    </row>
    <row r="2340" spans="1:12">
      <c r="A2340" s="6">
        <v>46148</v>
      </c>
      <c r="B2340" t="s">
        <v>34</v>
      </c>
      <c r="C2340" t="s">
        <v>35</v>
      </c>
      <c r="D2340" s="2">
        <v>3935.5600322215678</v>
      </c>
      <c r="E2340" s="2">
        <v>3982.1054075397401</v>
      </c>
      <c r="F2340" s="2">
        <v>3862.2758242738091</v>
      </c>
      <c r="G2340" s="2">
        <v>3969.726318359375</v>
      </c>
      <c r="H2340" s="3">
        <v>9540104</v>
      </c>
      <c r="I2340" s="4">
        <f t="shared" si="144"/>
        <v>-1.86</v>
      </c>
      <c r="J2340" s="2">
        <f t="shared" si="145"/>
        <v>12.38</v>
      </c>
      <c r="K2340" s="7">
        <f t="shared" si="146"/>
        <v>46143</v>
      </c>
      <c r="L2340" t="str">
        <f t="shared" si="147"/>
        <v>Q2-2026</v>
      </c>
    </row>
    <row r="2341" spans="1:12">
      <c r="A2341" s="6">
        <v>46148</v>
      </c>
      <c r="B2341" t="s">
        <v>36</v>
      </c>
      <c r="C2341" t="s">
        <v>37</v>
      </c>
      <c r="D2341" s="2">
        <v>1274.017481088156</v>
      </c>
      <c r="E2341" s="2">
        <v>1299.9974454083849</v>
      </c>
      <c r="F2341" s="2">
        <v>1254.2326902384059</v>
      </c>
      <c r="G2341" s="2">
        <v>1293.20263671875</v>
      </c>
      <c r="H2341" s="3">
        <v>7277673</v>
      </c>
      <c r="I2341" s="4">
        <f t="shared" si="144"/>
        <v>-1.55</v>
      </c>
      <c r="J2341" s="2">
        <f t="shared" si="145"/>
        <v>6.79</v>
      </c>
      <c r="K2341" s="7">
        <f t="shared" si="146"/>
        <v>46143</v>
      </c>
      <c r="L2341" t="str">
        <f t="shared" si="147"/>
        <v>Q2-2026</v>
      </c>
    </row>
    <row r="2342" spans="1:12">
      <c r="A2342" s="6">
        <v>46149</v>
      </c>
      <c r="B2342" t="s">
        <v>8</v>
      </c>
      <c r="C2342" t="s">
        <v>9</v>
      </c>
      <c r="D2342" s="2">
        <v>1432.1782190445699</v>
      </c>
      <c r="E2342" s="2">
        <v>1442.8289255313271</v>
      </c>
      <c r="F2342" s="2">
        <v>1423.7173388327619</v>
      </c>
      <c r="G2342" s="2">
        <v>1429.590087890625</v>
      </c>
      <c r="H2342" s="3">
        <v>19816903</v>
      </c>
      <c r="I2342" s="4">
        <f t="shared" si="144"/>
        <v>-0.59</v>
      </c>
      <c r="J2342" s="2">
        <f t="shared" si="145"/>
        <v>13.24</v>
      </c>
      <c r="K2342" s="7">
        <f t="shared" si="146"/>
        <v>46143</v>
      </c>
      <c r="L2342" t="str">
        <f t="shared" si="147"/>
        <v>Q2-2026</v>
      </c>
    </row>
    <row r="2343" spans="1:12">
      <c r="A2343" s="6">
        <v>46149</v>
      </c>
      <c r="B2343" t="s">
        <v>10</v>
      </c>
      <c r="C2343" t="s">
        <v>11</v>
      </c>
      <c r="D2343" s="2">
        <v>2392.464742217725</v>
      </c>
      <c r="E2343" s="2">
        <v>2393.936605553462</v>
      </c>
      <c r="F2343" s="2">
        <v>2353.0188527321811</v>
      </c>
      <c r="G2343" s="2">
        <v>2356.35498046875</v>
      </c>
      <c r="H2343" s="3">
        <v>5829594</v>
      </c>
      <c r="I2343" s="4">
        <f t="shared" si="144"/>
        <v>-1.65</v>
      </c>
      <c r="J2343" s="2">
        <f t="shared" si="145"/>
        <v>37.58</v>
      </c>
      <c r="K2343" s="7">
        <f t="shared" si="146"/>
        <v>46143</v>
      </c>
      <c r="L2343" t="str">
        <f t="shared" si="147"/>
        <v>Q2-2026</v>
      </c>
    </row>
    <row r="2344" spans="1:12">
      <c r="A2344" s="6">
        <v>46149</v>
      </c>
      <c r="B2344" t="s">
        <v>12</v>
      </c>
      <c r="C2344" t="s">
        <v>13</v>
      </c>
      <c r="D2344" s="2">
        <v>1148.154636960754</v>
      </c>
      <c r="E2344" s="2">
        <v>1150.5038263553199</v>
      </c>
      <c r="F2344" s="2">
        <v>1134.646887555557</v>
      </c>
      <c r="G2344" s="2">
        <v>1138.07275390625</v>
      </c>
      <c r="H2344" s="3">
        <v>12013987</v>
      </c>
      <c r="I2344" s="4">
        <f t="shared" si="144"/>
        <v>-1.18</v>
      </c>
      <c r="J2344" s="2">
        <f t="shared" si="145"/>
        <v>12.43</v>
      </c>
      <c r="K2344" s="7">
        <f t="shared" si="146"/>
        <v>46143</v>
      </c>
      <c r="L2344" t="str">
        <f t="shared" si="147"/>
        <v>Q2-2026</v>
      </c>
    </row>
    <row r="2345" spans="1:12">
      <c r="A2345" s="6">
        <v>46149</v>
      </c>
      <c r="B2345" t="s">
        <v>14</v>
      </c>
      <c r="C2345" t="s">
        <v>15</v>
      </c>
      <c r="D2345" s="2">
        <v>781.08132768890709</v>
      </c>
      <c r="E2345" s="2">
        <v>788.50847440095629</v>
      </c>
      <c r="F2345" s="2">
        <v>775.71998918690622</v>
      </c>
      <c r="G2345" s="2">
        <v>783.09796142578125</v>
      </c>
      <c r="H2345" s="3">
        <v>46137553</v>
      </c>
      <c r="I2345" s="4">
        <f t="shared" si="144"/>
        <v>-0.69</v>
      </c>
      <c r="J2345" s="2">
        <f t="shared" si="145"/>
        <v>5.41</v>
      </c>
      <c r="K2345" s="7">
        <f t="shared" si="146"/>
        <v>46143</v>
      </c>
      <c r="L2345" t="str">
        <f t="shared" si="147"/>
        <v>Q2-2026</v>
      </c>
    </row>
    <row r="2346" spans="1:12">
      <c r="A2346" s="6">
        <v>46149</v>
      </c>
      <c r="B2346" t="s">
        <v>16</v>
      </c>
      <c r="C2346" t="s">
        <v>17</v>
      </c>
      <c r="D2346" s="2">
        <v>1273.9597944081111</v>
      </c>
      <c r="E2346" s="2">
        <v>1283.182094356247</v>
      </c>
      <c r="F2346" s="2">
        <v>1262.5559349914979</v>
      </c>
      <c r="G2346" s="2">
        <v>1268.307495117188</v>
      </c>
      <c r="H2346" s="3">
        <v>25028552</v>
      </c>
      <c r="I2346" s="4">
        <f t="shared" si="144"/>
        <v>-0.9</v>
      </c>
      <c r="J2346" s="2">
        <f t="shared" si="145"/>
        <v>14.87</v>
      </c>
      <c r="K2346" s="7">
        <f t="shared" si="146"/>
        <v>46143</v>
      </c>
      <c r="L2346" t="str">
        <f t="shared" si="147"/>
        <v>Q2-2026</v>
      </c>
    </row>
    <row r="2347" spans="1:12">
      <c r="A2347" s="6">
        <v>46149</v>
      </c>
      <c r="B2347" t="s">
        <v>18</v>
      </c>
      <c r="C2347" t="s">
        <v>19</v>
      </c>
      <c r="D2347" s="2">
        <v>197.24728945039831</v>
      </c>
      <c r="E2347" s="2">
        <v>198.0184806533604</v>
      </c>
      <c r="F2347" s="2">
        <v>194.96337588112689</v>
      </c>
      <c r="G2347" s="2">
        <v>195.13145446777341</v>
      </c>
      <c r="H2347" s="3">
        <v>19303572</v>
      </c>
      <c r="I2347" s="4">
        <f t="shared" si="144"/>
        <v>-1.1599999999999999</v>
      </c>
      <c r="J2347" s="2">
        <f t="shared" si="145"/>
        <v>2.89</v>
      </c>
      <c r="K2347" s="7">
        <f t="shared" si="146"/>
        <v>46143</v>
      </c>
      <c r="L2347" t="str">
        <f t="shared" si="147"/>
        <v>Q2-2026</v>
      </c>
    </row>
    <row r="2348" spans="1:12">
      <c r="A2348" s="6">
        <v>46149</v>
      </c>
      <c r="B2348" t="s">
        <v>20</v>
      </c>
      <c r="C2348" t="s">
        <v>21</v>
      </c>
      <c r="D2348" s="2">
        <v>1182.9231744098381</v>
      </c>
      <c r="E2348" s="2">
        <v>1183.9130682796369</v>
      </c>
      <c r="F2348" s="2">
        <v>1169.1636254523</v>
      </c>
      <c r="G2348" s="2">
        <v>1171.4404296875</v>
      </c>
      <c r="H2348" s="3">
        <v>3725309</v>
      </c>
      <c r="I2348" s="4">
        <f t="shared" si="144"/>
        <v>-1.1599999999999999</v>
      </c>
      <c r="J2348" s="2">
        <f t="shared" si="145"/>
        <v>12.47</v>
      </c>
      <c r="K2348" s="7">
        <f t="shared" si="146"/>
        <v>46143</v>
      </c>
      <c r="L2348" t="str">
        <f t="shared" si="147"/>
        <v>Q2-2026</v>
      </c>
    </row>
    <row r="2349" spans="1:12">
      <c r="A2349" s="6">
        <v>46149</v>
      </c>
      <c r="B2349" t="s">
        <v>22</v>
      </c>
      <c r="C2349" t="s">
        <v>23</v>
      </c>
      <c r="D2349" s="2">
        <v>986.18768527016982</v>
      </c>
      <c r="E2349" s="2">
        <v>986.18768527016982</v>
      </c>
      <c r="F2349" s="2">
        <v>963.07973497283399</v>
      </c>
      <c r="G2349" s="2">
        <v>966.80682373046875</v>
      </c>
      <c r="H2349" s="3">
        <v>7873561</v>
      </c>
      <c r="I2349" s="4">
        <f t="shared" si="144"/>
        <v>-2.34</v>
      </c>
      <c r="J2349" s="2">
        <f t="shared" si="145"/>
        <v>19.38</v>
      </c>
      <c r="K2349" s="7">
        <f t="shared" si="146"/>
        <v>46143</v>
      </c>
      <c r="L2349" t="str">
        <f t="shared" si="147"/>
        <v>Q2-2026</v>
      </c>
    </row>
    <row r="2350" spans="1:12">
      <c r="A2350" s="6">
        <v>46149</v>
      </c>
      <c r="B2350" t="s">
        <v>24</v>
      </c>
      <c r="C2350" t="s">
        <v>25</v>
      </c>
      <c r="D2350" s="2">
        <v>13585.55930521514</v>
      </c>
      <c r="E2350" s="2">
        <v>13732.08771048929</v>
      </c>
      <c r="F2350" s="2">
        <v>13536.0564655955</v>
      </c>
      <c r="G2350" s="2">
        <v>13633.08203125</v>
      </c>
      <c r="H2350" s="3">
        <v>726199</v>
      </c>
      <c r="I2350" s="4">
        <f t="shared" si="144"/>
        <v>-0.36</v>
      </c>
      <c r="J2350" s="2">
        <f t="shared" si="145"/>
        <v>99.01</v>
      </c>
      <c r="K2350" s="7">
        <f t="shared" si="146"/>
        <v>46143</v>
      </c>
      <c r="L2350" t="str">
        <f t="shared" si="147"/>
        <v>Q2-2026</v>
      </c>
    </row>
    <row r="2351" spans="1:12">
      <c r="A2351" s="6">
        <v>46149</v>
      </c>
      <c r="B2351" t="s">
        <v>26</v>
      </c>
      <c r="C2351" t="s">
        <v>27</v>
      </c>
      <c r="D2351" s="2">
        <v>357.23663000630768</v>
      </c>
      <c r="E2351" s="2">
        <v>358.47634619835281</v>
      </c>
      <c r="F2351" s="2">
        <v>354.11252098914719</v>
      </c>
      <c r="G2351" s="2">
        <v>356.29443359375</v>
      </c>
      <c r="H2351" s="3">
        <v>6975162</v>
      </c>
      <c r="I2351" s="4">
        <f t="shared" si="144"/>
        <v>-0.87</v>
      </c>
      <c r="J2351" s="2">
        <f t="shared" si="145"/>
        <v>2.1800000000000002</v>
      </c>
      <c r="K2351" s="7">
        <f t="shared" si="146"/>
        <v>46143</v>
      </c>
      <c r="L2351" t="str">
        <f t="shared" si="147"/>
        <v>Q2-2026</v>
      </c>
    </row>
    <row r="2352" spans="1:12">
      <c r="A2352" s="6">
        <v>46149</v>
      </c>
      <c r="B2352" t="s">
        <v>28</v>
      </c>
      <c r="C2352" t="s">
        <v>29</v>
      </c>
      <c r="D2352" s="2">
        <v>1845.3636068874171</v>
      </c>
      <c r="E2352" s="2">
        <v>1852.245594929997</v>
      </c>
      <c r="F2352" s="2">
        <v>1821.5261778758199</v>
      </c>
      <c r="G2352" s="2">
        <v>1829.60498046875</v>
      </c>
      <c r="H2352" s="3">
        <v>2201070</v>
      </c>
      <c r="I2352" s="4">
        <f t="shared" si="144"/>
        <v>-1.29</v>
      </c>
      <c r="J2352" s="2">
        <f t="shared" si="145"/>
        <v>22.64</v>
      </c>
      <c r="K2352" s="7">
        <f t="shared" si="146"/>
        <v>46143</v>
      </c>
      <c r="L2352" t="str">
        <f t="shared" si="147"/>
        <v>Q2-2026</v>
      </c>
    </row>
    <row r="2353" spans="1:12">
      <c r="A2353" s="6">
        <v>46149</v>
      </c>
      <c r="B2353" t="s">
        <v>30</v>
      </c>
      <c r="C2353" t="s">
        <v>31</v>
      </c>
      <c r="D2353" s="2">
        <v>2512.7990906551622</v>
      </c>
      <c r="E2353" s="2">
        <v>2533.816693422511</v>
      </c>
      <c r="F2353" s="2">
        <v>2489.6994539267989</v>
      </c>
      <c r="G2353" s="2">
        <v>2508.83349609375</v>
      </c>
      <c r="H2353" s="3">
        <v>1053513</v>
      </c>
      <c r="I2353" s="4">
        <f t="shared" si="144"/>
        <v>-0.92</v>
      </c>
      <c r="J2353" s="2">
        <f t="shared" si="145"/>
        <v>24.98</v>
      </c>
      <c r="K2353" s="7">
        <f t="shared" si="146"/>
        <v>46143</v>
      </c>
      <c r="L2353" t="str">
        <f t="shared" si="147"/>
        <v>Q2-2026</v>
      </c>
    </row>
    <row r="2354" spans="1:12">
      <c r="A2354" s="6">
        <v>46149</v>
      </c>
      <c r="B2354" t="s">
        <v>32</v>
      </c>
      <c r="C2354" t="s">
        <v>33</v>
      </c>
      <c r="D2354" s="2">
        <v>2286.7402347777161</v>
      </c>
      <c r="E2354" s="2">
        <v>2304.4599000972162</v>
      </c>
      <c r="F2354" s="2">
        <v>2245.2622293566292</v>
      </c>
      <c r="G2354" s="2">
        <v>2249.32080078125</v>
      </c>
      <c r="H2354" s="3">
        <v>1859012</v>
      </c>
      <c r="I2354" s="4">
        <f t="shared" si="144"/>
        <v>-1.81</v>
      </c>
      <c r="J2354" s="2">
        <f t="shared" si="145"/>
        <v>55.14</v>
      </c>
      <c r="K2354" s="7">
        <f t="shared" si="146"/>
        <v>46143</v>
      </c>
      <c r="L2354" t="str">
        <f t="shared" si="147"/>
        <v>Q2-2026</v>
      </c>
    </row>
    <row r="2355" spans="1:12">
      <c r="A2355" s="6">
        <v>46149</v>
      </c>
      <c r="B2355" t="s">
        <v>34</v>
      </c>
      <c r="C2355" t="s">
        <v>35</v>
      </c>
      <c r="D2355" s="2">
        <v>3989.0375730176479</v>
      </c>
      <c r="E2355" s="2">
        <v>4026.4719858868871</v>
      </c>
      <c r="F2355" s="2">
        <v>3952.3954701870489</v>
      </c>
      <c r="G2355" s="2">
        <v>3984.0859375</v>
      </c>
      <c r="H2355" s="3">
        <v>3477185</v>
      </c>
      <c r="I2355" s="4">
        <f t="shared" si="144"/>
        <v>-0.92</v>
      </c>
      <c r="J2355" s="2">
        <f t="shared" si="145"/>
        <v>42.39</v>
      </c>
      <c r="K2355" s="7">
        <f t="shared" si="146"/>
        <v>46143</v>
      </c>
      <c r="L2355" t="str">
        <f t="shared" si="147"/>
        <v>Q2-2026</v>
      </c>
    </row>
    <row r="2356" spans="1:12">
      <c r="A2356" s="6">
        <v>46149</v>
      </c>
      <c r="B2356" t="s">
        <v>36</v>
      </c>
      <c r="C2356" t="s">
        <v>37</v>
      </c>
      <c r="D2356" s="2">
        <v>1297.998929063614</v>
      </c>
      <c r="E2356" s="2">
        <v>1307.0918917772799</v>
      </c>
      <c r="F2356" s="2">
        <v>1280.2125977963419</v>
      </c>
      <c r="G2356" s="2">
        <v>1291.703735351562</v>
      </c>
      <c r="H2356" s="3">
        <v>6785048</v>
      </c>
      <c r="I2356" s="4">
        <f t="shared" si="144"/>
        <v>-1.37</v>
      </c>
      <c r="J2356" s="2">
        <f t="shared" si="145"/>
        <v>15.39</v>
      </c>
      <c r="K2356" s="7">
        <f t="shared" si="146"/>
        <v>46143</v>
      </c>
      <c r="L2356" t="str">
        <f t="shared" si="147"/>
        <v>Q2-2026</v>
      </c>
    </row>
    <row r="2357" spans="1:12">
      <c r="A2357" s="6">
        <v>46150</v>
      </c>
      <c r="B2357" t="s">
        <v>8</v>
      </c>
      <c r="C2357" t="s">
        <v>9</v>
      </c>
      <c r="D2357" s="2">
        <v>1419.4371163507369</v>
      </c>
      <c r="E2357" s="2">
        <v>1436.1598462687909</v>
      </c>
      <c r="F2357" s="2">
        <v>1410.976235923682</v>
      </c>
      <c r="G2357" s="2">
        <v>1428.5947265625</v>
      </c>
      <c r="H2357" s="3">
        <v>8663105</v>
      </c>
      <c r="I2357" s="4">
        <f t="shared" si="144"/>
        <v>-0.6</v>
      </c>
      <c r="J2357" s="2">
        <f t="shared" si="145"/>
        <v>7.57</v>
      </c>
      <c r="K2357" s="7">
        <f t="shared" si="146"/>
        <v>46143</v>
      </c>
      <c r="L2357" t="str">
        <f t="shared" si="147"/>
        <v>Q2-2026</v>
      </c>
    </row>
    <row r="2358" spans="1:12">
      <c r="A2358" s="6">
        <v>46150</v>
      </c>
      <c r="B2358" t="s">
        <v>10</v>
      </c>
      <c r="C2358" t="s">
        <v>11</v>
      </c>
      <c r="D2358" s="2">
        <v>2353.018651512491</v>
      </c>
      <c r="E2358" s="2">
        <v>2361.8498307717118</v>
      </c>
      <c r="F2358" s="2">
        <v>2330.5483023329011</v>
      </c>
      <c r="G2358" s="2">
        <v>2349.486083984375</v>
      </c>
      <c r="H2358" s="3">
        <v>3792199</v>
      </c>
      <c r="I2358" s="4">
        <f t="shared" si="144"/>
        <v>-0.95</v>
      </c>
      <c r="J2358" s="2">
        <f t="shared" si="145"/>
        <v>12.36</v>
      </c>
      <c r="K2358" s="7">
        <f t="shared" si="146"/>
        <v>46143</v>
      </c>
      <c r="L2358" t="str">
        <f t="shared" si="147"/>
        <v>Q2-2026</v>
      </c>
    </row>
    <row r="2359" spans="1:12">
      <c r="A2359" s="6">
        <v>46150</v>
      </c>
      <c r="B2359" t="s">
        <v>12</v>
      </c>
      <c r="C2359" t="s">
        <v>13</v>
      </c>
      <c r="D2359" s="2">
        <v>1136.4088093734099</v>
      </c>
      <c r="E2359" s="2">
        <v>1158.432235911655</v>
      </c>
      <c r="F2359" s="2">
        <v>1134.255455461343</v>
      </c>
      <c r="G2359" s="2">
        <v>1154.223266601562</v>
      </c>
      <c r="H2359" s="3">
        <v>7582770</v>
      </c>
      <c r="I2359" s="4">
        <f t="shared" si="144"/>
        <v>-0.19</v>
      </c>
      <c r="J2359" s="2">
        <f t="shared" si="145"/>
        <v>4.21</v>
      </c>
      <c r="K2359" s="7">
        <f t="shared" si="146"/>
        <v>46143</v>
      </c>
      <c r="L2359" t="str">
        <f t="shared" si="147"/>
        <v>Q2-2026</v>
      </c>
    </row>
    <row r="2360" spans="1:12">
      <c r="A2360" s="6">
        <v>46150</v>
      </c>
      <c r="B2360" t="s">
        <v>14</v>
      </c>
      <c r="C2360" t="s">
        <v>15</v>
      </c>
      <c r="D2360" s="2">
        <v>771.24403604783254</v>
      </c>
      <c r="E2360" s="2">
        <v>775.91675182745917</v>
      </c>
      <c r="F2360" s="2">
        <v>764.55468651910144</v>
      </c>
      <c r="G2360" s="2">
        <v>768.145263671875</v>
      </c>
      <c r="H2360" s="3">
        <v>38016841</v>
      </c>
      <c r="I2360" s="4">
        <f t="shared" si="144"/>
        <v>-0.87</v>
      </c>
      <c r="J2360" s="2">
        <f t="shared" si="145"/>
        <v>7.77</v>
      </c>
      <c r="K2360" s="7">
        <f t="shared" si="146"/>
        <v>46143</v>
      </c>
      <c r="L2360" t="str">
        <f t="shared" si="147"/>
        <v>Q2-2026</v>
      </c>
    </row>
    <row r="2361" spans="1:12">
      <c r="A2361" s="6">
        <v>46150</v>
      </c>
      <c r="B2361" t="s">
        <v>16</v>
      </c>
      <c r="C2361" t="s">
        <v>17</v>
      </c>
      <c r="D2361" s="2">
        <v>1268.9025177053809</v>
      </c>
      <c r="E2361" s="2">
        <v>1268.9025177053809</v>
      </c>
      <c r="F2361" s="2">
        <v>1250.6563175253959</v>
      </c>
      <c r="G2361" s="2">
        <v>1254.226318359375</v>
      </c>
      <c r="H2361" s="3">
        <v>11137424</v>
      </c>
      <c r="I2361" s="4">
        <f t="shared" si="144"/>
        <v>-1.44</v>
      </c>
      <c r="J2361" s="2">
        <f t="shared" si="145"/>
        <v>14.68</v>
      </c>
      <c r="K2361" s="7">
        <f t="shared" si="146"/>
        <v>46143</v>
      </c>
      <c r="L2361" t="str">
        <f t="shared" si="147"/>
        <v>Q2-2026</v>
      </c>
    </row>
    <row r="2362" spans="1:12">
      <c r="A2362" s="6">
        <v>46150</v>
      </c>
      <c r="B2362" t="s">
        <v>18</v>
      </c>
      <c r="C2362" t="s">
        <v>19</v>
      </c>
      <c r="D2362" s="2">
        <v>195.76422731131211</v>
      </c>
      <c r="E2362" s="2">
        <v>196.6936154507699</v>
      </c>
      <c r="F2362" s="2">
        <v>194.47890360964689</v>
      </c>
      <c r="G2362" s="2">
        <v>195.67524719238281</v>
      </c>
      <c r="H2362" s="3">
        <v>15970687</v>
      </c>
      <c r="I2362" s="4">
        <f t="shared" si="144"/>
        <v>-0.66</v>
      </c>
      <c r="J2362" s="2">
        <f t="shared" si="145"/>
        <v>1.02</v>
      </c>
      <c r="K2362" s="7">
        <f t="shared" si="146"/>
        <v>46143</v>
      </c>
      <c r="L2362" t="str">
        <f t="shared" si="147"/>
        <v>Q2-2026</v>
      </c>
    </row>
    <row r="2363" spans="1:12">
      <c r="A2363" s="6">
        <v>46150</v>
      </c>
      <c r="B2363" t="s">
        <v>20</v>
      </c>
      <c r="C2363" t="s">
        <v>21</v>
      </c>
      <c r="D2363" s="2">
        <v>1167.8769370248581</v>
      </c>
      <c r="E2363" s="2">
        <v>1190.6444980011879</v>
      </c>
      <c r="F2363" s="2">
        <v>1164.9072551583799</v>
      </c>
      <c r="G2363" s="2">
        <v>1186.288940429688</v>
      </c>
      <c r="H2363" s="3">
        <v>2813749</v>
      </c>
      <c r="I2363" s="4">
        <f t="shared" si="144"/>
        <v>-0.25</v>
      </c>
      <c r="J2363" s="2">
        <f t="shared" si="145"/>
        <v>4.3600000000000003</v>
      </c>
      <c r="K2363" s="7">
        <f t="shared" si="146"/>
        <v>46143</v>
      </c>
      <c r="L2363" t="str">
        <f t="shared" si="147"/>
        <v>Q2-2026</v>
      </c>
    </row>
    <row r="2364" spans="1:12">
      <c r="A2364" s="6">
        <v>46150</v>
      </c>
      <c r="B2364" t="s">
        <v>22</v>
      </c>
      <c r="C2364" t="s">
        <v>23</v>
      </c>
      <c r="D2364" s="2">
        <v>965.06753081657348</v>
      </c>
      <c r="E2364" s="2">
        <v>966.01173878246982</v>
      </c>
      <c r="F2364" s="2">
        <v>945.18972379666468</v>
      </c>
      <c r="G2364" s="2">
        <v>949.51312255859375</v>
      </c>
      <c r="H2364" s="3">
        <v>5555386</v>
      </c>
      <c r="I2364" s="4">
        <f t="shared" si="144"/>
        <v>-2.06</v>
      </c>
      <c r="J2364" s="2">
        <f t="shared" si="145"/>
        <v>16.5</v>
      </c>
      <c r="K2364" s="7">
        <f t="shared" si="146"/>
        <v>46143</v>
      </c>
      <c r="L2364" t="str">
        <f t="shared" si="147"/>
        <v>Q2-2026</v>
      </c>
    </row>
    <row r="2365" spans="1:12">
      <c r="A2365" s="6">
        <v>46150</v>
      </c>
      <c r="B2365" t="s">
        <v>24</v>
      </c>
      <c r="C2365" t="s">
        <v>25</v>
      </c>
      <c r="D2365" s="2">
        <v>13536.05646446525</v>
      </c>
      <c r="E2365" s="2">
        <v>13651.893109165539</v>
      </c>
      <c r="F2365" s="2">
        <v>13490.513852018979</v>
      </c>
      <c r="G2365" s="2">
        <v>13589.51953125</v>
      </c>
      <c r="H2365" s="3">
        <v>270505</v>
      </c>
      <c r="I2365" s="4">
        <f t="shared" si="144"/>
        <v>-0.34</v>
      </c>
      <c r="J2365" s="2">
        <f t="shared" si="145"/>
        <v>62.37</v>
      </c>
      <c r="K2365" s="7">
        <f t="shared" si="146"/>
        <v>46143</v>
      </c>
      <c r="L2365" t="str">
        <f t="shared" si="147"/>
        <v>Q2-2026</v>
      </c>
    </row>
    <row r="2366" spans="1:12">
      <c r="A2366" s="6">
        <v>46150</v>
      </c>
      <c r="B2366" t="s">
        <v>26</v>
      </c>
      <c r="C2366" t="s">
        <v>27</v>
      </c>
      <c r="D2366" s="2">
        <v>353.07115879906439</v>
      </c>
      <c r="E2366" s="2">
        <v>354.50924163673102</v>
      </c>
      <c r="F2366" s="2">
        <v>350.79009319432521</v>
      </c>
      <c r="G2366" s="2">
        <v>352.52569580078119</v>
      </c>
      <c r="H2366" s="3">
        <v>4615800</v>
      </c>
      <c r="I2366" s="4">
        <f t="shared" si="144"/>
        <v>-0.65</v>
      </c>
      <c r="J2366" s="2">
        <f t="shared" si="145"/>
        <v>1.98</v>
      </c>
      <c r="K2366" s="7">
        <f t="shared" si="146"/>
        <v>46143</v>
      </c>
      <c r="L2366" t="str">
        <f t="shared" si="147"/>
        <v>Q2-2026</v>
      </c>
    </row>
    <row r="2367" spans="1:12">
      <c r="A2367" s="6">
        <v>46150</v>
      </c>
      <c r="B2367" t="s">
        <v>28</v>
      </c>
      <c r="C2367" t="s">
        <v>29</v>
      </c>
      <c r="D2367" s="2">
        <v>1817.2373791592111</v>
      </c>
      <c r="E2367" s="2">
        <v>1852.644583857428</v>
      </c>
      <c r="F2367" s="2">
        <v>1814.4446495247771</v>
      </c>
      <c r="G2367" s="2">
        <v>1843.069702148438</v>
      </c>
      <c r="H2367" s="3">
        <v>2837885</v>
      </c>
      <c r="I2367" s="4">
        <f t="shared" si="144"/>
        <v>-0.15</v>
      </c>
      <c r="J2367" s="2">
        <f t="shared" si="145"/>
        <v>9.57</v>
      </c>
      <c r="K2367" s="7">
        <f t="shared" si="146"/>
        <v>46143</v>
      </c>
      <c r="L2367" t="str">
        <f t="shared" si="147"/>
        <v>Q2-2026</v>
      </c>
    </row>
    <row r="2368" spans="1:12">
      <c r="A2368" s="6">
        <v>46150</v>
      </c>
      <c r="B2368" t="s">
        <v>30</v>
      </c>
      <c r="C2368" t="s">
        <v>31</v>
      </c>
      <c r="D2368" s="2">
        <v>2518.1524303726392</v>
      </c>
      <c r="E2368" s="2">
        <v>2584.9725988347618</v>
      </c>
      <c r="F2368" s="2">
        <v>2493.7639281283509</v>
      </c>
      <c r="G2368" s="2">
        <v>2577.537109375</v>
      </c>
      <c r="H2368" s="3">
        <v>2327900</v>
      </c>
      <c r="I2368" s="4">
        <f t="shared" si="144"/>
        <v>-0.97</v>
      </c>
      <c r="J2368" s="2">
        <f t="shared" si="145"/>
        <v>7.44</v>
      </c>
      <c r="K2368" s="7">
        <f t="shared" si="146"/>
        <v>46143</v>
      </c>
      <c r="L2368" t="str">
        <f t="shared" si="147"/>
        <v>Q2-2026</v>
      </c>
    </row>
    <row r="2369" spans="1:12">
      <c r="A2369" s="6">
        <v>46150</v>
      </c>
      <c r="B2369" t="s">
        <v>32</v>
      </c>
      <c r="C2369" t="s">
        <v>33</v>
      </c>
      <c r="D2369" s="2">
        <v>2249.3208664913541</v>
      </c>
      <c r="E2369" s="2">
        <v>2274.16822791307</v>
      </c>
      <c r="F2369" s="2">
        <v>2233.28403479076</v>
      </c>
      <c r="G2369" s="2">
        <v>2264.664794921875</v>
      </c>
      <c r="H2369" s="3">
        <v>1104526</v>
      </c>
      <c r="I2369" s="4">
        <f t="shared" si="144"/>
        <v>-0.71</v>
      </c>
      <c r="J2369" s="2">
        <f t="shared" si="145"/>
        <v>9.5</v>
      </c>
      <c r="K2369" s="7">
        <f t="shared" si="146"/>
        <v>46143</v>
      </c>
      <c r="L2369" t="str">
        <f t="shared" si="147"/>
        <v>Q2-2026</v>
      </c>
    </row>
    <row r="2370" spans="1:12">
      <c r="A2370" s="6">
        <v>46150</v>
      </c>
      <c r="B2370" t="s">
        <v>34</v>
      </c>
      <c r="C2370" t="s">
        <v>35</v>
      </c>
      <c r="D2370" s="2">
        <v>3971.2117888747798</v>
      </c>
      <c r="E2370" s="2">
        <v>3975.1730973923609</v>
      </c>
      <c r="F2370" s="2">
        <v>3921.6954324050189</v>
      </c>
      <c r="G2370" s="2">
        <v>3936.05517578125</v>
      </c>
      <c r="H2370" s="3">
        <v>1620273</v>
      </c>
      <c r="I2370" s="4">
        <f t="shared" ref="I2370:I2433" si="148">ROUND(((F2370-D2370)/D2370)*100, 2)</f>
        <v>-1.25</v>
      </c>
      <c r="J2370" s="2">
        <f t="shared" ref="J2370:J2433" si="149">ROUND(E2370-G2370, 2)</f>
        <v>39.119999999999997</v>
      </c>
      <c r="K2370" s="7">
        <f t="shared" ref="K2370:K2433" si="150">DATE(YEAR(A2370),MONTH(A2370),1)</f>
        <v>46143</v>
      </c>
      <c r="L2370" t="str">
        <f t="shared" ref="L2370:L2433" si="151">"Q"&amp;INT((MONTH(A2370)-1)/3)+1&amp;"-"&amp;YEAR(A2370)</f>
        <v>Q2-2026</v>
      </c>
    </row>
    <row r="2371" spans="1:12">
      <c r="A2371" s="6">
        <v>46150</v>
      </c>
      <c r="B2371" t="s">
        <v>36</v>
      </c>
      <c r="C2371" t="s">
        <v>37</v>
      </c>
      <c r="D2371" s="2">
        <v>1279.0135664260549</v>
      </c>
      <c r="E2371" s="2">
        <v>1281.012025123596</v>
      </c>
      <c r="F2371" s="2">
        <v>1263.6254100597439</v>
      </c>
      <c r="G2371" s="2">
        <v>1267.322631835938</v>
      </c>
      <c r="H2371" s="3">
        <v>6358595</v>
      </c>
      <c r="I2371" s="4">
        <f t="shared" si="148"/>
        <v>-1.2</v>
      </c>
      <c r="J2371" s="2">
        <f t="shared" si="149"/>
        <v>13.69</v>
      </c>
      <c r="K2371" s="7">
        <f t="shared" si="150"/>
        <v>46143</v>
      </c>
      <c r="L2371" t="str">
        <f t="shared" si="151"/>
        <v>Q2-2026</v>
      </c>
    </row>
    <row r="2372" spans="1:12">
      <c r="A2372" s="6">
        <v>46153</v>
      </c>
      <c r="B2372" t="s">
        <v>8</v>
      </c>
      <c r="C2372" t="s">
        <v>9</v>
      </c>
      <c r="D2372" s="2">
        <v>1413.4647305422179</v>
      </c>
      <c r="E2372" s="2">
        <v>1421.427912122738</v>
      </c>
      <c r="F2372" s="2">
        <v>1375.639618034751</v>
      </c>
      <c r="G2372" s="2">
        <v>1381.81103515625</v>
      </c>
      <c r="H2372" s="3">
        <v>15261787</v>
      </c>
      <c r="I2372" s="4">
        <f t="shared" si="148"/>
        <v>-2.68</v>
      </c>
      <c r="J2372" s="2">
        <f t="shared" si="149"/>
        <v>39.619999999999997</v>
      </c>
      <c r="K2372" s="7">
        <f t="shared" si="150"/>
        <v>46143</v>
      </c>
      <c r="L2372" t="str">
        <f t="shared" si="151"/>
        <v>Q2-2026</v>
      </c>
    </row>
    <row r="2373" spans="1:12">
      <c r="A2373" s="6">
        <v>46153</v>
      </c>
      <c r="B2373" t="s">
        <v>10</v>
      </c>
      <c r="C2373" t="s">
        <v>11</v>
      </c>
      <c r="D2373" s="2">
        <v>2326.525295577595</v>
      </c>
      <c r="E2373" s="2">
        <v>2369.699953108347</v>
      </c>
      <c r="F2373" s="2">
        <v>2326.525295577595</v>
      </c>
      <c r="G2373" s="2">
        <v>2348.014404296875</v>
      </c>
      <c r="H2373" s="3">
        <v>1975188</v>
      </c>
      <c r="I2373" s="4">
        <f t="shared" si="148"/>
        <v>0</v>
      </c>
      <c r="J2373" s="2">
        <f t="shared" si="149"/>
        <v>21.69</v>
      </c>
      <c r="K2373" s="7">
        <f t="shared" si="150"/>
        <v>46143</v>
      </c>
      <c r="L2373" t="str">
        <f t="shared" si="151"/>
        <v>Q2-2026</v>
      </c>
    </row>
    <row r="2374" spans="1:12">
      <c r="A2374" s="6">
        <v>46153</v>
      </c>
      <c r="B2374" t="s">
        <v>12</v>
      </c>
      <c r="C2374" t="s">
        <v>13</v>
      </c>
      <c r="D2374" s="2">
        <v>1151.09112730326</v>
      </c>
      <c r="E2374" s="2">
        <v>1161.8581361470831</v>
      </c>
      <c r="F2374" s="2">
        <v>1147.273709361684</v>
      </c>
      <c r="G2374" s="2">
        <v>1152.069946289062</v>
      </c>
      <c r="H2374" s="3">
        <v>7336288</v>
      </c>
      <c r="I2374" s="4">
        <f t="shared" si="148"/>
        <v>-0.33</v>
      </c>
      <c r="J2374" s="2">
        <f t="shared" si="149"/>
        <v>9.7899999999999991</v>
      </c>
      <c r="K2374" s="7">
        <f t="shared" si="150"/>
        <v>46143</v>
      </c>
      <c r="L2374" t="str">
        <f t="shared" si="151"/>
        <v>Q2-2026</v>
      </c>
    </row>
    <row r="2375" spans="1:12">
      <c r="A2375" s="6">
        <v>46153</v>
      </c>
      <c r="B2375" t="s">
        <v>14</v>
      </c>
      <c r="C2375" t="s">
        <v>15</v>
      </c>
      <c r="D2375" s="2">
        <v>759.39010264160629</v>
      </c>
      <c r="E2375" s="2">
        <v>762.2428825536997</v>
      </c>
      <c r="F2375" s="2">
        <v>749.50363183266143</v>
      </c>
      <c r="G2375" s="2">
        <v>751.22515869140625</v>
      </c>
      <c r="H2375" s="3">
        <v>41123422</v>
      </c>
      <c r="I2375" s="4">
        <f t="shared" si="148"/>
        <v>-1.3</v>
      </c>
      <c r="J2375" s="2">
        <f t="shared" si="149"/>
        <v>11.02</v>
      </c>
      <c r="K2375" s="7">
        <f t="shared" si="150"/>
        <v>46143</v>
      </c>
      <c r="L2375" t="str">
        <f t="shared" si="151"/>
        <v>Q2-2026</v>
      </c>
    </row>
    <row r="2376" spans="1:12">
      <c r="A2376" s="6">
        <v>46153</v>
      </c>
      <c r="B2376" t="s">
        <v>16</v>
      </c>
      <c r="C2376" t="s">
        <v>17</v>
      </c>
      <c r="D2376" s="2">
        <v>1248.871386509416</v>
      </c>
      <c r="E2376" s="2">
        <v>1265.0350451845079</v>
      </c>
      <c r="F2376" s="2">
        <v>1241.533226614991</v>
      </c>
      <c r="G2376" s="2">
        <v>1255.812866210938</v>
      </c>
      <c r="H2376" s="3">
        <v>18980488</v>
      </c>
      <c r="I2376" s="4">
        <f t="shared" si="148"/>
        <v>-0.59</v>
      </c>
      <c r="J2376" s="2">
        <f t="shared" si="149"/>
        <v>9.2200000000000006</v>
      </c>
      <c r="K2376" s="7">
        <f t="shared" si="150"/>
        <v>46143</v>
      </c>
      <c r="L2376" t="str">
        <f t="shared" si="151"/>
        <v>Q2-2026</v>
      </c>
    </row>
    <row r="2377" spans="1:12">
      <c r="A2377" s="6">
        <v>46153</v>
      </c>
      <c r="B2377" t="s">
        <v>18</v>
      </c>
      <c r="C2377" t="s">
        <v>19</v>
      </c>
      <c r="D2377" s="2">
        <v>195.64558361432839</v>
      </c>
      <c r="E2377" s="2">
        <v>196.00151917009839</v>
      </c>
      <c r="F2377" s="2">
        <v>193.93510756456371</v>
      </c>
      <c r="G2377" s="2">
        <v>194.45912170410159</v>
      </c>
      <c r="H2377" s="3">
        <v>9199527</v>
      </c>
      <c r="I2377" s="4">
        <f t="shared" si="148"/>
        <v>-0.87</v>
      </c>
      <c r="J2377" s="2">
        <f t="shared" si="149"/>
        <v>1.54</v>
      </c>
      <c r="K2377" s="7">
        <f t="shared" si="150"/>
        <v>46143</v>
      </c>
      <c r="L2377" t="str">
        <f t="shared" si="151"/>
        <v>Q2-2026</v>
      </c>
    </row>
    <row r="2378" spans="1:12">
      <c r="A2378" s="6">
        <v>46153</v>
      </c>
      <c r="B2378" t="s">
        <v>20</v>
      </c>
      <c r="C2378" t="s">
        <v>21</v>
      </c>
      <c r="D2378" s="2">
        <v>1184.8040065055991</v>
      </c>
      <c r="E2378" s="2">
        <v>1194.109033124246</v>
      </c>
      <c r="F2378" s="2">
        <v>1179.0625736797001</v>
      </c>
      <c r="G2378" s="2">
        <v>1182.82421875</v>
      </c>
      <c r="H2378" s="3">
        <v>2505962</v>
      </c>
      <c r="I2378" s="4">
        <f t="shared" si="148"/>
        <v>-0.48</v>
      </c>
      <c r="J2378" s="2">
        <f t="shared" si="149"/>
        <v>11.28</v>
      </c>
      <c r="K2378" s="7">
        <f t="shared" si="150"/>
        <v>46143</v>
      </c>
      <c r="L2378" t="str">
        <f t="shared" si="151"/>
        <v>Q2-2026</v>
      </c>
    </row>
    <row r="2379" spans="1:12">
      <c r="A2379" s="6">
        <v>46153</v>
      </c>
      <c r="B2379" t="s">
        <v>22</v>
      </c>
      <c r="C2379" t="s">
        <v>23</v>
      </c>
      <c r="D2379" s="2">
        <v>940.22027585243666</v>
      </c>
      <c r="E2379" s="2">
        <v>950.15917940267377</v>
      </c>
      <c r="F2379" s="2">
        <v>927.84632879994069</v>
      </c>
      <c r="G2379" s="2">
        <v>930.3310546875</v>
      </c>
      <c r="H2379" s="3">
        <v>5581022</v>
      </c>
      <c r="I2379" s="4">
        <f t="shared" si="148"/>
        <v>-1.32</v>
      </c>
      <c r="J2379" s="2">
        <f t="shared" si="149"/>
        <v>19.829999999999998</v>
      </c>
      <c r="K2379" s="7">
        <f t="shared" si="150"/>
        <v>46143</v>
      </c>
      <c r="L2379" t="str">
        <f t="shared" si="151"/>
        <v>Q2-2026</v>
      </c>
    </row>
    <row r="2380" spans="1:12">
      <c r="A2380" s="6">
        <v>46153</v>
      </c>
      <c r="B2380" t="s">
        <v>24</v>
      </c>
      <c r="C2380" t="s">
        <v>25</v>
      </c>
      <c r="D2380" s="2">
        <v>13412.299180710201</v>
      </c>
      <c r="E2380" s="2">
        <v>13521.20542636445</v>
      </c>
      <c r="F2380" s="2">
        <v>13099.4412386489</v>
      </c>
      <c r="G2380" s="2">
        <v>13348.935546875</v>
      </c>
      <c r="H2380" s="3">
        <v>634354</v>
      </c>
      <c r="I2380" s="4">
        <f t="shared" si="148"/>
        <v>-2.33</v>
      </c>
      <c r="J2380" s="2">
        <f t="shared" si="149"/>
        <v>172.27</v>
      </c>
      <c r="K2380" s="7">
        <f t="shared" si="150"/>
        <v>46143</v>
      </c>
      <c r="L2380" t="str">
        <f t="shared" si="151"/>
        <v>Q2-2026</v>
      </c>
    </row>
    <row r="2381" spans="1:12">
      <c r="A2381" s="6">
        <v>46153</v>
      </c>
      <c r="B2381" t="s">
        <v>26</v>
      </c>
      <c r="C2381" t="s">
        <v>27</v>
      </c>
      <c r="D2381" s="2">
        <v>349.40159989184991</v>
      </c>
      <c r="E2381" s="2">
        <v>349.40159989184991</v>
      </c>
      <c r="F2381" s="2">
        <v>342.36003612552503</v>
      </c>
      <c r="G2381" s="2">
        <v>343.1534423828125</v>
      </c>
      <c r="H2381" s="3">
        <v>4283236</v>
      </c>
      <c r="I2381" s="4">
        <f t="shared" si="148"/>
        <v>-2.02</v>
      </c>
      <c r="J2381" s="2">
        <f t="shared" si="149"/>
        <v>6.25</v>
      </c>
      <c r="K2381" s="7">
        <f t="shared" si="150"/>
        <v>46143</v>
      </c>
      <c r="L2381" t="str">
        <f t="shared" si="151"/>
        <v>Q2-2026</v>
      </c>
    </row>
    <row r="2382" spans="1:12">
      <c r="A2382" s="6">
        <v>46153</v>
      </c>
      <c r="B2382" t="s">
        <v>28</v>
      </c>
      <c r="C2382" t="s">
        <v>29</v>
      </c>
      <c r="D2382" s="2">
        <v>1822.4237442361309</v>
      </c>
      <c r="E2382" s="2">
        <v>1880.8706642433331</v>
      </c>
      <c r="F2382" s="2">
        <v>1820.22954362376</v>
      </c>
      <c r="G2382" s="2">
        <v>1867.804809570312</v>
      </c>
      <c r="H2382" s="3">
        <v>2564978</v>
      </c>
      <c r="I2382" s="4">
        <f t="shared" si="148"/>
        <v>-0.12</v>
      </c>
      <c r="J2382" s="2">
        <f t="shared" si="149"/>
        <v>13.07</v>
      </c>
      <c r="K2382" s="7">
        <f t="shared" si="150"/>
        <v>46143</v>
      </c>
      <c r="L2382" t="str">
        <f t="shared" si="151"/>
        <v>Q2-2026</v>
      </c>
    </row>
    <row r="2383" spans="1:12">
      <c r="A2383" s="6">
        <v>46153</v>
      </c>
      <c r="B2383" t="s">
        <v>30</v>
      </c>
      <c r="C2383" t="s">
        <v>31</v>
      </c>
      <c r="D2383" s="2">
        <v>2556.7177847784319</v>
      </c>
      <c r="E2383" s="2">
        <v>2585.468344538891</v>
      </c>
      <c r="F2383" s="2">
        <v>2533.023454757636</v>
      </c>
      <c r="G2383" s="2">
        <v>2544.028076171875</v>
      </c>
      <c r="H2383" s="3">
        <v>1271257</v>
      </c>
      <c r="I2383" s="4">
        <f t="shared" si="148"/>
        <v>-0.93</v>
      </c>
      <c r="J2383" s="2">
        <f t="shared" si="149"/>
        <v>41.44</v>
      </c>
      <c r="K2383" s="7">
        <f t="shared" si="150"/>
        <v>46143</v>
      </c>
      <c r="L2383" t="str">
        <f t="shared" si="151"/>
        <v>Q2-2026</v>
      </c>
    </row>
    <row r="2384" spans="1:12">
      <c r="A2384" s="6">
        <v>46153</v>
      </c>
      <c r="B2384" t="s">
        <v>32</v>
      </c>
      <c r="C2384" t="s">
        <v>33</v>
      </c>
      <c r="D2384" s="2">
        <v>2254.1717310173199</v>
      </c>
      <c r="E2384" s="2">
        <v>2293.7689667003269</v>
      </c>
      <c r="F2384" s="2">
        <v>2236.4518230397671</v>
      </c>
      <c r="G2384" s="2">
        <v>2283.968505859375</v>
      </c>
      <c r="H2384" s="3">
        <v>1903862</v>
      </c>
      <c r="I2384" s="4">
        <f t="shared" si="148"/>
        <v>-0.79</v>
      </c>
      <c r="J2384" s="2">
        <f t="shared" si="149"/>
        <v>9.8000000000000007</v>
      </c>
      <c r="K2384" s="7">
        <f t="shared" si="150"/>
        <v>46143</v>
      </c>
      <c r="L2384" t="str">
        <f t="shared" si="151"/>
        <v>Q2-2026</v>
      </c>
    </row>
    <row r="2385" spans="1:12">
      <c r="A2385" s="6">
        <v>46153</v>
      </c>
      <c r="B2385" t="s">
        <v>34</v>
      </c>
      <c r="C2385" t="s">
        <v>35</v>
      </c>
      <c r="D2385" s="2">
        <v>3909.811514041804</v>
      </c>
      <c r="E2385" s="2">
        <v>3915.2583132634932</v>
      </c>
      <c r="F2385" s="2">
        <v>3848.5103613311512</v>
      </c>
      <c r="G2385" s="2">
        <v>3902.0869140625</v>
      </c>
      <c r="H2385" s="3">
        <v>2027769</v>
      </c>
      <c r="I2385" s="4">
        <f t="shared" si="148"/>
        <v>-1.57</v>
      </c>
      <c r="J2385" s="2">
        <f t="shared" si="149"/>
        <v>13.17</v>
      </c>
      <c r="K2385" s="7">
        <f t="shared" si="150"/>
        <v>46143</v>
      </c>
      <c r="L2385" t="str">
        <f t="shared" si="151"/>
        <v>Q2-2026</v>
      </c>
    </row>
    <row r="2386" spans="1:12">
      <c r="A2386" s="6">
        <v>46153</v>
      </c>
      <c r="B2386" t="s">
        <v>36</v>
      </c>
      <c r="C2386" t="s">
        <v>37</v>
      </c>
      <c r="D2386" s="2">
        <v>1257.7299630241209</v>
      </c>
      <c r="E2386" s="2">
        <v>1282.0112855788941</v>
      </c>
      <c r="F2386" s="2">
        <v>1250.735357413012</v>
      </c>
      <c r="G2386" s="2">
        <v>1271.319580078125</v>
      </c>
      <c r="H2386" s="3">
        <v>7341360</v>
      </c>
      <c r="I2386" s="4">
        <f t="shared" si="148"/>
        <v>-0.56000000000000005</v>
      </c>
      <c r="J2386" s="2">
        <f t="shared" si="149"/>
        <v>10.69</v>
      </c>
      <c r="K2386" s="7">
        <f t="shared" si="150"/>
        <v>46143</v>
      </c>
      <c r="L2386" t="str">
        <f t="shared" si="151"/>
        <v>Q2-2026</v>
      </c>
    </row>
    <row r="2387" spans="1:12">
      <c r="A2387" s="6">
        <v>46154</v>
      </c>
      <c r="B2387" t="s">
        <v>8</v>
      </c>
      <c r="C2387" t="s">
        <v>9</v>
      </c>
      <c r="D2387" s="2">
        <v>1385.5935466688049</v>
      </c>
      <c r="E2387" s="2">
        <v>1387.08664316306</v>
      </c>
      <c r="F2387" s="2">
        <v>1354.03948936028</v>
      </c>
      <c r="G2387" s="2">
        <v>1357.722412109375</v>
      </c>
      <c r="H2387" s="3">
        <v>24357500</v>
      </c>
      <c r="I2387" s="4">
        <f t="shared" si="148"/>
        <v>-2.2799999999999998</v>
      </c>
      <c r="J2387" s="2">
        <f t="shared" si="149"/>
        <v>29.36</v>
      </c>
      <c r="K2387" s="7">
        <f t="shared" si="150"/>
        <v>46143</v>
      </c>
      <c r="L2387" t="str">
        <f t="shared" si="151"/>
        <v>Q2-2026</v>
      </c>
    </row>
    <row r="2388" spans="1:12">
      <c r="A2388" s="6">
        <v>46154</v>
      </c>
      <c r="B2388" t="s">
        <v>10</v>
      </c>
      <c r="C2388" t="s">
        <v>11</v>
      </c>
      <c r="D2388" s="2">
        <v>2330.4503600020762</v>
      </c>
      <c r="E2388" s="2">
        <v>2330.4503600020762</v>
      </c>
      <c r="F2388" s="2">
        <v>2240.176072372522</v>
      </c>
      <c r="G2388" s="2">
        <v>2257.151611328125</v>
      </c>
      <c r="H2388" s="3">
        <v>6347884</v>
      </c>
      <c r="I2388" s="4">
        <f t="shared" si="148"/>
        <v>-3.87</v>
      </c>
      <c r="J2388" s="2">
        <f t="shared" si="149"/>
        <v>73.3</v>
      </c>
      <c r="K2388" s="7">
        <f t="shared" si="150"/>
        <v>46143</v>
      </c>
      <c r="L2388" t="str">
        <f t="shared" si="151"/>
        <v>Q2-2026</v>
      </c>
    </row>
    <row r="2389" spans="1:12">
      <c r="A2389" s="6">
        <v>46154</v>
      </c>
      <c r="B2389" t="s">
        <v>12</v>
      </c>
      <c r="C2389" t="s">
        <v>13</v>
      </c>
      <c r="D2389" s="2">
        <v>1137.3876630949439</v>
      </c>
      <c r="E2389" s="2">
        <v>1137.3876630949439</v>
      </c>
      <c r="F2389" s="2">
        <v>1099.2137225951999</v>
      </c>
      <c r="G2389" s="2">
        <v>1116.147338867188</v>
      </c>
      <c r="H2389" s="3">
        <v>16891948</v>
      </c>
      <c r="I2389" s="4">
        <f t="shared" si="148"/>
        <v>-3.36</v>
      </c>
      <c r="J2389" s="2">
        <f t="shared" si="149"/>
        <v>21.24</v>
      </c>
      <c r="K2389" s="7">
        <f t="shared" si="150"/>
        <v>46143</v>
      </c>
      <c r="L2389" t="str">
        <f t="shared" si="151"/>
        <v>Q2-2026</v>
      </c>
    </row>
    <row r="2390" spans="1:12">
      <c r="A2390" s="6">
        <v>46154</v>
      </c>
      <c r="B2390" t="s">
        <v>14</v>
      </c>
      <c r="C2390" t="s">
        <v>15</v>
      </c>
      <c r="D2390" s="2">
        <v>744.28983053251238</v>
      </c>
      <c r="E2390" s="2">
        <v>747.33942847833782</v>
      </c>
      <c r="F2390" s="2">
        <v>735.63302160512035</v>
      </c>
      <c r="G2390" s="2">
        <v>738.23992919921875</v>
      </c>
      <c r="H2390" s="3">
        <v>43937132</v>
      </c>
      <c r="I2390" s="4">
        <f t="shared" si="148"/>
        <v>-1.1599999999999999</v>
      </c>
      <c r="J2390" s="2">
        <f t="shared" si="149"/>
        <v>9.1</v>
      </c>
      <c r="K2390" s="7">
        <f t="shared" si="150"/>
        <v>46143</v>
      </c>
      <c r="L2390" t="str">
        <f t="shared" si="151"/>
        <v>Q2-2026</v>
      </c>
    </row>
    <row r="2391" spans="1:12">
      <c r="A2391" s="6">
        <v>46154</v>
      </c>
      <c r="B2391" t="s">
        <v>16</v>
      </c>
      <c r="C2391" t="s">
        <v>17</v>
      </c>
      <c r="D2391" s="2">
        <v>1245.499852074762</v>
      </c>
      <c r="E2391" s="2">
        <v>1249.3672723222171</v>
      </c>
      <c r="F2391" s="2">
        <v>1225.9645923052949</v>
      </c>
      <c r="G2391" s="2">
        <v>1229.93115234375</v>
      </c>
      <c r="H2391" s="3">
        <v>21110708</v>
      </c>
      <c r="I2391" s="4">
        <f t="shared" si="148"/>
        <v>-1.57</v>
      </c>
      <c r="J2391" s="2">
        <f t="shared" si="149"/>
        <v>19.440000000000001</v>
      </c>
      <c r="K2391" s="7">
        <f t="shared" si="150"/>
        <v>46143</v>
      </c>
      <c r="L2391" t="str">
        <f t="shared" si="151"/>
        <v>Q2-2026</v>
      </c>
    </row>
    <row r="2392" spans="1:12">
      <c r="A2392" s="6">
        <v>46154</v>
      </c>
      <c r="B2392" t="s">
        <v>18</v>
      </c>
      <c r="C2392" t="s">
        <v>19</v>
      </c>
      <c r="D2392" s="2">
        <v>193.8856759096567</v>
      </c>
      <c r="E2392" s="2">
        <v>193.92521759793999</v>
      </c>
      <c r="F2392" s="2">
        <v>186.964718800399</v>
      </c>
      <c r="G2392" s="2">
        <v>187.4294128417969</v>
      </c>
      <c r="H2392" s="3">
        <v>27435195</v>
      </c>
      <c r="I2392" s="4">
        <f t="shared" si="148"/>
        <v>-3.57</v>
      </c>
      <c r="J2392" s="2">
        <f t="shared" si="149"/>
        <v>6.5</v>
      </c>
      <c r="K2392" s="7">
        <f t="shared" si="150"/>
        <v>46143</v>
      </c>
      <c r="L2392" t="str">
        <f t="shared" si="151"/>
        <v>Q2-2026</v>
      </c>
    </row>
    <row r="2393" spans="1:12">
      <c r="A2393" s="6">
        <v>46154</v>
      </c>
      <c r="B2393" t="s">
        <v>20</v>
      </c>
      <c r="C2393" t="s">
        <v>21</v>
      </c>
      <c r="D2393" s="2">
        <v>1171.044463081349</v>
      </c>
      <c r="E2393" s="2">
        <v>1172.0343569639199</v>
      </c>
      <c r="F2393" s="2">
        <v>1131.052726058155</v>
      </c>
      <c r="G2393" s="2">
        <v>1134.220458984375</v>
      </c>
      <c r="H2393" s="3">
        <v>3959561</v>
      </c>
      <c r="I2393" s="4">
        <f t="shared" si="148"/>
        <v>-3.42</v>
      </c>
      <c r="J2393" s="2">
        <f t="shared" si="149"/>
        <v>37.81</v>
      </c>
      <c r="K2393" s="7">
        <f t="shared" si="150"/>
        <v>46143</v>
      </c>
      <c r="L2393" t="str">
        <f t="shared" si="151"/>
        <v>Q2-2026</v>
      </c>
    </row>
    <row r="2394" spans="1:12">
      <c r="A2394" s="6">
        <v>46154</v>
      </c>
      <c r="B2394" t="s">
        <v>22</v>
      </c>
      <c r="C2394" t="s">
        <v>23</v>
      </c>
      <c r="D2394" s="2">
        <v>922.33023718185802</v>
      </c>
      <c r="E2394" s="2">
        <v>926.95185153608611</v>
      </c>
      <c r="F2394" s="2">
        <v>896.24061570984964</v>
      </c>
      <c r="G2394" s="2">
        <v>898.6756591796875</v>
      </c>
      <c r="H2394" s="3">
        <v>7174645</v>
      </c>
      <c r="I2394" s="4">
        <f t="shared" si="148"/>
        <v>-2.83</v>
      </c>
      <c r="J2394" s="2">
        <f t="shared" si="149"/>
        <v>28.28</v>
      </c>
      <c r="K2394" s="7">
        <f t="shared" si="150"/>
        <v>46143</v>
      </c>
      <c r="L2394" t="str">
        <f t="shared" si="151"/>
        <v>Q2-2026</v>
      </c>
    </row>
    <row r="2395" spans="1:12">
      <c r="A2395" s="6">
        <v>46154</v>
      </c>
      <c r="B2395" t="s">
        <v>24</v>
      </c>
      <c r="C2395" t="s">
        <v>25</v>
      </c>
      <c r="D2395" s="2">
        <v>13308.343659401809</v>
      </c>
      <c r="E2395" s="2">
        <v>13321.214397950551</v>
      </c>
      <c r="F2395" s="2">
        <v>13019.24707046078</v>
      </c>
      <c r="G2395" s="2">
        <v>13041.0283203125</v>
      </c>
      <c r="H2395" s="3">
        <v>302512</v>
      </c>
      <c r="I2395" s="4">
        <f t="shared" si="148"/>
        <v>-2.17</v>
      </c>
      <c r="J2395" s="2">
        <f t="shared" si="149"/>
        <v>280.19</v>
      </c>
      <c r="K2395" s="7">
        <f t="shared" si="150"/>
        <v>46143</v>
      </c>
      <c r="L2395" t="str">
        <f t="shared" si="151"/>
        <v>Q2-2026</v>
      </c>
    </row>
    <row r="2396" spans="1:12">
      <c r="A2396" s="6">
        <v>46154</v>
      </c>
      <c r="B2396" t="s">
        <v>26</v>
      </c>
      <c r="C2396" t="s">
        <v>27</v>
      </c>
      <c r="D2396" s="2">
        <v>341.02114623203698</v>
      </c>
      <c r="E2396" s="2">
        <v>342.85593230375002</v>
      </c>
      <c r="F2396" s="2">
        <v>333.2357222627744</v>
      </c>
      <c r="G2396" s="2">
        <v>334.0787353515625</v>
      </c>
      <c r="H2396" s="3">
        <v>5758949</v>
      </c>
      <c r="I2396" s="4">
        <f t="shared" si="148"/>
        <v>-2.2799999999999998</v>
      </c>
      <c r="J2396" s="2">
        <f t="shared" si="149"/>
        <v>8.7799999999999994</v>
      </c>
      <c r="K2396" s="7">
        <f t="shared" si="150"/>
        <v>46143</v>
      </c>
      <c r="L2396" t="str">
        <f t="shared" si="151"/>
        <v>Q2-2026</v>
      </c>
    </row>
    <row r="2397" spans="1:12">
      <c r="A2397" s="6">
        <v>46154</v>
      </c>
      <c r="B2397" t="s">
        <v>28</v>
      </c>
      <c r="C2397" t="s">
        <v>29</v>
      </c>
      <c r="D2397" s="2">
        <v>1870.0988258974519</v>
      </c>
      <c r="E2397" s="2">
        <v>1874.4873488258031</v>
      </c>
      <c r="F2397" s="2">
        <v>1835.190314480699</v>
      </c>
      <c r="G2397" s="2">
        <v>1840.875366210938</v>
      </c>
      <c r="H2397" s="3">
        <v>3263351</v>
      </c>
      <c r="I2397" s="4">
        <f t="shared" si="148"/>
        <v>-1.87</v>
      </c>
      <c r="J2397" s="2">
        <f t="shared" si="149"/>
        <v>33.61</v>
      </c>
      <c r="K2397" s="7">
        <f t="shared" si="150"/>
        <v>46143</v>
      </c>
      <c r="L2397" t="str">
        <f t="shared" si="151"/>
        <v>Q2-2026</v>
      </c>
    </row>
    <row r="2398" spans="1:12">
      <c r="A2398" s="6">
        <v>46154</v>
      </c>
      <c r="B2398" t="s">
        <v>30</v>
      </c>
      <c r="C2398" t="s">
        <v>31</v>
      </c>
      <c r="D2398" s="2">
        <v>2524.299093791526</v>
      </c>
      <c r="E2398" s="2">
        <v>2533.7173805918151</v>
      </c>
      <c r="F2398" s="2">
        <v>2478.496526391938</v>
      </c>
      <c r="G2398" s="2">
        <v>2483.94921875</v>
      </c>
      <c r="H2398" s="3">
        <v>628802</v>
      </c>
      <c r="I2398" s="4">
        <f t="shared" si="148"/>
        <v>-1.81</v>
      </c>
      <c r="J2398" s="2">
        <f t="shared" si="149"/>
        <v>49.77</v>
      </c>
      <c r="K2398" s="7">
        <f t="shared" si="150"/>
        <v>46143</v>
      </c>
      <c r="L2398" t="str">
        <f t="shared" si="151"/>
        <v>Q2-2026</v>
      </c>
    </row>
    <row r="2399" spans="1:12">
      <c r="A2399" s="6">
        <v>46154</v>
      </c>
      <c r="B2399" t="s">
        <v>32</v>
      </c>
      <c r="C2399" t="s">
        <v>33</v>
      </c>
      <c r="D2399" s="2">
        <v>2262.2890704701581</v>
      </c>
      <c r="E2399" s="2">
        <v>2283.770522059433</v>
      </c>
      <c r="F2399" s="2">
        <v>2233.2840475795761</v>
      </c>
      <c r="G2399" s="2">
        <v>2239.2236328125</v>
      </c>
      <c r="H2399" s="3">
        <v>983506</v>
      </c>
      <c r="I2399" s="4">
        <f t="shared" si="148"/>
        <v>-1.28</v>
      </c>
      <c r="J2399" s="2">
        <f t="shared" si="149"/>
        <v>44.55</v>
      </c>
      <c r="K2399" s="7">
        <f t="shared" si="150"/>
        <v>46143</v>
      </c>
      <c r="L2399" t="str">
        <f t="shared" si="151"/>
        <v>Q2-2026</v>
      </c>
    </row>
    <row r="2400" spans="1:12">
      <c r="A2400" s="6">
        <v>46154</v>
      </c>
      <c r="B2400" t="s">
        <v>34</v>
      </c>
      <c r="C2400" t="s">
        <v>35</v>
      </c>
      <c r="D2400" s="2">
        <v>3887.1330702564492</v>
      </c>
      <c r="E2400" s="2">
        <v>3901.888847613202</v>
      </c>
      <c r="F2400" s="2">
        <v>3809.7884255756312</v>
      </c>
      <c r="G2400" s="2">
        <v>3819.196533203125</v>
      </c>
      <c r="H2400" s="3">
        <v>2255075</v>
      </c>
      <c r="I2400" s="4">
        <f t="shared" si="148"/>
        <v>-1.99</v>
      </c>
      <c r="J2400" s="2">
        <f t="shared" si="149"/>
        <v>82.69</v>
      </c>
      <c r="K2400" s="7">
        <f t="shared" si="150"/>
        <v>46143</v>
      </c>
      <c r="L2400" t="str">
        <f t="shared" si="151"/>
        <v>Q2-2026</v>
      </c>
    </row>
    <row r="2401" spans="1:12">
      <c r="A2401" s="6">
        <v>46154</v>
      </c>
      <c r="B2401" t="s">
        <v>36</v>
      </c>
      <c r="C2401" t="s">
        <v>37</v>
      </c>
      <c r="D2401" s="2">
        <v>1269.421017563825</v>
      </c>
      <c r="E2401" s="2">
        <v>1273.018218904886</v>
      </c>
      <c r="F2401" s="2">
        <v>1255.9314210526661</v>
      </c>
      <c r="G2401" s="2">
        <v>1259.12890625</v>
      </c>
      <c r="H2401" s="3">
        <v>5727828</v>
      </c>
      <c r="I2401" s="4">
        <f t="shared" si="148"/>
        <v>-1.06</v>
      </c>
      <c r="J2401" s="2">
        <f t="shared" si="149"/>
        <v>13.89</v>
      </c>
      <c r="K2401" s="7">
        <f t="shared" si="150"/>
        <v>46143</v>
      </c>
      <c r="L2401" t="str">
        <f t="shared" si="151"/>
        <v>Q2-2026</v>
      </c>
    </row>
    <row r="2402" spans="1:12">
      <c r="A2402" s="6">
        <v>46155</v>
      </c>
      <c r="B2402" t="s">
        <v>8</v>
      </c>
      <c r="C2402" t="s">
        <v>9</v>
      </c>
      <c r="D2402" s="2">
        <v>1355.134396328662</v>
      </c>
      <c r="E2402" s="2">
        <v>1366.0837705701031</v>
      </c>
      <c r="F2402" s="2">
        <v>1346.175817403848</v>
      </c>
      <c r="G2402" s="2">
        <v>1352.54638671875</v>
      </c>
      <c r="H2402" s="3">
        <v>13797989</v>
      </c>
      <c r="I2402" s="4">
        <f t="shared" si="148"/>
        <v>-0.66</v>
      </c>
      <c r="J2402" s="2">
        <f t="shared" si="149"/>
        <v>13.54</v>
      </c>
      <c r="K2402" s="7">
        <f t="shared" si="150"/>
        <v>46143</v>
      </c>
      <c r="L2402" t="str">
        <f t="shared" si="151"/>
        <v>Q2-2026</v>
      </c>
    </row>
    <row r="2403" spans="1:12">
      <c r="A2403" s="6">
        <v>46155</v>
      </c>
      <c r="B2403" t="s">
        <v>10</v>
      </c>
      <c r="C2403" t="s">
        <v>11</v>
      </c>
      <c r="D2403" s="2">
        <v>2262.744428232616</v>
      </c>
      <c r="E2403" s="2">
        <v>2265.8843552424919</v>
      </c>
      <c r="F2403" s="2">
        <v>2226.438468195925</v>
      </c>
      <c r="G2403" s="2">
        <v>2230.167236328125</v>
      </c>
      <c r="H2403" s="3">
        <v>3171843</v>
      </c>
      <c r="I2403" s="4">
        <f t="shared" si="148"/>
        <v>-1.6</v>
      </c>
      <c r="J2403" s="2">
        <f t="shared" si="149"/>
        <v>35.72</v>
      </c>
      <c r="K2403" s="7">
        <f t="shared" si="150"/>
        <v>46143</v>
      </c>
      <c r="L2403" t="str">
        <f t="shared" si="151"/>
        <v>Q2-2026</v>
      </c>
    </row>
    <row r="2404" spans="1:12">
      <c r="A2404" s="6">
        <v>46155</v>
      </c>
      <c r="B2404" t="s">
        <v>12</v>
      </c>
      <c r="C2404" t="s">
        <v>13</v>
      </c>
      <c r="D2404" s="2">
        <v>1112.525579077261</v>
      </c>
      <c r="E2404" s="2">
        <v>1118.398492694932</v>
      </c>
      <c r="F2404" s="2">
        <v>1097.256027568262</v>
      </c>
      <c r="G2404" s="2">
        <v>1099.3115234375</v>
      </c>
      <c r="H2404" s="3">
        <v>6664111</v>
      </c>
      <c r="I2404" s="4">
        <f t="shared" si="148"/>
        <v>-1.37</v>
      </c>
      <c r="J2404" s="2">
        <f t="shared" si="149"/>
        <v>19.09</v>
      </c>
      <c r="K2404" s="7">
        <f t="shared" si="150"/>
        <v>46143</v>
      </c>
      <c r="L2404" t="str">
        <f t="shared" si="151"/>
        <v>Q2-2026</v>
      </c>
    </row>
    <row r="2405" spans="1:12">
      <c r="A2405" s="6">
        <v>46155</v>
      </c>
      <c r="B2405" t="s">
        <v>14</v>
      </c>
      <c r="C2405" t="s">
        <v>15</v>
      </c>
      <c r="D2405" s="2">
        <v>739.76472281846941</v>
      </c>
      <c r="E2405" s="2">
        <v>747.58538581945061</v>
      </c>
      <c r="F2405" s="2">
        <v>735.19035576824592</v>
      </c>
      <c r="G2405" s="2">
        <v>737.40374755859375</v>
      </c>
      <c r="H2405" s="3">
        <v>28960919</v>
      </c>
      <c r="I2405" s="4">
        <f t="shared" si="148"/>
        <v>-0.62</v>
      </c>
      <c r="J2405" s="2">
        <f t="shared" si="149"/>
        <v>10.18</v>
      </c>
      <c r="K2405" s="7">
        <f t="shared" si="150"/>
        <v>46143</v>
      </c>
      <c r="L2405" t="str">
        <f t="shared" si="151"/>
        <v>Q2-2026</v>
      </c>
    </row>
    <row r="2406" spans="1:12">
      <c r="A2406" s="6">
        <v>46155</v>
      </c>
      <c r="B2406" t="s">
        <v>16</v>
      </c>
      <c r="C2406" t="s">
        <v>17</v>
      </c>
      <c r="D2406" s="2">
        <v>1227.9478864287821</v>
      </c>
      <c r="E2406" s="2">
        <v>1238.756665817876</v>
      </c>
      <c r="F2406" s="2">
        <v>1216.9405853557951</v>
      </c>
      <c r="G2406" s="2">
        <v>1225.270385742188</v>
      </c>
      <c r="H2406" s="3">
        <v>19490295</v>
      </c>
      <c r="I2406" s="4">
        <f t="shared" si="148"/>
        <v>-0.9</v>
      </c>
      <c r="J2406" s="2">
        <f t="shared" si="149"/>
        <v>13.49</v>
      </c>
      <c r="K2406" s="7">
        <f t="shared" si="150"/>
        <v>46143</v>
      </c>
      <c r="L2406" t="str">
        <f t="shared" si="151"/>
        <v>Q2-2026</v>
      </c>
    </row>
    <row r="2407" spans="1:12">
      <c r="A2407" s="6">
        <v>46155</v>
      </c>
      <c r="B2407" t="s">
        <v>18</v>
      </c>
      <c r="C2407" t="s">
        <v>19</v>
      </c>
      <c r="D2407" s="2">
        <v>188.5169852068945</v>
      </c>
      <c r="E2407" s="2">
        <v>189.13987618247521</v>
      </c>
      <c r="F2407" s="2">
        <v>185.19492514794621</v>
      </c>
      <c r="G2407" s="2">
        <v>185.67939758300781</v>
      </c>
      <c r="H2407" s="3">
        <v>17242394</v>
      </c>
      <c r="I2407" s="4">
        <f t="shared" si="148"/>
        <v>-1.76</v>
      </c>
      <c r="J2407" s="2">
        <f t="shared" si="149"/>
        <v>3.46</v>
      </c>
      <c r="K2407" s="7">
        <f t="shared" si="150"/>
        <v>46143</v>
      </c>
      <c r="L2407" t="str">
        <f t="shared" si="151"/>
        <v>Q2-2026</v>
      </c>
    </row>
    <row r="2408" spans="1:12">
      <c r="A2408" s="6">
        <v>46155</v>
      </c>
      <c r="B2408" t="s">
        <v>20</v>
      </c>
      <c r="C2408" t="s">
        <v>21</v>
      </c>
      <c r="D2408" s="2">
        <v>1134.7154964657791</v>
      </c>
      <c r="E2408" s="2">
        <v>1142.9315438446911</v>
      </c>
      <c r="F2408" s="2">
        <v>1125.608399517469</v>
      </c>
      <c r="G2408" s="2">
        <v>1131.646728515625</v>
      </c>
      <c r="H2408" s="3">
        <v>2635034</v>
      </c>
      <c r="I2408" s="4">
        <f t="shared" si="148"/>
        <v>-0.8</v>
      </c>
      <c r="J2408" s="2">
        <f t="shared" si="149"/>
        <v>11.28</v>
      </c>
      <c r="K2408" s="7">
        <f t="shared" si="150"/>
        <v>46143</v>
      </c>
      <c r="L2408" t="str">
        <f t="shared" si="151"/>
        <v>Q2-2026</v>
      </c>
    </row>
    <row r="2409" spans="1:12">
      <c r="A2409" s="6">
        <v>46155</v>
      </c>
      <c r="B2409" t="s">
        <v>22</v>
      </c>
      <c r="C2409" t="s">
        <v>23</v>
      </c>
      <c r="D2409" s="2">
        <v>896.48910003335948</v>
      </c>
      <c r="E2409" s="2">
        <v>901.85613221420317</v>
      </c>
      <c r="F2409" s="2">
        <v>884.61209816099904</v>
      </c>
      <c r="G2409" s="2">
        <v>890.67486572265625</v>
      </c>
      <c r="H2409" s="3">
        <v>7422952</v>
      </c>
      <c r="I2409" s="4">
        <f t="shared" si="148"/>
        <v>-1.32</v>
      </c>
      <c r="J2409" s="2">
        <f t="shared" si="149"/>
        <v>11.18</v>
      </c>
      <c r="K2409" s="7">
        <f t="shared" si="150"/>
        <v>46143</v>
      </c>
      <c r="L2409" t="str">
        <f t="shared" si="151"/>
        <v>Q2-2026</v>
      </c>
    </row>
    <row r="2410" spans="1:12">
      <c r="A2410" s="6">
        <v>46155</v>
      </c>
      <c r="B2410" t="s">
        <v>24</v>
      </c>
      <c r="C2410" t="s">
        <v>25</v>
      </c>
      <c r="D2410" s="2">
        <v>13055.879618753819</v>
      </c>
      <c r="E2410" s="2">
        <v>13152.9051895916</v>
      </c>
      <c r="F2410" s="2">
        <v>12856.878192851829</v>
      </c>
      <c r="G2410" s="2">
        <v>12972.71484375</v>
      </c>
      <c r="H2410" s="3">
        <v>307027</v>
      </c>
      <c r="I2410" s="4">
        <f t="shared" si="148"/>
        <v>-1.52</v>
      </c>
      <c r="J2410" s="2">
        <f t="shared" si="149"/>
        <v>180.19</v>
      </c>
      <c r="K2410" s="7">
        <f t="shared" si="150"/>
        <v>46143</v>
      </c>
      <c r="L2410" t="str">
        <f t="shared" si="151"/>
        <v>Q2-2026</v>
      </c>
    </row>
    <row r="2411" spans="1:12">
      <c r="A2411" s="6">
        <v>46155</v>
      </c>
      <c r="B2411" t="s">
        <v>26</v>
      </c>
      <c r="C2411" t="s">
        <v>27</v>
      </c>
      <c r="D2411" s="2">
        <v>332.24394927984952</v>
      </c>
      <c r="E2411" s="2">
        <v>339.58306330019212</v>
      </c>
      <c r="F2411" s="2">
        <v>331.25217629692457</v>
      </c>
      <c r="G2411" s="2">
        <v>334.0787353515625</v>
      </c>
      <c r="H2411" s="3">
        <v>5692558</v>
      </c>
      <c r="I2411" s="4">
        <f t="shared" si="148"/>
        <v>-0.3</v>
      </c>
      <c r="J2411" s="2">
        <f t="shared" si="149"/>
        <v>5.5</v>
      </c>
      <c r="K2411" s="7">
        <f t="shared" si="150"/>
        <v>46143</v>
      </c>
      <c r="L2411" t="str">
        <f t="shared" si="151"/>
        <v>Q2-2026</v>
      </c>
    </row>
    <row r="2412" spans="1:12">
      <c r="A2412" s="6">
        <v>46155</v>
      </c>
      <c r="B2412" t="s">
        <v>28</v>
      </c>
      <c r="C2412" t="s">
        <v>29</v>
      </c>
      <c r="D2412" s="2">
        <v>1840.875422853607</v>
      </c>
      <c r="E2412" s="2">
        <v>1855.1380923717959</v>
      </c>
      <c r="F2412" s="2">
        <v>1815.2426495250911</v>
      </c>
      <c r="G2412" s="2">
        <v>1820.030151367188</v>
      </c>
      <c r="H2412" s="3">
        <v>1972365</v>
      </c>
      <c r="I2412" s="4">
        <f t="shared" si="148"/>
        <v>-1.39</v>
      </c>
      <c r="J2412" s="2">
        <f t="shared" si="149"/>
        <v>35.11</v>
      </c>
      <c r="K2412" s="7">
        <f t="shared" si="150"/>
        <v>46143</v>
      </c>
      <c r="L2412" t="str">
        <f t="shared" si="151"/>
        <v>Q2-2026</v>
      </c>
    </row>
    <row r="2413" spans="1:12">
      <c r="A2413" s="6">
        <v>46155</v>
      </c>
      <c r="B2413" t="s">
        <v>30</v>
      </c>
      <c r="C2413" t="s">
        <v>31</v>
      </c>
      <c r="D2413" s="2">
        <v>2532.032154072725</v>
      </c>
      <c r="E2413" s="2">
        <v>2619.671697984732</v>
      </c>
      <c r="F2413" s="2">
        <v>2532.032154072725</v>
      </c>
      <c r="G2413" s="2">
        <v>2595.085205078125</v>
      </c>
      <c r="H2413" s="3">
        <v>3515018</v>
      </c>
      <c r="I2413" s="4">
        <f t="shared" si="148"/>
        <v>0</v>
      </c>
      <c r="J2413" s="2">
        <f t="shared" si="149"/>
        <v>24.59</v>
      </c>
      <c r="K2413" s="7">
        <f t="shared" si="150"/>
        <v>46143</v>
      </c>
      <c r="L2413" t="str">
        <f t="shared" si="151"/>
        <v>Q2-2026</v>
      </c>
    </row>
    <row r="2414" spans="1:12">
      <c r="A2414" s="6">
        <v>46155</v>
      </c>
      <c r="B2414" t="s">
        <v>32</v>
      </c>
      <c r="C2414" t="s">
        <v>33</v>
      </c>
      <c r="D2414" s="2">
        <v>2242.1933256026982</v>
      </c>
      <c r="E2414" s="2">
        <v>2272.6832434440489</v>
      </c>
      <c r="F2414" s="2">
        <v>2227.344363181488</v>
      </c>
      <c r="G2414" s="2">
        <v>2244.47021484375</v>
      </c>
      <c r="H2414" s="3">
        <v>1308559</v>
      </c>
      <c r="I2414" s="4">
        <f t="shared" si="148"/>
        <v>-0.66</v>
      </c>
      <c r="J2414" s="2">
        <f t="shared" si="149"/>
        <v>28.21</v>
      </c>
      <c r="K2414" s="7">
        <f t="shared" si="150"/>
        <v>46143</v>
      </c>
      <c r="L2414" t="str">
        <f t="shared" si="151"/>
        <v>Q2-2026</v>
      </c>
    </row>
    <row r="2415" spans="1:12">
      <c r="A2415" s="6">
        <v>46155</v>
      </c>
      <c r="B2415" t="s">
        <v>34</v>
      </c>
      <c r="C2415" t="s">
        <v>35</v>
      </c>
      <c r="D2415" s="2">
        <v>3810.778866691976</v>
      </c>
      <c r="E2415" s="2">
        <v>3914.7632172643921</v>
      </c>
      <c r="F2415" s="2">
        <v>3810.778866691976</v>
      </c>
      <c r="G2415" s="2">
        <v>3877.923095703125</v>
      </c>
      <c r="H2415" s="3">
        <v>2486330</v>
      </c>
      <c r="I2415" s="4">
        <f t="shared" si="148"/>
        <v>0</v>
      </c>
      <c r="J2415" s="2">
        <f t="shared" si="149"/>
        <v>36.840000000000003</v>
      </c>
      <c r="K2415" s="7">
        <f t="shared" si="150"/>
        <v>46143</v>
      </c>
      <c r="L2415" t="str">
        <f t="shared" si="151"/>
        <v>Q2-2026</v>
      </c>
    </row>
    <row r="2416" spans="1:12">
      <c r="A2416" s="6">
        <v>46155</v>
      </c>
      <c r="B2416" t="s">
        <v>36</v>
      </c>
      <c r="C2416" t="s">
        <v>37</v>
      </c>
      <c r="D2416" s="2">
        <v>1255.1320159570739</v>
      </c>
      <c r="E2416" s="2">
        <v>1274.317293485441</v>
      </c>
      <c r="F2416" s="2">
        <v>1246.538667573858</v>
      </c>
      <c r="G2416" s="2">
        <v>1254.732299804688</v>
      </c>
      <c r="H2416" s="3">
        <v>6045406</v>
      </c>
      <c r="I2416" s="4">
        <f t="shared" si="148"/>
        <v>-0.68</v>
      </c>
      <c r="J2416" s="2">
        <f t="shared" si="149"/>
        <v>19.579999999999998</v>
      </c>
      <c r="K2416" s="7">
        <f t="shared" si="150"/>
        <v>46143</v>
      </c>
      <c r="L2416" t="str">
        <f t="shared" si="151"/>
        <v>Q2-2026</v>
      </c>
    </row>
    <row r="2417" spans="1:12">
      <c r="A2417" s="6">
        <v>46156</v>
      </c>
      <c r="B2417" t="s">
        <v>8</v>
      </c>
      <c r="C2417" t="s">
        <v>9</v>
      </c>
      <c r="D2417" s="2">
        <v>1358.916847637553</v>
      </c>
      <c r="E2417" s="2">
        <v>1371.6579863902989</v>
      </c>
      <c r="F2417" s="2">
        <v>1352.1482164008171</v>
      </c>
      <c r="G2417" s="2">
        <v>1355.532592773438</v>
      </c>
      <c r="H2417" s="3">
        <v>17303059</v>
      </c>
      <c r="I2417" s="4">
        <f t="shared" si="148"/>
        <v>-0.5</v>
      </c>
      <c r="J2417" s="2">
        <f t="shared" si="149"/>
        <v>16.13</v>
      </c>
      <c r="K2417" s="7">
        <f t="shared" si="150"/>
        <v>46143</v>
      </c>
      <c r="L2417" t="str">
        <f t="shared" si="151"/>
        <v>Q2-2026</v>
      </c>
    </row>
    <row r="2418" spans="1:12">
      <c r="A2418" s="6">
        <v>46156</v>
      </c>
      <c r="B2418" t="s">
        <v>10</v>
      </c>
      <c r="C2418" t="s">
        <v>11</v>
      </c>
      <c r="D2418" s="2">
        <v>2222.5137201378839</v>
      </c>
      <c r="E2418" s="2">
        <v>2222.5137201378839</v>
      </c>
      <c r="F2418" s="2">
        <v>2165.0128278454181</v>
      </c>
      <c r="G2418" s="2">
        <v>2203.8701171875</v>
      </c>
      <c r="H2418" s="3">
        <v>5633313</v>
      </c>
      <c r="I2418" s="4">
        <f t="shared" si="148"/>
        <v>-2.59</v>
      </c>
      <c r="J2418" s="2">
        <f t="shared" si="149"/>
        <v>18.64</v>
      </c>
      <c r="K2418" s="7">
        <f t="shared" si="150"/>
        <v>46143</v>
      </c>
      <c r="L2418" t="str">
        <f t="shared" si="151"/>
        <v>Q2-2026</v>
      </c>
    </row>
    <row r="2419" spans="1:12">
      <c r="A2419" s="6">
        <v>46156</v>
      </c>
      <c r="B2419" t="s">
        <v>12</v>
      </c>
      <c r="C2419" t="s">
        <v>13</v>
      </c>
      <c r="D2419" s="2">
        <v>1096.0815207310741</v>
      </c>
      <c r="E2419" s="2">
        <v>1098.1370166529939</v>
      </c>
      <c r="F2419" s="2">
        <v>1065.933848927119</v>
      </c>
      <c r="G2419" s="2">
        <v>1071.806762695312</v>
      </c>
      <c r="H2419" s="3">
        <v>16914842</v>
      </c>
      <c r="I2419" s="4">
        <f t="shared" si="148"/>
        <v>-2.75</v>
      </c>
      <c r="J2419" s="2">
        <f t="shared" si="149"/>
        <v>26.33</v>
      </c>
      <c r="K2419" s="7">
        <f t="shared" si="150"/>
        <v>46143</v>
      </c>
      <c r="L2419" t="str">
        <f t="shared" si="151"/>
        <v>Q2-2026</v>
      </c>
    </row>
    <row r="2420" spans="1:12">
      <c r="A2420" s="6">
        <v>46156</v>
      </c>
      <c r="B2420" t="s">
        <v>14</v>
      </c>
      <c r="C2420" t="s">
        <v>15</v>
      </c>
      <c r="D2420" s="2">
        <v>738.78100097023332</v>
      </c>
      <c r="E2420" s="2">
        <v>765.63680963623142</v>
      </c>
      <c r="F2420" s="2">
        <v>734.84608219009897</v>
      </c>
      <c r="G2420" s="2">
        <v>757.0291748046875</v>
      </c>
      <c r="H2420" s="3">
        <v>50992358</v>
      </c>
      <c r="I2420" s="4">
        <f t="shared" si="148"/>
        <v>-0.53</v>
      </c>
      <c r="J2420" s="2">
        <f t="shared" si="149"/>
        <v>8.61</v>
      </c>
      <c r="K2420" s="7">
        <f t="shared" si="150"/>
        <v>46143</v>
      </c>
      <c r="L2420" t="str">
        <f t="shared" si="151"/>
        <v>Q2-2026</v>
      </c>
    </row>
    <row r="2421" spans="1:12">
      <c r="A2421" s="6">
        <v>46156</v>
      </c>
      <c r="B2421" t="s">
        <v>16</v>
      </c>
      <c r="C2421" t="s">
        <v>17</v>
      </c>
      <c r="D2421" s="2">
        <v>1228.7410341788379</v>
      </c>
      <c r="E2421" s="2">
        <v>1246.1938730369459</v>
      </c>
      <c r="F2421" s="2">
        <v>1225.6669745529441</v>
      </c>
      <c r="G2421" s="2">
        <v>1235.583374023438</v>
      </c>
      <c r="H2421" s="3">
        <v>16535600</v>
      </c>
      <c r="I2421" s="4">
        <f t="shared" si="148"/>
        <v>-0.25</v>
      </c>
      <c r="J2421" s="2">
        <f t="shared" si="149"/>
        <v>10.61</v>
      </c>
      <c r="K2421" s="7">
        <f t="shared" si="150"/>
        <v>46143</v>
      </c>
      <c r="L2421" t="str">
        <f t="shared" si="151"/>
        <v>Q2-2026</v>
      </c>
    </row>
    <row r="2422" spans="1:12">
      <c r="A2422" s="6">
        <v>46156</v>
      </c>
      <c r="B2422" t="s">
        <v>18</v>
      </c>
      <c r="C2422" t="s">
        <v>19</v>
      </c>
      <c r="D2422" s="2">
        <v>186.12431340514979</v>
      </c>
      <c r="E2422" s="2">
        <v>188.032512935863</v>
      </c>
      <c r="F2422" s="2">
        <v>184.8884281899762</v>
      </c>
      <c r="G2422" s="2">
        <v>186.17375183105469</v>
      </c>
      <c r="H2422" s="3">
        <v>18280387</v>
      </c>
      <c r="I2422" s="4">
        <f t="shared" si="148"/>
        <v>-0.66</v>
      </c>
      <c r="J2422" s="2">
        <f t="shared" si="149"/>
        <v>1.86</v>
      </c>
      <c r="K2422" s="7">
        <f t="shared" si="150"/>
        <v>46143</v>
      </c>
      <c r="L2422" t="str">
        <f t="shared" si="151"/>
        <v>Q2-2026</v>
      </c>
    </row>
    <row r="2423" spans="1:12">
      <c r="A2423" s="6">
        <v>46156</v>
      </c>
      <c r="B2423" t="s">
        <v>20</v>
      </c>
      <c r="C2423" t="s">
        <v>21</v>
      </c>
      <c r="D2423" s="2">
        <v>1127.489155616624</v>
      </c>
      <c r="E2423" s="2">
        <v>1131.646661674929</v>
      </c>
      <c r="F2423" s="2">
        <v>1092.248956834042</v>
      </c>
      <c r="G2423" s="2">
        <v>1112.640747070312</v>
      </c>
      <c r="H2423" s="3">
        <v>5837032</v>
      </c>
      <c r="I2423" s="4">
        <f t="shared" si="148"/>
        <v>-3.13</v>
      </c>
      <c r="J2423" s="2">
        <f t="shared" si="149"/>
        <v>19.010000000000002</v>
      </c>
      <c r="K2423" s="7">
        <f t="shared" si="150"/>
        <v>46143</v>
      </c>
      <c r="L2423" t="str">
        <f t="shared" si="151"/>
        <v>Q2-2026</v>
      </c>
    </row>
    <row r="2424" spans="1:12">
      <c r="A2424" s="6">
        <v>46156</v>
      </c>
      <c r="B2424" t="s">
        <v>22</v>
      </c>
      <c r="C2424" t="s">
        <v>23</v>
      </c>
      <c r="D2424" s="2">
        <v>897.38360186375758</v>
      </c>
      <c r="E2424" s="2">
        <v>909.40965057365611</v>
      </c>
      <c r="F2424" s="2">
        <v>883.56850203276531</v>
      </c>
      <c r="G2424" s="2">
        <v>906.57708740234375</v>
      </c>
      <c r="H2424" s="3">
        <v>6815238</v>
      </c>
      <c r="I2424" s="4">
        <f t="shared" si="148"/>
        <v>-1.54</v>
      </c>
      <c r="J2424" s="2">
        <f t="shared" si="149"/>
        <v>2.83</v>
      </c>
      <c r="K2424" s="7">
        <f t="shared" si="150"/>
        <v>46143</v>
      </c>
      <c r="L2424" t="str">
        <f t="shared" si="151"/>
        <v>Q2-2026</v>
      </c>
    </row>
    <row r="2425" spans="1:12">
      <c r="A2425" s="6">
        <v>46156</v>
      </c>
      <c r="B2425" t="s">
        <v>24</v>
      </c>
      <c r="C2425" t="s">
        <v>25</v>
      </c>
      <c r="D2425" s="2">
        <v>13102.41220139221</v>
      </c>
      <c r="E2425" s="2">
        <v>13102.41220139221</v>
      </c>
      <c r="F2425" s="2">
        <v>12797.47469511831</v>
      </c>
      <c r="G2425" s="2">
        <v>12944.9931640625</v>
      </c>
      <c r="H2425" s="3">
        <v>286648</v>
      </c>
      <c r="I2425" s="4">
        <f t="shared" si="148"/>
        <v>-2.33</v>
      </c>
      <c r="J2425" s="2">
        <f t="shared" si="149"/>
        <v>157.41999999999999</v>
      </c>
      <c r="K2425" s="7">
        <f t="shared" si="150"/>
        <v>46143</v>
      </c>
      <c r="L2425" t="str">
        <f t="shared" si="151"/>
        <v>Q2-2026</v>
      </c>
    </row>
    <row r="2426" spans="1:12">
      <c r="A2426" s="6">
        <v>46156</v>
      </c>
      <c r="B2426" t="s">
        <v>26</v>
      </c>
      <c r="C2426" t="s">
        <v>27</v>
      </c>
      <c r="D2426" s="2">
        <v>337.25236640866171</v>
      </c>
      <c r="E2426" s="2">
        <v>337.79785966982593</v>
      </c>
      <c r="F2426" s="2">
        <v>330.90502582912183</v>
      </c>
      <c r="G2426" s="2">
        <v>335.96307373046881</v>
      </c>
      <c r="H2426" s="3">
        <v>7975089</v>
      </c>
      <c r="I2426" s="4">
        <f t="shared" si="148"/>
        <v>-1.88</v>
      </c>
      <c r="J2426" s="2">
        <f t="shared" si="149"/>
        <v>1.83</v>
      </c>
      <c r="K2426" s="7">
        <f t="shared" si="150"/>
        <v>46143</v>
      </c>
      <c r="L2426" t="str">
        <f t="shared" si="151"/>
        <v>Q2-2026</v>
      </c>
    </row>
    <row r="2427" spans="1:12">
      <c r="A2427" s="6">
        <v>46156</v>
      </c>
      <c r="B2427" t="s">
        <v>28</v>
      </c>
      <c r="C2427" t="s">
        <v>29</v>
      </c>
      <c r="D2427" s="2">
        <v>1847.1589150836901</v>
      </c>
      <c r="E2427" s="2">
        <v>1862.6183984442721</v>
      </c>
      <c r="F2427" s="2">
        <v>1824.9171580644279</v>
      </c>
      <c r="G2427" s="2">
        <v>1858.32958984375</v>
      </c>
      <c r="H2427" s="3">
        <v>2429220</v>
      </c>
      <c r="I2427" s="4">
        <f t="shared" si="148"/>
        <v>-1.2</v>
      </c>
      <c r="J2427" s="2">
        <f t="shared" si="149"/>
        <v>4.29</v>
      </c>
      <c r="K2427" s="7">
        <f t="shared" si="150"/>
        <v>46143</v>
      </c>
      <c r="L2427" t="str">
        <f t="shared" si="151"/>
        <v>Q2-2026</v>
      </c>
    </row>
    <row r="2428" spans="1:12">
      <c r="A2428" s="6">
        <v>46156</v>
      </c>
      <c r="B2428" t="s">
        <v>30</v>
      </c>
      <c r="C2428" t="s">
        <v>31</v>
      </c>
      <c r="D2428" s="2">
        <v>2597.4644791770538</v>
      </c>
      <c r="E2428" s="2">
        <v>2642.7713493560891</v>
      </c>
      <c r="F2428" s="2">
        <v>2587.5504926153089</v>
      </c>
      <c r="G2428" s="2">
        <v>2599.6455078125</v>
      </c>
      <c r="H2428" s="3">
        <v>1040916</v>
      </c>
      <c r="I2428" s="4">
        <f t="shared" si="148"/>
        <v>-0.38</v>
      </c>
      <c r="J2428" s="2">
        <f t="shared" si="149"/>
        <v>43.13</v>
      </c>
      <c r="K2428" s="7">
        <f t="shared" si="150"/>
        <v>46143</v>
      </c>
      <c r="L2428" t="str">
        <f t="shared" si="151"/>
        <v>Q2-2026</v>
      </c>
    </row>
    <row r="2429" spans="1:12">
      <c r="A2429" s="6">
        <v>46156</v>
      </c>
      <c r="B2429" t="s">
        <v>32</v>
      </c>
      <c r="C2429" t="s">
        <v>33</v>
      </c>
      <c r="D2429" s="2">
        <v>2245.1630860930391</v>
      </c>
      <c r="E2429" s="2">
        <v>2262.8827509902421</v>
      </c>
      <c r="F2429" s="2">
        <v>2222.394677371637</v>
      </c>
      <c r="G2429" s="2">
        <v>2226.057373046875</v>
      </c>
      <c r="H2429" s="3">
        <v>1380764</v>
      </c>
      <c r="I2429" s="4">
        <f t="shared" si="148"/>
        <v>-1.01</v>
      </c>
      <c r="J2429" s="2">
        <f t="shared" si="149"/>
        <v>36.83</v>
      </c>
      <c r="K2429" s="7">
        <f t="shared" si="150"/>
        <v>46143</v>
      </c>
      <c r="L2429" t="str">
        <f t="shared" si="151"/>
        <v>Q2-2026</v>
      </c>
    </row>
    <row r="2430" spans="1:12">
      <c r="A2430" s="6">
        <v>46156</v>
      </c>
      <c r="B2430" t="s">
        <v>34</v>
      </c>
      <c r="C2430" t="s">
        <v>35</v>
      </c>
      <c r="D2430" s="2">
        <v>3903.8695322232302</v>
      </c>
      <c r="E2430" s="2">
        <v>3949.4245800370982</v>
      </c>
      <c r="F2430" s="2">
        <v>3887.0339710746271</v>
      </c>
      <c r="G2430" s="2">
        <v>3902.284912109375</v>
      </c>
      <c r="H2430" s="3">
        <v>2982228</v>
      </c>
      <c r="I2430" s="4">
        <f t="shared" si="148"/>
        <v>-0.43</v>
      </c>
      <c r="J2430" s="2">
        <f t="shared" si="149"/>
        <v>47.14</v>
      </c>
      <c r="K2430" s="7">
        <f t="shared" si="150"/>
        <v>46143</v>
      </c>
      <c r="L2430" t="str">
        <f t="shared" si="151"/>
        <v>Q2-2026</v>
      </c>
    </row>
    <row r="2431" spans="1:12">
      <c r="A2431" s="6">
        <v>46156</v>
      </c>
      <c r="B2431" t="s">
        <v>36</v>
      </c>
      <c r="C2431" t="s">
        <v>37</v>
      </c>
      <c r="D2431" s="2">
        <v>1255.631637507536</v>
      </c>
      <c r="E2431" s="2">
        <v>1268.0221064416951</v>
      </c>
      <c r="F2431" s="2">
        <v>1234.847739208659</v>
      </c>
      <c r="G2431" s="2">
        <v>1253.633178710938</v>
      </c>
      <c r="H2431" s="3">
        <v>5822618</v>
      </c>
      <c r="I2431" s="4">
        <f t="shared" si="148"/>
        <v>-1.66</v>
      </c>
      <c r="J2431" s="2">
        <f t="shared" si="149"/>
        <v>14.39</v>
      </c>
      <c r="K2431" s="7">
        <f t="shared" si="150"/>
        <v>46143</v>
      </c>
      <c r="L2431" t="str">
        <f t="shared" si="151"/>
        <v>Q2-2026</v>
      </c>
    </row>
    <row r="2432" spans="1:12">
      <c r="A2432" s="6">
        <v>46157</v>
      </c>
      <c r="B2432" t="s">
        <v>8</v>
      </c>
      <c r="C2432" t="s">
        <v>9</v>
      </c>
      <c r="D2432" s="2">
        <v>1350.555649117809</v>
      </c>
      <c r="E2432" s="2">
        <v>1358.5188307246151</v>
      </c>
      <c r="F2432" s="2">
        <v>1323.082575367519</v>
      </c>
      <c r="G2432" s="2">
        <v>1330.24951171875</v>
      </c>
      <c r="H2432" s="3">
        <v>19976192</v>
      </c>
      <c r="I2432" s="4">
        <f t="shared" si="148"/>
        <v>-2.0299999999999998</v>
      </c>
      <c r="J2432" s="2">
        <f t="shared" si="149"/>
        <v>28.27</v>
      </c>
      <c r="K2432" s="7">
        <f t="shared" si="150"/>
        <v>46143</v>
      </c>
      <c r="L2432" t="str">
        <f t="shared" si="151"/>
        <v>Q2-2026</v>
      </c>
    </row>
    <row r="2433" spans="1:12">
      <c r="A2433" s="6">
        <v>46157</v>
      </c>
      <c r="B2433" t="s">
        <v>10</v>
      </c>
      <c r="C2433" t="s">
        <v>11</v>
      </c>
      <c r="D2433" s="2">
        <v>2209.757563614593</v>
      </c>
      <c r="E2433" s="2">
        <v>2261.665183205434</v>
      </c>
      <c r="F2433" s="2">
        <v>2209.757563614593</v>
      </c>
      <c r="G2433" s="2">
        <v>2221.532470703125</v>
      </c>
      <c r="H2433" s="3">
        <v>3410637</v>
      </c>
      <c r="I2433" s="4">
        <f t="shared" si="148"/>
        <v>0</v>
      </c>
      <c r="J2433" s="2">
        <f t="shared" si="149"/>
        <v>40.130000000000003</v>
      </c>
      <c r="K2433" s="7">
        <f t="shared" si="150"/>
        <v>46143</v>
      </c>
      <c r="L2433" t="str">
        <f t="shared" si="151"/>
        <v>Q2-2026</v>
      </c>
    </row>
    <row r="2434" spans="1:12">
      <c r="A2434" s="6">
        <v>46157</v>
      </c>
      <c r="B2434" t="s">
        <v>12</v>
      </c>
      <c r="C2434" t="s">
        <v>13</v>
      </c>
      <c r="D2434" s="2">
        <v>1078.6585389001759</v>
      </c>
      <c r="E2434" s="2">
        <v>1109.197643931765</v>
      </c>
      <c r="F2434" s="2">
        <v>1078.2669874029009</v>
      </c>
      <c r="G2434" s="2">
        <v>1095.298461914062</v>
      </c>
      <c r="H2434" s="3">
        <v>17482450</v>
      </c>
      <c r="I2434" s="4">
        <f t="shared" ref="I2434:I2497" si="152">ROUND(((F2434-D2434)/D2434)*100, 2)</f>
        <v>-0.04</v>
      </c>
      <c r="J2434" s="2">
        <f t="shared" ref="J2434:J2497" si="153">ROUND(E2434-G2434, 2)</f>
        <v>13.9</v>
      </c>
      <c r="K2434" s="7">
        <f t="shared" ref="K2434:K2497" si="154">DATE(YEAR(A2434),MONTH(A2434),1)</f>
        <v>46143</v>
      </c>
      <c r="L2434" t="str">
        <f t="shared" ref="L2434:L2497" si="155">"Q"&amp;INT((MONTH(A2434)-1)/3)+1&amp;"-"&amp;YEAR(A2434)</f>
        <v>Q2-2026</v>
      </c>
    </row>
    <row r="2435" spans="1:12">
      <c r="A2435" s="6">
        <v>46157</v>
      </c>
      <c r="B2435" t="s">
        <v>14</v>
      </c>
      <c r="C2435" t="s">
        <v>15</v>
      </c>
      <c r="D2435" s="2">
        <v>760.42302532382428</v>
      </c>
      <c r="E2435" s="2">
        <v>769.17824329329039</v>
      </c>
      <c r="F2435" s="2">
        <v>752.9467039429112</v>
      </c>
      <c r="G2435" s="2">
        <v>755.01251220703125</v>
      </c>
      <c r="H2435" s="3">
        <v>24347873</v>
      </c>
      <c r="I2435" s="4">
        <f t="shared" si="152"/>
        <v>-0.98</v>
      </c>
      <c r="J2435" s="2">
        <f t="shared" si="153"/>
        <v>14.17</v>
      </c>
      <c r="K2435" s="7">
        <f t="shared" si="154"/>
        <v>46143</v>
      </c>
      <c r="L2435" t="str">
        <f t="shared" si="155"/>
        <v>Q2-2026</v>
      </c>
    </row>
    <row r="2436" spans="1:12">
      <c r="A2436" s="6">
        <v>46157</v>
      </c>
      <c r="B2436" t="s">
        <v>16</v>
      </c>
      <c r="C2436" t="s">
        <v>17</v>
      </c>
      <c r="D2436" s="2">
        <v>1236.1783670004279</v>
      </c>
      <c r="E2436" s="2">
        <v>1247.483086910531</v>
      </c>
      <c r="F2436" s="2">
        <v>1231.616847331383</v>
      </c>
      <c r="G2436" s="2">
        <v>1234.095947265625</v>
      </c>
      <c r="H2436" s="3">
        <v>11745614</v>
      </c>
      <c r="I2436" s="4">
        <f t="shared" si="152"/>
        <v>-0.37</v>
      </c>
      <c r="J2436" s="2">
        <f t="shared" si="153"/>
        <v>13.39</v>
      </c>
      <c r="K2436" s="7">
        <f t="shared" si="154"/>
        <v>46143</v>
      </c>
      <c r="L2436" t="str">
        <f t="shared" si="155"/>
        <v>Q2-2026</v>
      </c>
    </row>
    <row r="2437" spans="1:12">
      <c r="A2437" s="6">
        <v>46157</v>
      </c>
      <c r="B2437" t="s">
        <v>18</v>
      </c>
      <c r="C2437" t="s">
        <v>19</v>
      </c>
      <c r="D2437" s="2">
        <v>187.75567637057489</v>
      </c>
      <c r="E2437" s="2">
        <v>189.733092720287</v>
      </c>
      <c r="F2437" s="2">
        <v>186.66810643012681</v>
      </c>
      <c r="G2437" s="2">
        <v>187.85455322265619</v>
      </c>
      <c r="H2437" s="3">
        <v>17902610</v>
      </c>
      <c r="I2437" s="4">
        <f t="shared" si="152"/>
        <v>-0.57999999999999996</v>
      </c>
      <c r="J2437" s="2">
        <f t="shared" si="153"/>
        <v>1.88</v>
      </c>
      <c r="K2437" s="7">
        <f t="shared" si="154"/>
        <v>46143</v>
      </c>
      <c r="L2437" t="str">
        <f t="shared" si="155"/>
        <v>Q2-2026</v>
      </c>
    </row>
    <row r="2438" spans="1:12">
      <c r="A2438" s="6">
        <v>46157</v>
      </c>
      <c r="B2438" t="s">
        <v>20</v>
      </c>
      <c r="C2438" t="s">
        <v>21</v>
      </c>
      <c r="D2438" s="2">
        <v>1110.561992183098</v>
      </c>
      <c r="E2438" s="2">
        <v>1140.3577744488491</v>
      </c>
      <c r="F2438" s="2">
        <v>1110.4630269602869</v>
      </c>
      <c r="G2438" s="2">
        <v>1121.15380859375</v>
      </c>
      <c r="H2438" s="3">
        <v>3729249</v>
      </c>
      <c r="I2438" s="4">
        <f t="shared" si="152"/>
        <v>-0.01</v>
      </c>
      <c r="J2438" s="2">
        <f t="shared" si="153"/>
        <v>19.2</v>
      </c>
      <c r="K2438" s="7">
        <f t="shared" si="154"/>
        <v>46143</v>
      </c>
      <c r="L2438" t="str">
        <f t="shared" si="155"/>
        <v>Q2-2026</v>
      </c>
    </row>
    <row r="2439" spans="1:12">
      <c r="A2439" s="6">
        <v>46157</v>
      </c>
      <c r="B2439" t="s">
        <v>22</v>
      </c>
      <c r="C2439" t="s">
        <v>23</v>
      </c>
      <c r="D2439" s="2">
        <v>907.42185934756969</v>
      </c>
      <c r="E2439" s="2">
        <v>915.96929180817767</v>
      </c>
      <c r="F2439" s="2">
        <v>901.80635479207376</v>
      </c>
      <c r="G2439" s="2">
        <v>904.887451171875</v>
      </c>
      <c r="H2439" s="3">
        <v>5012279</v>
      </c>
      <c r="I2439" s="4">
        <f t="shared" si="152"/>
        <v>-0.62</v>
      </c>
      <c r="J2439" s="2">
        <f t="shared" si="153"/>
        <v>11.08</v>
      </c>
      <c r="K2439" s="7">
        <f t="shared" si="154"/>
        <v>46143</v>
      </c>
      <c r="L2439" t="str">
        <f t="shared" si="155"/>
        <v>Q2-2026</v>
      </c>
    </row>
    <row r="2440" spans="1:12">
      <c r="A2440" s="6">
        <v>46157</v>
      </c>
      <c r="B2440" t="s">
        <v>24</v>
      </c>
      <c r="C2440" t="s">
        <v>25</v>
      </c>
      <c r="D2440" s="2">
        <v>12948.95294935023</v>
      </c>
      <c r="E2440" s="2">
        <v>13192.506923319201</v>
      </c>
      <c r="F2440" s="2">
        <v>12948.95294935023</v>
      </c>
      <c r="G2440" s="2">
        <v>13089.541015625</v>
      </c>
      <c r="H2440" s="3">
        <v>268206</v>
      </c>
      <c r="I2440" s="4">
        <f t="shared" si="152"/>
        <v>0</v>
      </c>
      <c r="J2440" s="2">
        <f t="shared" si="153"/>
        <v>102.97</v>
      </c>
      <c r="K2440" s="7">
        <f t="shared" si="154"/>
        <v>46143</v>
      </c>
      <c r="L2440" t="str">
        <f t="shared" si="155"/>
        <v>Q2-2026</v>
      </c>
    </row>
    <row r="2441" spans="1:12">
      <c r="A2441" s="6">
        <v>46157</v>
      </c>
      <c r="B2441" t="s">
        <v>26</v>
      </c>
      <c r="C2441" t="s">
        <v>27</v>
      </c>
      <c r="D2441" s="2">
        <v>349.10408330430357</v>
      </c>
      <c r="E2441" s="2">
        <v>363.93110122170083</v>
      </c>
      <c r="F2441" s="2">
        <v>349.10408330430357</v>
      </c>
      <c r="G2441" s="2">
        <v>353.61663818359381</v>
      </c>
      <c r="H2441" s="3">
        <v>51689818</v>
      </c>
      <c r="I2441" s="4">
        <f t="shared" si="152"/>
        <v>0</v>
      </c>
      <c r="J2441" s="2">
        <f t="shared" si="153"/>
        <v>10.31</v>
      </c>
      <c r="K2441" s="7">
        <f t="shared" si="154"/>
        <v>46143</v>
      </c>
      <c r="L2441" t="str">
        <f t="shared" si="155"/>
        <v>Q2-2026</v>
      </c>
    </row>
    <row r="2442" spans="1:12">
      <c r="A2442" s="6">
        <v>46157</v>
      </c>
      <c r="B2442" t="s">
        <v>28</v>
      </c>
      <c r="C2442" t="s">
        <v>29</v>
      </c>
      <c r="D2442" s="2">
        <v>1869.1014326201359</v>
      </c>
      <c r="E2442" s="2">
        <v>1882.9651228793571</v>
      </c>
      <c r="F2442" s="2">
        <v>1858.329614724184</v>
      </c>
      <c r="G2442" s="2">
        <v>1873.290405273438</v>
      </c>
      <c r="H2442" s="3">
        <v>2756465</v>
      </c>
      <c r="I2442" s="4">
        <f t="shared" si="152"/>
        <v>-0.57999999999999996</v>
      </c>
      <c r="J2442" s="2">
        <f t="shared" si="153"/>
        <v>9.67</v>
      </c>
      <c r="K2442" s="7">
        <f t="shared" si="154"/>
        <v>46143</v>
      </c>
      <c r="L2442" t="str">
        <f t="shared" si="155"/>
        <v>Q2-2026</v>
      </c>
    </row>
    <row r="2443" spans="1:12">
      <c r="A2443" s="6">
        <v>46157</v>
      </c>
      <c r="B2443" t="s">
        <v>30</v>
      </c>
      <c r="C2443" t="s">
        <v>31</v>
      </c>
      <c r="D2443" s="2">
        <v>2599.6455492931768</v>
      </c>
      <c r="E2443" s="2">
        <v>2617.2924940628</v>
      </c>
      <c r="F2443" s="2">
        <v>2570.4985251528451</v>
      </c>
      <c r="G2443" s="2">
        <v>2583.1884765625</v>
      </c>
      <c r="H2443" s="3">
        <v>796240</v>
      </c>
      <c r="I2443" s="4">
        <f t="shared" si="152"/>
        <v>-1.1200000000000001</v>
      </c>
      <c r="J2443" s="2">
        <f t="shared" si="153"/>
        <v>34.1</v>
      </c>
      <c r="K2443" s="7">
        <f t="shared" si="154"/>
        <v>46143</v>
      </c>
      <c r="L2443" t="str">
        <f t="shared" si="155"/>
        <v>Q2-2026</v>
      </c>
    </row>
    <row r="2444" spans="1:12">
      <c r="A2444" s="6">
        <v>46157</v>
      </c>
      <c r="B2444" t="s">
        <v>32</v>
      </c>
      <c r="C2444" t="s">
        <v>33</v>
      </c>
      <c r="D2444" s="2">
        <v>2226.0574260984458</v>
      </c>
      <c r="E2444" s="2">
        <v>2275.7519058077978</v>
      </c>
      <c r="F2444" s="2">
        <v>2223.5825990045309</v>
      </c>
      <c r="G2444" s="2">
        <v>2249.32080078125</v>
      </c>
      <c r="H2444" s="3">
        <v>1038522</v>
      </c>
      <c r="I2444" s="4">
        <f t="shared" si="152"/>
        <v>-0.11</v>
      </c>
      <c r="J2444" s="2">
        <f t="shared" si="153"/>
        <v>26.43</v>
      </c>
      <c r="K2444" s="7">
        <f t="shared" si="154"/>
        <v>46143</v>
      </c>
      <c r="L2444" t="str">
        <f t="shared" si="155"/>
        <v>Q2-2026</v>
      </c>
    </row>
    <row r="2445" spans="1:12">
      <c r="A2445" s="6">
        <v>46157</v>
      </c>
      <c r="B2445" t="s">
        <v>34</v>
      </c>
      <c r="C2445" t="s">
        <v>35</v>
      </c>
      <c r="D2445" s="2">
        <v>3911.197839728613</v>
      </c>
      <c r="E2445" s="2">
        <v>3911.197839728613</v>
      </c>
      <c r="F2445" s="2">
        <v>3855.34348674783</v>
      </c>
      <c r="G2445" s="2">
        <v>3871.188720703125</v>
      </c>
      <c r="H2445" s="3">
        <v>1339185</v>
      </c>
      <c r="I2445" s="4">
        <f t="shared" si="152"/>
        <v>-1.43</v>
      </c>
      <c r="J2445" s="2">
        <f t="shared" si="153"/>
        <v>40.01</v>
      </c>
      <c r="K2445" s="7">
        <f t="shared" si="154"/>
        <v>46143</v>
      </c>
      <c r="L2445" t="str">
        <f t="shared" si="155"/>
        <v>Q2-2026</v>
      </c>
    </row>
    <row r="2446" spans="1:12">
      <c r="A2446" s="6">
        <v>46157</v>
      </c>
      <c r="B2446" t="s">
        <v>36</v>
      </c>
      <c r="C2446" t="s">
        <v>37</v>
      </c>
      <c r="D2446" s="2">
        <v>1258.6293424179839</v>
      </c>
      <c r="E2446" s="2">
        <v>1262.426462972448</v>
      </c>
      <c r="F2446" s="2">
        <v>1241.0429291696059</v>
      </c>
      <c r="G2446" s="2">
        <v>1243.8408203125</v>
      </c>
      <c r="H2446" s="3">
        <v>4805485</v>
      </c>
      <c r="I2446" s="4">
        <f t="shared" si="152"/>
        <v>-1.4</v>
      </c>
      <c r="J2446" s="2">
        <f t="shared" si="153"/>
        <v>18.59</v>
      </c>
      <c r="K2446" s="7">
        <f t="shared" si="154"/>
        <v>46143</v>
      </c>
      <c r="L2446" t="str">
        <f t="shared" si="155"/>
        <v>Q2-2026</v>
      </c>
    </row>
    <row r="2447" spans="1:12">
      <c r="A2447" s="6">
        <v>46160</v>
      </c>
      <c r="B2447" t="s">
        <v>8</v>
      </c>
      <c r="C2447" t="s">
        <v>9</v>
      </c>
      <c r="D2447" s="2">
        <v>1327.8605510955031</v>
      </c>
      <c r="E2447" s="2">
        <v>1335.823732811218</v>
      </c>
      <c r="F2447" s="2">
        <v>1312.6309174607941</v>
      </c>
      <c r="G2447" s="2">
        <v>1329.751831054688</v>
      </c>
      <c r="H2447" s="3">
        <v>13022473</v>
      </c>
      <c r="I2447" s="4">
        <f t="shared" si="152"/>
        <v>-1.1499999999999999</v>
      </c>
      <c r="J2447" s="2">
        <f t="shared" si="153"/>
        <v>6.07</v>
      </c>
      <c r="K2447" s="7">
        <f t="shared" si="154"/>
        <v>46143</v>
      </c>
      <c r="L2447" t="str">
        <f t="shared" si="155"/>
        <v>Q2-2026</v>
      </c>
    </row>
    <row r="2448" spans="1:12">
      <c r="A2448" s="6">
        <v>46160</v>
      </c>
      <c r="B2448" t="s">
        <v>10</v>
      </c>
      <c r="C2448" t="s">
        <v>11</v>
      </c>
      <c r="D2448" s="2">
        <v>2221.5322685970368</v>
      </c>
      <c r="E2448" s="2">
        <v>2249.8900714309352</v>
      </c>
      <c r="F2448" s="2">
        <v>2209.9535631011449</v>
      </c>
      <c r="G2448" s="2">
        <v>2240.3720703125</v>
      </c>
      <c r="H2448" s="3">
        <v>3773336</v>
      </c>
      <c r="I2448" s="4">
        <f t="shared" si="152"/>
        <v>-0.52</v>
      </c>
      <c r="J2448" s="2">
        <f t="shared" si="153"/>
        <v>9.52</v>
      </c>
      <c r="K2448" s="7">
        <f t="shared" si="154"/>
        <v>46143</v>
      </c>
      <c r="L2448" t="str">
        <f t="shared" si="155"/>
        <v>Q2-2026</v>
      </c>
    </row>
    <row r="2449" spans="1:12">
      <c r="A2449" s="6">
        <v>46160</v>
      </c>
      <c r="B2449" t="s">
        <v>12</v>
      </c>
      <c r="C2449" t="s">
        <v>13</v>
      </c>
      <c r="D2449" s="2">
        <v>1095.298413673584</v>
      </c>
      <c r="E2449" s="2">
        <v>1121.8243835304841</v>
      </c>
      <c r="F2449" s="2">
        <v>1094.3195947158781</v>
      </c>
      <c r="G2449" s="2">
        <v>1118.300659179688</v>
      </c>
      <c r="H2449" s="3">
        <v>12096377</v>
      </c>
      <c r="I2449" s="4">
        <f t="shared" si="152"/>
        <v>-0.09</v>
      </c>
      <c r="J2449" s="2">
        <f t="shared" si="153"/>
        <v>3.52</v>
      </c>
      <c r="K2449" s="7">
        <f t="shared" si="154"/>
        <v>46143</v>
      </c>
      <c r="L2449" t="str">
        <f t="shared" si="155"/>
        <v>Q2-2026</v>
      </c>
    </row>
    <row r="2450" spans="1:12">
      <c r="A2450" s="6">
        <v>46160</v>
      </c>
      <c r="B2450" t="s">
        <v>14</v>
      </c>
      <c r="C2450" t="s">
        <v>15</v>
      </c>
      <c r="D2450" s="2">
        <v>746.65078394817931</v>
      </c>
      <c r="E2450" s="2">
        <v>761.50507724045679</v>
      </c>
      <c r="F2450" s="2">
        <v>739.12522831447382</v>
      </c>
      <c r="G2450" s="2">
        <v>756.143798828125</v>
      </c>
      <c r="H2450" s="3">
        <v>29812079</v>
      </c>
      <c r="I2450" s="4">
        <f t="shared" si="152"/>
        <v>-1.01</v>
      </c>
      <c r="J2450" s="2">
        <f t="shared" si="153"/>
        <v>5.36</v>
      </c>
      <c r="K2450" s="7">
        <f t="shared" si="154"/>
        <v>46143</v>
      </c>
      <c r="L2450" t="str">
        <f t="shared" si="155"/>
        <v>Q2-2026</v>
      </c>
    </row>
    <row r="2451" spans="1:12">
      <c r="A2451" s="6">
        <v>46160</v>
      </c>
      <c r="B2451" t="s">
        <v>16</v>
      </c>
      <c r="C2451" t="s">
        <v>17</v>
      </c>
      <c r="D2451" s="2">
        <v>1225.1711876882559</v>
      </c>
      <c r="E2451" s="2">
        <v>1243.2189867923551</v>
      </c>
      <c r="F2451" s="2">
        <v>1221.7004477797909</v>
      </c>
      <c r="G2451" s="2">
        <v>1240.640747070312</v>
      </c>
      <c r="H2451" s="3">
        <v>13918850</v>
      </c>
      <c r="I2451" s="4">
        <f t="shared" si="152"/>
        <v>-0.28000000000000003</v>
      </c>
      <c r="J2451" s="2">
        <f t="shared" si="153"/>
        <v>2.58</v>
      </c>
      <c r="K2451" s="7">
        <f t="shared" si="154"/>
        <v>46143</v>
      </c>
      <c r="L2451" t="str">
        <f t="shared" si="155"/>
        <v>Q2-2026</v>
      </c>
    </row>
    <row r="2452" spans="1:12">
      <c r="A2452" s="6">
        <v>46160</v>
      </c>
      <c r="B2452" t="s">
        <v>18</v>
      </c>
      <c r="C2452" t="s">
        <v>19</v>
      </c>
      <c r="D2452" s="2">
        <v>188.83337738613741</v>
      </c>
      <c r="E2452" s="2">
        <v>190.57349832099331</v>
      </c>
      <c r="F2452" s="2">
        <v>187.06358132683661</v>
      </c>
      <c r="G2452" s="2">
        <v>190.00004577636719</v>
      </c>
      <c r="H2452" s="3">
        <v>16327369</v>
      </c>
      <c r="I2452" s="4">
        <f t="shared" si="152"/>
        <v>-0.94</v>
      </c>
      <c r="J2452" s="2">
        <f t="shared" si="153"/>
        <v>0.56999999999999995</v>
      </c>
      <c r="K2452" s="7">
        <f t="shared" si="154"/>
        <v>46143</v>
      </c>
      <c r="L2452" t="str">
        <f t="shared" si="155"/>
        <v>Q2-2026</v>
      </c>
    </row>
    <row r="2453" spans="1:12">
      <c r="A2453" s="6">
        <v>46160</v>
      </c>
      <c r="B2453" t="s">
        <v>20</v>
      </c>
      <c r="C2453" t="s">
        <v>21</v>
      </c>
      <c r="D2453" s="2">
        <v>1117.5902205133279</v>
      </c>
      <c r="E2453" s="2">
        <v>1137.883045597936</v>
      </c>
      <c r="F2453" s="2">
        <v>1110.0670509907559</v>
      </c>
      <c r="G2453" s="2">
        <v>1135.012329101562</v>
      </c>
      <c r="H2453" s="3">
        <v>2588569</v>
      </c>
      <c r="I2453" s="4">
        <f t="shared" si="152"/>
        <v>-0.67</v>
      </c>
      <c r="J2453" s="2">
        <f t="shared" si="153"/>
        <v>2.87</v>
      </c>
      <c r="K2453" s="7">
        <f t="shared" si="154"/>
        <v>46143</v>
      </c>
      <c r="L2453" t="str">
        <f t="shared" si="155"/>
        <v>Q2-2026</v>
      </c>
    </row>
    <row r="2454" spans="1:12">
      <c r="A2454" s="6">
        <v>46160</v>
      </c>
      <c r="B2454" t="s">
        <v>22</v>
      </c>
      <c r="C2454" t="s">
        <v>23</v>
      </c>
      <c r="D2454" s="2">
        <v>894.50128955076241</v>
      </c>
      <c r="E2454" s="2">
        <v>919.34854759383916</v>
      </c>
      <c r="F2454" s="2">
        <v>885.25812169118808</v>
      </c>
      <c r="G2454" s="2">
        <v>915.47235107421875</v>
      </c>
      <c r="H2454" s="3">
        <v>6387223</v>
      </c>
      <c r="I2454" s="4">
        <f t="shared" si="152"/>
        <v>-1.03</v>
      </c>
      <c r="J2454" s="2">
        <f t="shared" si="153"/>
        <v>3.88</v>
      </c>
      <c r="K2454" s="7">
        <f t="shared" si="154"/>
        <v>46143</v>
      </c>
      <c r="L2454" t="str">
        <f t="shared" si="155"/>
        <v>Q2-2026</v>
      </c>
    </row>
    <row r="2455" spans="1:12">
      <c r="A2455" s="6">
        <v>46160</v>
      </c>
      <c r="B2455" t="s">
        <v>24</v>
      </c>
      <c r="C2455" t="s">
        <v>25</v>
      </c>
      <c r="D2455" s="2">
        <v>12996.475404595179</v>
      </c>
      <c r="E2455" s="2">
        <v>13008.356086004131</v>
      </c>
      <c r="F2455" s="2">
        <v>12722.22967540551</v>
      </c>
      <c r="G2455" s="2">
        <v>12886.5791015625</v>
      </c>
      <c r="H2455" s="3">
        <v>373184</v>
      </c>
      <c r="I2455" s="4">
        <f t="shared" si="152"/>
        <v>-2.11</v>
      </c>
      <c r="J2455" s="2">
        <f t="shared" si="153"/>
        <v>121.78</v>
      </c>
      <c r="K2455" s="7">
        <f t="shared" si="154"/>
        <v>46143</v>
      </c>
      <c r="L2455" t="str">
        <f t="shared" si="155"/>
        <v>Q2-2026</v>
      </c>
    </row>
    <row r="2456" spans="1:12">
      <c r="A2456" s="6">
        <v>46160</v>
      </c>
      <c r="B2456" t="s">
        <v>26</v>
      </c>
      <c r="C2456" t="s">
        <v>27</v>
      </c>
      <c r="D2456" s="2">
        <v>351.8810176428297</v>
      </c>
      <c r="E2456" s="2">
        <v>355.30264630139311</v>
      </c>
      <c r="F2456" s="2">
        <v>348.21147602237079</v>
      </c>
      <c r="G2456" s="2">
        <v>350.24459838867188</v>
      </c>
      <c r="H2456" s="3">
        <v>10409685</v>
      </c>
      <c r="I2456" s="4">
        <f t="shared" si="152"/>
        <v>-1.04</v>
      </c>
      <c r="J2456" s="2">
        <f t="shared" si="153"/>
        <v>5.0599999999999996</v>
      </c>
      <c r="K2456" s="7">
        <f t="shared" si="154"/>
        <v>46143</v>
      </c>
      <c r="L2456" t="str">
        <f t="shared" si="155"/>
        <v>Q2-2026</v>
      </c>
    </row>
    <row r="2457" spans="1:12">
      <c r="A2457" s="6">
        <v>46160</v>
      </c>
      <c r="B2457" t="s">
        <v>28</v>
      </c>
      <c r="C2457" t="s">
        <v>29</v>
      </c>
      <c r="D2457" s="2">
        <v>1873.2904073331249</v>
      </c>
      <c r="E2457" s="2">
        <v>1906.0047180706199</v>
      </c>
      <c r="F2457" s="2">
        <v>1860.124960335796</v>
      </c>
      <c r="G2457" s="2">
        <v>1900.818359375</v>
      </c>
      <c r="H2457" s="3">
        <v>3456331</v>
      </c>
      <c r="I2457" s="4">
        <f t="shared" si="152"/>
        <v>-0.7</v>
      </c>
      <c r="J2457" s="2">
        <f t="shared" si="153"/>
        <v>5.19</v>
      </c>
      <c r="K2457" s="7">
        <f t="shared" si="154"/>
        <v>46143</v>
      </c>
      <c r="L2457" t="str">
        <f t="shared" si="155"/>
        <v>Q2-2026</v>
      </c>
    </row>
    <row r="2458" spans="1:12">
      <c r="A2458" s="6">
        <v>46160</v>
      </c>
      <c r="B2458" t="s">
        <v>30</v>
      </c>
      <c r="C2458" t="s">
        <v>31</v>
      </c>
      <c r="D2458" s="2">
        <v>2557.9077953154929</v>
      </c>
      <c r="E2458" s="2">
        <v>2596.8695692621118</v>
      </c>
      <c r="F2458" s="2">
        <v>2534.014990645323</v>
      </c>
      <c r="G2458" s="2">
        <v>2591.51611328125</v>
      </c>
      <c r="H2458" s="3">
        <v>898479</v>
      </c>
      <c r="I2458" s="4">
        <f t="shared" si="152"/>
        <v>-0.93</v>
      </c>
      <c r="J2458" s="2">
        <f t="shared" si="153"/>
        <v>5.35</v>
      </c>
      <c r="K2458" s="7">
        <f t="shared" si="154"/>
        <v>46143</v>
      </c>
      <c r="L2458" t="str">
        <f t="shared" si="155"/>
        <v>Q2-2026</v>
      </c>
    </row>
    <row r="2459" spans="1:12">
      <c r="A2459" s="6">
        <v>46160</v>
      </c>
      <c r="B2459" t="s">
        <v>32</v>
      </c>
      <c r="C2459" t="s">
        <v>33</v>
      </c>
      <c r="D2459" s="2">
        <v>2240.3127273277628</v>
      </c>
      <c r="E2459" s="2">
        <v>2242.1934993739442</v>
      </c>
      <c r="F2459" s="2">
        <v>2202.2992355739998</v>
      </c>
      <c r="G2459" s="2">
        <v>2231.502197265625</v>
      </c>
      <c r="H2459" s="3">
        <v>1118204</v>
      </c>
      <c r="I2459" s="4">
        <f t="shared" si="152"/>
        <v>-1.7</v>
      </c>
      <c r="J2459" s="2">
        <f t="shared" si="153"/>
        <v>10.69</v>
      </c>
      <c r="K2459" s="7">
        <f t="shared" si="154"/>
        <v>46143</v>
      </c>
      <c r="L2459" t="str">
        <f t="shared" si="155"/>
        <v>Q2-2026</v>
      </c>
    </row>
    <row r="2460" spans="1:12">
      <c r="A2460" s="6">
        <v>46160</v>
      </c>
      <c r="B2460" t="s">
        <v>34</v>
      </c>
      <c r="C2460" t="s">
        <v>35</v>
      </c>
      <c r="D2460" s="2">
        <v>3836.4280596540252</v>
      </c>
      <c r="E2460" s="2">
        <v>3886.7367247380412</v>
      </c>
      <c r="F2460" s="2">
        <v>3814.7399928548771</v>
      </c>
      <c r="G2460" s="2">
        <v>3879.903564453125</v>
      </c>
      <c r="H2460" s="3">
        <v>1771638</v>
      </c>
      <c r="I2460" s="4">
        <f t="shared" si="152"/>
        <v>-0.56999999999999995</v>
      </c>
      <c r="J2460" s="2">
        <f t="shared" si="153"/>
        <v>6.83</v>
      </c>
      <c r="K2460" s="7">
        <f t="shared" si="154"/>
        <v>46143</v>
      </c>
      <c r="L2460" t="str">
        <f t="shared" si="155"/>
        <v>Q2-2026</v>
      </c>
    </row>
    <row r="2461" spans="1:12">
      <c r="A2461" s="6">
        <v>46160</v>
      </c>
      <c r="B2461" t="s">
        <v>36</v>
      </c>
      <c r="C2461" t="s">
        <v>37</v>
      </c>
      <c r="D2461" s="2">
        <v>1238.04517281888</v>
      </c>
      <c r="E2461" s="2">
        <v>1241.0428608886591</v>
      </c>
      <c r="F2461" s="2">
        <v>1221.158172297208</v>
      </c>
      <c r="G2461" s="2">
        <v>1236.946044921875</v>
      </c>
      <c r="H2461" s="3">
        <v>6052023</v>
      </c>
      <c r="I2461" s="4">
        <f t="shared" si="152"/>
        <v>-1.36</v>
      </c>
      <c r="J2461" s="2">
        <f t="shared" si="153"/>
        <v>4.0999999999999996</v>
      </c>
      <c r="K2461" s="7">
        <f t="shared" si="154"/>
        <v>46143</v>
      </c>
      <c r="L2461" t="str">
        <f t="shared" si="155"/>
        <v>Q2-2026</v>
      </c>
    </row>
    <row r="2462" spans="1:12">
      <c r="A2462" s="6">
        <v>46161</v>
      </c>
      <c r="B2462" t="s">
        <v>8</v>
      </c>
      <c r="C2462" t="s">
        <v>9</v>
      </c>
      <c r="D2462" s="2">
        <v>1332.538789202644</v>
      </c>
      <c r="E2462" s="2">
        <v>1337.8144453658961</v>
      </c>
      <c r="F2462" s="2">
        <v>1312.3322897558651</v>
      </c>
      <c r="G2462" s="2">
        <v>1316.612426757812</v>
      </c>
      <c r="H2462" s="3">
        <v>21665501</v>
      </c>
      <c r="I2462" s="4">
        <f t="shared" si="152"/>
        <v>-1.52</v>
      </c>
      <c r="J2462" s="2">
        <f t="shared" si="153"/>
        <v>21.2</v>
      </c>
      <c r="K2462" s="7">
        <f t="shared" si="154"/>
        <v>46143</v>
      </c>
      <c r="L2462" t="str">
        <f t="shared" si="155"/>
        <v>Q2-2026</v>
      </c>
    </row>
    <row r="2463" spans="1:12">
      <c r="A2463" s="6">
        <v>46161</v>
      </c>
      <c r="B2463" t="s">
        <v>10</v>
      </c>
      <c r="C2463" t="s">
        <v>11</v>
      </c>
      <c r="D2463" s="2">
        <v>2256.8572133579778</v>
      </c>
      <c r="E2463" s="2">
        <v>2333.0017090765832</v>
      </c>
      <c r="F2463" s="2">
        <v>2254.0117066090529</v>
      </c>
      <c r="G2463" s="2">
        <v>2283.448974609375</v>
      </c>
      <c r="H2463" s="3">
        <v>10394707</v>
      </c>
      <c r="I2463" s="4">
        <f t="shared" si="152"/>
        <v>-0.13</v>
      </c>
      <c r="J2463" s="2">
        <f t="shared" si="153"/>
        <v>49.55</v>
      </c>
      <c r="K2463" s="7">
        <f t="shared" si="154"/>
        <v>46143</v>
      </c>
      <c r="L2463" t="str">
        <f t="shared" si="155"/>
        <v>Q2-2026</v>
      </c>
    </row>
    <row r="2464" spans="1:12">
      <c r="A2464" s="6">
        <v>46161</v>
      </c>
      <c r="B2464" t="s">
        <v>12</v>
      </c>
      <c r="C2464" t="s">
        <v>13</v>
      </c>
      <c r="D2464" s="2">
        <v>1137.3876555901811</v>
      </c>
      <c r="E2464" s="2">
        <v>1173.0166903851341</v>
      </c>
      <c r="F2464" s="2">
        <v>1137.3876555901811</v>
      </c>
      <c r="G2464" s="2">
        <v>1171.548461914062</v>
      </c>
      <c r="H2464" s="3">
        <v>32175705</v>
      </c>
      <c r="I2464" s="4">
        <f t="shared" si="152"/>
        <v>0</v>
      </c>
      <c r="J2464" s="2">
        <f t="shared" si="153"/>
        <v>1.47</v>
      </c>
      <c r="K2464" s="7">
        <f t="shared" si="154"/>
        <v>46143</v>
      </c>
      <c r="L2464" t="str">
        <f t="shared" si="155"/>
        <v>Q2-2026</v>
      </c>
    </row>
    <row r="2465" spans="1:12">
      <c r="A2465" s="6">
        <v>46161</v>
      </c>
      <c r="B2465" t="s">
        <v>14</v>
      </c>
      <c r="C2465" t="s">
        <v>15</v>
      </c>
      <c r="D2465" s="2">
        <v>754.22552871389541</v>
      </c>
      <c r="E2465" s="2">
        <v>758.25879623024275</v>
      </c>
      <c r="F2465" s="2">
        <v>747.88046051302831</v>
      </c>
      <c r="G2465" s="2">
        <v>750.044677734375</v>
      </c>
      <c r="H2465" s="3">
        <v>40307830</v>
      </c>
      <c r="I2465" s="4">
        <f t="shared" si="152"/>
        <v>-0.84</v>
      </c>
      <c r="J2465" s="2">
        <f t="shared" si="153"/>
        <v>8.2100000000000009</v>
      </c>
      <c r="K2465" s="7">
        <f t="shared" si="154"/>
        <v>46143</v>
      </c>
      <c r="L2465" t="str">
        <f t="shared" si="155"/>
        <v>Q2-2026</v>
      </c>
    </row>
    <row r="2466" spans="1:12">
      <c r="A2466" s="6">
        <v>46161</v>
      </c>
      <c r="B2466" t="s">
        <v>16</v>
      </c>
      <c r="C2466" t="s">
        <v>17</v>
      </c>
      <c r="D2466" s="2">
        <v>1240.640698584388</v>
      </c>
      <c r="E2466" s="2">
        <v>1245.7972988767481</v>
      </c>
      <c r="F2466" s="2">
        <v>1219.518840596794</v>
      </c>
      <c r="G2466" s="2">
        <v>1230.426879882812</v>
      </c>
      <c r="H2466" s="3">
        <v>38929053</v>
      </c>
      <c r="I2466" s="4">
        <f t="shared" si="152"/>
        <v>-1.7</v>
      </c>
      <c r="J2466" s="2">
        <f t="shared" si="153"/>
        <v>15.37</v>
      </c>
      <c r="K2466" s="7">
        <f t="shared" si="154"/>
        <v>46143</v>
      </c>
      <c r="L2466" t="str">
        <f t="shared" si="155"/>
        <v>Q2-2026</v>
      </c>
    </row>
    <row r="2467" spans="1:12">
      <c r="A2467" s="6">
        <v>46161</v>
      </c>
      <c r="B2467" t="s">
        <v>18</v>
      </c>
      <c r="C2467" t="s">
        <v>19</v>
      </c>
      <c r="D2467" s="2">
        <v>190.22744541611499</v>
      </c>
      <c r="E2467" s="2">
        <v>195.76421718940091</v>
      </c>
      <c r="F2467" s="2">
        <v>190.22744541611499</v>
      </c>
      <c r="G2467" s="2">
        <v>192.96617126464841</v>
      </c>
      <c r="H2467" s="3">
        <v>20534622</v>
      </c>
      <c r="I2467" s="4">
        <f t="shared" si="152"/>
        <v>0</v>
      </c>
      <c r="J2467" s="2">
        <f t="shared" si="153"/>
        <v>2.8</v>
      </c>
      <c r="K2467" s="7">
        <f t="shared" si="154"/>
        <v>46143</v>
      </c>
      <c r="L2467" t="str">
        <f t="shared" si="155"/>
        <v>Q2-2026</v>
      </c>
    </row>
    <row r="2468" spans="1:12">
      <c r="A2468" s="6">
        <v>46161</v>
      </c>
      <c r="B2468" t="s">
        <v>20</v>
      </c>
      <c r="C2468" t="s">
        <v>21</v>
      </c>
      <c r="D2468" s="2">
        <v>1144.3174142705509</v>
      </c>
      <c r="E2468" s="2">
        <v>1186.189976985532</v>
      </c>
      <c r="F2468" s="2">
        <v>1140.654854964386</v>
      </c>
      <c r="G2468" s="2">
        <v>1167.48095703125</v>
      </c>
      <c r="H2468" s="3">
        <v>5756760</v>
      </c>
      <c r="I2468" s="4">
        <f t="shared" si="152"/>
        <v>-0.32</v>
      </c>
      <c r="J2468" s="2">
        <f t="shared" si="153"/>
        <v>18.71</v>
      </c>
      <c r="K2468" s="7">
        <f t="shared" si="154"/>
        <v>46143</v>
      </c>
      <c r="L2468" t="str">
        <f t="shared" si="155"/>
        <v>Q2-2026</v>
      </c>
    </row>
    <row r="2469" spans="1:12">
      <c r="A2469" s="6">
        <v>46161</v>
      </c>
      <c r="B2469" t="s">
        <v>22</v>
      </c>
      <c r="C2469" t="s">
        <v>23</v>
      </c>
      <c r="D2469" s="2">
        <v>921.93265340503456</v>
      </c>
      <c r="E2469" s="2">
        <v>924.31801448150054</v>
      </c>
      <c r="F2469" s="2">
        <v>914.47847586889338</v>
      </c>
      <c r="G2469" s="2">
        <v>917.90740966796875</v>
      </c>
      <c r="H2469" s="3">
        <v>8313548</v>
      </c>
      <c r="I2469" s="4">
        <f t="shared" si="152"/>
        <v>-0.81</v>
      </c>
      <c r="J2469" s="2">
        <f t="shared" si="153"/>
        <v>6.41</v>
      </c>
      <c r="K2469" s="7">
        <f t="shared" si="154"/>
        <v>46143</v>
      </c>
      <c r="L2469" t="str">
        <f t="shared" si="155"/>
        <v>Q2-2026</v>
      </c>
    </row>
    <row r="2470" spans="1:12">
      <c r="A2470" s="6">
        <v>46161</v>
      </c>
      <c r="B2470" t="s">
        <v>24</v>
      </c>
      <c r="C2470" t="s">
        <v>25</v>
      </c>
      <c r="D2470" s="2">
        <v>12904.40021093026</v>
      </c>
      <c r="E2470" s="2">
        <v>12973.704186284351</v>
      </c>
      <c r="F2470" s="2">
        <v>12771.73260096673</v>
      </c>
      <c r="G2470" s="2">
        <v>12827.17578125</v>
      </c>
      <c r="H2470" s="3">
        <v>342737</v>
      </c>
      <c r="I2470" s="4">
        <f t="shared" si="152"/>
        <v>-1.03</v>
      </c>
      <c r="J2470" s="2">
        <f t="shared" si="153"/>
        <v>146.53</v>
      </c>
      <c r="K2470" s="7">
        <f t="shared" si="154"/>
        <v>46143</v>
      </c>
      <c r="L2470" t="str">
        <f t="shared" si="155"/>
        <v>Q2-2026</v>
      </c>
    </row>
    <row r="2471" spans="1:12">
      <c r="A2471" s="6">
        <v>46161</v>
      </c>
      <c r="B2471" t="s">
        <v>26</v>
      </c>
      <c r="C2471" t="s">
        <v>27</v>
      </c>
      <c r="D2471" s="2">
        <v>349.99666009572661</v>
      </c>
      <c r="E2471" s="2">
        <v>362.79052480842807</v>
      </c>
      <c r="F2471" s="2">
        <v>349.99666009572661</v>
      </c>
      <c r="G2471" s="2">
        <v>358.2283935546875</v>
      </c>
      <c r="H2471" s="3">
        <v>15119605</v>
      </c>
      <c r="I2471" s="4">
        <f t="shared" si="152"/>
        <v>0</v>
      </c>
      <c r="J2471" s="2">
        <f t="shared" si="153"/>
        <v>4.5599999999999996</v>
      </c>
      <c r="K2471" s="7">
        <f t="shared" si="154"/>
        <v>46143</v>
      </c>
      <c r="L2471" t="str">
        <f t="shared" si="155"/>
        <v>Q2-2026</v>
      </c>
    </row>
    <row r="2472" spans="1:12">
      <c r="A2472" s="6">
        <v>46161</v>
      </c>
      <c r="B2472" t="s">
        <v>28</v>
      </c>
      <c r="C2472" t="s">
        <v>29</v>
      </c>
      <c r="D2472" s="2">
        <v>1895.5321376694719</v>
      </c>
      <c r="E2472" s="2">
        <v>1911.5900282976429</v>
      </c>
      <c r="F2472" s="2">
        <v>1875.085724187639</v>
      </c>
      <c r="G2472" s="2">
        <v>1877.379760742188</v>
      </c>
      <c r="H2472" s="3">
        <v>2200951</v>
      </c>
      <c r="I2472" s="4">
        <f t="shared" si="152"/>
        <v>-1.08</v>
      </c>
      <c r="J2472" s="2">
        <f t="shared" si="153"/>
        <v>34.21</v>
      </c>
      <c r="K2472" s="7">
        <f t="shared" si="154"/>
        <v>46143</v>
      </c>
      <c r="L2472" t="str">
        <f t="shared" si="155"/>
        <v>Q2-2026</v>
      </c>
    </row>
    <row r="2473" spans="1:12">
      <c r="A2473" s="6">
        <v>46161</v>
      </c>
      <c r="B2473" t="s">
        <v>30</v>
      </c>
      <c r="C2473" t="s">
        <v>31</v>
      </c>
      <c r="D2473" s="2">
        <v>2606.3869513982072</v>
      </c>
      <c r="E2473" s="2">
        <v>2623.2407278051178</v>
      </c>
      <c r="F2473" s="2">
        <v>2572.7786352618718</v>
      </c>
      <c r="G2473" s="2">
        <v>2578.330322265625</v>
      </c>
      <c r="H2473" s="3">
        <v>688639</v>
      </c>
      <c r="I2473" s="4">
        <f t="shared" si="152"/>
        <v>-1.29</v>
      </c>
      <c r="J2473" s="2">
        <f t="shared" si="153"/>
        <v>44.91</v>
      </c>
      <c r="K2473" s="7">
        <f t="shared" si="154"/>
        <v>46143</v>
      </c>
      <c r="L2473" t="str">
        <f t="shared" si="155"/>
        <v>Q2-2026</v>
      </c>
    </row>
    <row r="2474" spans="1:12">
      <c r="A2474" s="6">
        <v>46161</v>
      </c>
      <c r="B2474" t="s">
        <v>32</v>
      </c>
      <c r="C2474" t="s">
        <v>33</v>
      </c>
      <c r="D2474" s="2">
        <v>2219.424971337065</v>
      </c>
      <c r="E2474" s="2">
        <v>2259.0222054376368</v>
      </c>
      <c r="F2474" s="2">
        <v>2207.0508356806358</v>
      </c>
      <c r="G2474" s="2">
        <v>2210.41650390625</v>
      </c>
      <c r="H2474" s="3">
        <v>1145022</v>
      </c>
      <c r="I2474" s="4">
        <f t="shared" si="152"/>
        <v>-0.56000000000000005</v>
      </c>
      <c r="J2474" s="2">
        <f t="shared" si="153"/>
        <v>48.61</v>
      </c>
      <c r="K2474" s="7">
        <f t="shared" si="154"/>
        <v>46143</v>
      </c>
      <c r="L2474" t="str">
        <f t="shared" si="155"/>
        <v>Q2-2026</v>
      </c>
    </row>
    <row r="2475" spans="1:12">
      <c r="A2475" s="6">
        <v>46161</v>
      </c>
      <c r="B2475" t="s">
        <v>34</v>
      </c>
      <c r="C2475" t="s">
        <v>35</v>
      </c>
      <c r="D2475" s="2">
        <v>3902.7801674733018</v>
      </c>
      <c r="E2475" s="2">
        <v>3921.6955127438791</v>
      </c>
      <c r="F2475" s="2">
        <v>3862.2758837629108</v>
      </c>
      <c r="G2475" s="2">
        <v>3883.07275390625</v>
      </c>
      <c r="H2475" s="3">
        <v>2318170</v>
      </c>
      <c r="I2475" s="4">
        <f t="shared" si="152"/>
        <v>-1.04</v>
      </c>
      <c r="J2475" s="2">
        <f t="shared" si="153"/>
        <v>38.619999999999997</v>
      </c>
      <c r="K2475" s="7">
        <f t="shared" si="154"/>
        <v>46143</v>
      </c>
      <c r="L2475" t="str">
        <f t="shared" si="155"/>
        <v>Q2-2026</v>
      </c>
    </row>
    <row r="2476" spans="1:12">
      <c r="A2476" s="6">
        <v>46161</v>
      </c>
      <c r="B2476" t="s">
        <v>36</v>
      </c>
      <c r="C2476" t="s">
        <v>37</v>
      </c>
      <c r="D2476" s="2">
        <v>1237.5456222864909</v>
      </c>
      <c r="E2476" s="2">
        <v>1248.836963391755</v>
      </c>
      <c r="F2476" s="2">
        <v>1230.351219336608</v>
      </c>
      <c r="G2476" s="2">
        <v>1237.345825195312</v>
      </c>
      <c r="H2476" s="3">
        <v>9200314</v>
      </c>
      <c r="I2476" s="4">
        <f t="shared" si="152"/>
        <v>-0.57999999999999996</v>
      </c>
      <c r="J2476" s="2">
        <f t="shared" si="153"/>
        <v>11.49</v>
      </c>
      <c r="K2476" s="7">
        <f t="shared" si="154"/>
        <v>46143</v>
      </c>
      <c r="L2476" t="str">
        <f t="shared" si="155"/>
        <v>Q2-2026</v>
      </c>
    </row>
    <row r="2477" spans="1:12">
      <c r="A2477" s="6">
        <v>46162</v>
      </c>
      <c r="B2477" t="s">
        <v>8</v>
      </c>
      <c r="C2477" t="s">
        <v>9</v>
      </c>
      <c r="D2477" s="2">
        <v>1312.6308349443721</v>
      </c>
      <c r="E2477" s="2">
        <v>1356.627484063026</v>
      </c>
      <c r="F2477" s="2">
        <v>1306.5589335695411</v>
      </c>
      <c r="G2477" s="2">
        <v>1353.442138671875</v>
      </c>
      <c r="H2477" s="3">
        <v>13248515</v>
      </c>
      <c r="I2477" s="4">
        <f t="shared" si="152"/>
        <v>-0.46</v>
      </c>
      <c r="J2477" s="2">
        <f t="shared" si="153"/>
        <v>3.19</v>
      </c>
      <c r="K2477" s="7">
        <f t="shared" si="154"/>
        <v>46143</v>
      </c>
      <c r="L2477" t="str">
        <f t="shared" si="155"/>
        <v>Q2-2026</v>
      </c>
    </row>
    <row r="2478" spans="1:12">
      <c r="A2478" s="6">
        <v>46162</v>
      </c>
      <c r="B2478" t="s">
        <v>10</v>
      </c>
      <c r="C2478" t="s">
        <v>11</v>
      </c>
      <c r="D2478" s="2">
        <v>2280.3088161164642</v>
      </c>
      <c r="E2478" s="2">
        <v>2298.0693970332618</v>
      </c>
      <c r="F2478" s="2">
        <v>2274.3233820043188</v>
      </c>
      <c r="G2478" s="2">
        <v>2283.7431640625</v>
      </c>
      <c r="H2478" s="3">
        <v>2537422</v>
      </c>
      <c r="I2478" s="4">
        <f t="shared" si="152"/>
        <v>-0.26</v>
      </c>
      <c r="J2478" s="2">
        <f t="shared" si="153"/>
        <v>14.33</v>
      </c>
      <c r="K2478" s="7">
        <f t="shared" si="154"/>
        <v>46143</v>
      </c>
      <c r="L2478" t="str">
        <f t="shared" si="155"/>
        <v>Q2-2026</v>
      </c>
    </row>
    <row r="2479" spans="1:12">
      <c r="A2479" s="6">
        <v>46162</v>
      </c>
      <c r="B2479" t="s">
        <v>12</v>
      </c>
      <c r="C2479" t="s">
        <v>13</v>
      </c>
      <c r="D2479" s="2">
        <v>1161.8580984968489</v>
      </c>
      <c r="E2479" s="2">
        <v>1181.3366195800529</v>
      </c>
      <c r="F2479" s="2">
        <v>1159.8026025902211</v>
      </c>
      <c r="G2479" s="2">
        <v>1168.416137695312</v>
      </c>
      <c r="H2479" s="3">
        <v>15121010</v>
      </c>
      <c r="I2479" s="4">
        <f t="shared" si="152"/>
        <v>-0.18</v>
      </c>
      <c r="J2479" s="2">
        <f t="shared" si="153"/>
        <v>12.92</v>
      </c>
      <c r="K2479" s="7">
        <f t="shared" si="154"/>
        <v>46143</v>
      </c>
      <c r="L2479" t="str">
        <f t="shared" si="155"/>
        <v>Q2-2026</v>
      </c>
    </row>
    <row r="2480" spans="1:12">
      <c r="A2480" s="6">
        <v>46162</v>
      </c>
      <c r="B2480" t="s">
        <v>14</v>
      </c>
      <c r="C2480" t="s">
        <v>15</v>
      </c>
      <c r="D2480" s="2">
        <v>747.24104914755856</v>
      </c>
      <c r="E2480" s="2">
        <v>749.84795684513085</v>
      </c>
      <c r="F2480" s="2">
        <v>742.8635000569833</v>
      </c>
      <c r="G2480" s="2">
        <v>747.1427001953125</v>
      </c>
      <c r="H2480" s="3">
        <v>24013451</v>
      </c>
      <c r="I2480" s="4">
        <f t="shared" si="152"/>
        <v>-0.59</v>
      </c>
      <c r="J2480" s="2">
        <f t="shared" si="153"/>
        <v>2.71</v>
      </c>
      <c r="K2480" s="7">
        <f t="shared" si="154"/>
        <v>46143</v>
      </c>
      <c r="L2480" t="str">
        <f t="shared" si="155"/>
        <v>Q2-2026</v>
      </c>
    </row>
    <row r="2481" spans="1:12">
      <c r="A2481" s="6">
        <v>46162</v>
      </c>
      <c r="B2481" t="s">
        <v>16</v>
      </c>
      <c r="C2481" t="s">
        <v>17</v>
      </c>
      <c r="D2481" s="2">
        <v>1219.7171565954959</v>
      </c>
      <c r="E2481" s="2">
        <v>1229.33601583328</v>
      </c>
      <c r="F2481" s="2">
        <v>1213.0732172518469</v>
      </c>
      <c r="G2481" s="2">
        <v>1226.956176757812</v>
      </c>
      <c r="H2481" s="3">
        <v>14953103</v>
      </c>
      <c r="I2481" s="4">
        <f t="shared" si="152"/>
        <v>-0.54</v>
      </c>
      <c r="J2481" s="2">
        <f t="shared" si="153"/>
        <v>2.38</v>
      </c>
      <c r="K2481" s="7">
        <f t="shared" si="154"/>
        <v>46143</v>
      </c>
      <c r="L2481" t="str">
        <f t="shared" si="155"/>
        <v>Q2-2026</v>
      </c>
    </row>
    <row r="2482" spans="1:12">
      <c r="A2482" s="6">
        <v>46162</v>
      </c>
      <c r="B2482" t="s">
        <v>18</v>
      </c>
      <c r="C2482" t="s">
        <v>19</v>
      </c>
      <c r="D2482" s="2">
        <v>192.41249770295809</v>
      </c>
      <c r="E2482" s="2">
        <v>195.7048977217606</v>
      </c>
      <c r="F2482" s="2">
        <v>191.81926676594369</v>
      </c>
      <c r="G2482" s="2">
        <v>194.89414978027341</v>
      </c>
      <c r="H2482" s="3">
        <v>16201692</v>
      </c>
      <c r="I2482" s="4">
        <f t="shared" si="152"/>
        <v>-0.31</v>
      </c>
      <c r="J2482" s="2">
        <f t="shared" si="153"/>
        <v>0.81</v>
      </c>
      <c r="K2482" s="7">
        <f t="shared" si="154"/>
        <v>46143</v>
      </c>
      <c r="L2482" t="str">
        <f t="shared" si="155"/>
        <v>Q2-2026</v>
      </c>
    </row>
    <row r="2483" spans="1:12">
      <c r="A2483" s="6">
        <v>46162</v>
      </c>
      <c r="B2483" t="s">
        <v>20</v>
      </c>
      <c r="C2483" t="s">
        <v>21</v>
      </c>
      <c r="D2483" s="2">
        <v>1154.41419064807</v>
      </c>
      <c r="E2483" s="2">
        <v>1169.0646683575769</v>
      </c>
      <c r="F2483" s="2">
        <v>1150.652666418684</v>
      </c>
      <c r="G2483" s="2">
        <v>1157.977905273438</v>
      </c>
      <c r="H2483" s="3">
        <v>1415960</v>
      </c>
      <c r="I2483" s="4">
        <f t="shared" si="152"/>
        <v>-0.33</v>
      </c>
      <c r="J2483" s="2">
        <f t="shared" si="153"/>
        <v>11.09</v>
      </c>
      <c r="K2483" s="7">
        <f t="shared" si="154"/>
        <v>46143</v>
      </c>
      <c r="L2483" t="str">
        <f t="shared" si="155"/>
        <v>Q2-2026</v>
      </c>
    </row>
    <row r="2484" spans="1:12">
      <c r="A2484" s="6">
        <v>46162</v>
      </c>
      <c r="B2484" t="s">
        <v>22</v>
      </c>
      <c r="C2484" t="s">
        <v>23</v>
      </c>
      <c r="D2484" s="2">
        <v>904.44020491838512</v>
      </c>
      <c r="E2484" s="2">
        <v>920.64060524765966</v>
      </c>
      <c r="F2484" s="2">
        <v>902.89968703146894</v>
      </c>
      <c r="G2484" s="2">
        <v>917.46014404296875</v>
      </c>
      <c r="H2484" s="3">
        <v>5864990</v>
      </c>
      <c r="I2484" s="4">
        <f t="shared" si="152"/>
        <v>-0.17</v>
      </c>
      <c r="J2484" s="2">
        <f t="shared" si="153"/>
        <v>3.18</v>
      </c>
      <c r="K2484" s="7">
        <f t="shared" si="154"/>
        <v>46143</v>
      </c>
      <c r="L2484" t="str">
        <f t="shared" si="155"/>
        <v>Q2-2026</v>
      </c>
    </row>
    <row r="2485" spans="1:12">
      <c r="A2485" s="6">
        <v>46162</v>
      </c>
      <c r="B2485" t="s">
        <v>24</v>
      </c>
      <c r="C2485" t="s">
        <v>25</v>
      </c>
      <c r="D2485" s="2">
        <v>12722.23028910396</v>
      </c>
      <c r="E2485" s="2">
        <v>12942.022905771741</v>
      </c>
      <c r="F2485" s="2">
        <v>12626.194776415779</v>
      </c>
      <c r="G2485" s="2">
        <v>12873.708984375</v>
      </c>
      <c r="H2485" s="3">
        <v>300695</v>
      </c>
      <c r="I2485" s="4">
        <f t="shared" si="152"/>
        <v>-0.75</v>
      </c>
      <c r="J2485" s="2">
        <f t="shared" si="153"/>
        <v>68.31</v>
      </c>
      <c r="K2485" s="7">
        <f t="shared" si="154"/>
        <v>46143</v>
      </c>
      <c r="L2485" t="str">
        <f t="shared" si="155"/>
        <v>Q2-2026</v>
      </c>
    </row>
    <row r="2486" spans="1:12">
      <c r="A2486" s="6">
        <v>46162</v>
      </c>
      <c r="B2486" t="s">
        <v>26</v>
      </c>
      <c r="C2486" t="s">
        <v>27</v>
      </c>
      <c r="D2486" s="2">
        <v>355.69936884954882</v>
      </c>
      <c r="E2486" s="2">
        <v>361.99713324840508</v>
      </c>
      <c r="F2486" s="2">
        <v>353.17035988825262</v>
      </c>
      <c r="G2486" s="2">
        <v>358.27798461914063</v>
      </c>
      <c r="H2486" s="3">
        <v>9875276</v>
      </c>
      <c r="I2486" s="4">
        <f t="shared" si="152"/>
        <v>-0.71</v>
      </c>
      <c r="J2486" s="2">
        <f t="shared" si="153"/>
        <v>3.72</v>
      </c>
      <c r="K2486" s="7">
        <f t="shared" si="154"/>
        <v>46143</v>
      </c>
      <c r="L2486" t="str">
        <f t="shared" si="155"/>
        <v>Q2-2026</v>
      </c>
    </row>
    <row r="2487" spans="1:12">
      <c r="A2487" s="6">
        <v>46162</v>
      </c>
      <c r="B2487" t="s">
        <v>28</v>
      </c>
      <c r="C2487" t="s">
        <v>29</v>
      </c>
      <c r="D2487" s="2">
        <v>1875.085745254722</v>
      </c>
      <c r="E2487" s="2">
        <v>1887.952049452726</v>
      </c>
      <c r="F2487" s="2">
        <v>1867.1066569770419</v>
      </c>
      <c r="G2487" s="2">
        <v>1875.385009765625</v>
      </c>
      <c r="H2487" s="3">
        <v>1376695</v>
      </c>
      <c r="I2487" s="4">
        <f t="shared" si="152"/>
        <v>-0.43</v>
      </c>
      <c r="J2487" s="2">
        <f t="shared" si="153"/>
        <v>12.57</v>
      </c>
      <c r="K2487" s="7">
        <f t="shared" si="154"/>
        <v>46143</v>
      </c>
      <c r="L2487" t="str">
        <f t="shared" si="155"/>
        <v>Q2-2026</v>
      </c>
    </row>
    <row r="2488" spans="1:12">
      <c r="A2488" s="6">
        <v>46162</v>
      </c>
      <c r="B2488" t="s">
        <v>30</v>
      </c>
      <c r="C2488" t="s">
        <v>31</v>
      </c>
      <c r="D2488" s="2">
        <v>2539.9632490675849</v>
      </c>
      <c r="E2488" s="2">
        <v>2591.5159769955758</v>
      </c>
      <c r="F2488" s="2">
        <v>2539.9632490675849</v>
      </c>
      <c r="G2488" s="2">
        <v>2576.24853515625</v>
      </c>
      <c r="H2488" s="3">
        <v>586190</v>
      </c>
      <c r="I2488" s="4">
        <f t="shared" si="152"/>
        <v>0</v>
      </c>
      <c r="J2488" s="2">
        <f t="shared" si="153"/>
        <v>15.27</v>
      </c>
      <c r="K2488" s="7">
        <f t="shared" si="154"/>
        <v>46143</v>
      </c>
      <c r="L2488" t="str">
        <f t="shared" si="155"/>
        <v>Q2-2026</v>
      </c>
    </row>
    <row r="2489" spans="1:12">
      <c r="A2489" s="6">
        <v>46162</v>
      </c>
      <c r="B2489" t="s">
        <v>32</v>
      </c>
      <c r="C2489" t="s">
        <v>33</v>
      </c>
      <c r="D2489" s="2">
        <v>2202.4969749325519</v>
      </c>
      <c r="E2489" s="2">
        <v>2204.476836563731</v>
      </c>
      <c r="F2489" s="2">
        <v>2178.83772511289</v>
      </c>
      <c r="G2489" s="2">
        <v>2187.05419921875</v>
      </c>
      <c r="H2489" s="3">
        <v>1071994</v>
      </c>
      <c r="I2489" s="4">
        <f t="shared" si="152"/>
        <v>-1.07</v>
      </c>
      <c r="J2489" s="2">
        <f t="shared" si="153"/>
        <v>17.420000000000002</v>
      </c>
      <c r="K2489" s="7">
        <f t="shared" si="154"/>
        <v>46143</v>
      </c>
      <c r="L2489" t="str">
        <f t="shared" si="155"/>
        <v>Q2-2026</v>
      </c>
    </row>
    <row r="2490" spans="1:12">
      <c r="A2490" s="6">
        <v>46162</v>
      </c>
      <c r="B2490" t="s">
        <v>34</v>
      </c>
      <c r="C2490" t="s">
        <v>35</v>
      </c>
      <c r="D2490" s="2">
        <v>3863.8604825083899</v>
      </c>
      <c r="E2490" s="2">
        <v>3905.3550931385848</v>
      </c>
      <c r="F2490" s="2">
        <v>3845.539430340757</v>
      </c>
      <c r="G2490" s="2">
        <v>3872.872314453125</v>
      </c>
      <c r="H2490" s="3">
        <v>1972259</v>
      </c>
      <c r="I2490" s="4">
        <f t="shared" si="152"/>
        <v>-0.47</v>
      </c>
      <c r="J2490" s="2">
        <f t="shared" si="153"/>
        <v>32.479999999999997</v>
      </c>
      <c r="K2490" s="7">
        <f t="shared" si="154"/>
        <v>46143</v>
      </c>
      <c r="L2490" t="str">
        <f t="shared" si="155"/>
        <v>Q2-2026</v>
      </c>
    </row>
    <row r="2491" spans="1:12">
      <c r="A2491" s="6">
        <v>46162</v>
      </c>
      <c r="B2491" t="s">
        <v>36</v>
      </c>
      <c r="C2491" t="s">
        <v>37</v>
      </c>
      <c r="D2491" s="2">
        <v>1233.0490412431211</v>
      </c>
      <c r="E2491" s="2">
        <v>1253.1335271630969</v>
      </c>
      <c r="F2491" s="2">
        <v>1225.6547195178889</v>
      </c>
      <c r="G2491" s="2">
        <v>1248.8369140625</v>
      </c>
      <c r="H2491" s="3">
        <v>3562641</v>
      </c>
      <c r="I2491" s="4">
        <f t="shared" si="152"/>
        <v>-0.6</v>
      </c>
      <c r="J2491" s="2">
        <f t="shared" si="153"/>
        <v>4.3</v>
      </c>
      <c r="K2491" s="7">
        <f t="shared" si="154"/>
        <v>46143</v>
      </c>
      <c r="L2491" t="str">
        <f t="shared" si="155"/>
        <v>Q2-2026</v>
      </c>
    </row>
    <row r="2492" spans="1:12">
      <c r="A2492" s="6">
        <v>46163</v>
      </c>
      <c r="B2492" t="s">
        <v>8</v>
      </c>
      <c r="C2492" t="s">
        <v>9</v>
      </c>
      <c r="D2492" s="2">
        <v>1360.9076465750111</v>
      </c>
      <c r="E2492" s="2">
        <v>1364.5906908611551</v>
      </c>
      <c r="F2492" s="2">
        <v>1339.0088978228709</v>
      </c>
      <c r="G2492" s="2">
        <v>1343.388671875</v>
      </c>
      <c r="H2492" s="3">
        <v>17150630</v>
      </c>
      <c r="I2492" s="4">
        <f t="shared" si="152"/>
        <v>-1.61</v>
      </c>
      <c r="J2492" s="2">
        <f t="shared" si="153"/>
        <v>21.2</v>
      </c>
      <c r="K2492" s="7">
        <f t="shared" si="154"/>
        <v>46143</v>
      </c>
      <c r="L2492" t="str">
        <f t="shared" si="155"/>
        <v>Q2-2026</v>
      </c>
    </row>
    <row r="2493" spans="1:12">
      <c r="A2493" s="6">
        <v>46163</v>
      </c>
      <c r="B2493" t="s">
        <v>10</v>
      </c>
      <c r="C2493" t="s">
        <v>11</v>
      </c>
      <c r="D2493" s="2">
        <v>2287.2756433948011</v>
      </c>
      <c r="E2493" s="2">
        <v>2292.0836345084322</v>
      </c>
      <c r="F2493" s="2">
        <v>2270.594525446405</v>
      </c>
      <c r="G2493" s="2">
        <v>2283.546875</v>
      </c>
      <c r="H2493" s="3">
        <v>3299087</v>
      </c>
      <c r="I2493" s="4">
        <f t="shared" si="152"/>
        <v>-0.73</v>
      </c>
      <c r="J2493" s="2">
        <f t="shared" si="153"/>
        <v>8.5399999999999991</v>
      </c>
      <c r="K2493" s="7">
        <f t="shared" si="154"/>
        <v>46143</v>
      </c>
      <c r="L2493" t="str">
        <f t="shared" si="155"/>
        <v>Q2-2026</v>
      </c>
    </row>
    <row r="2494" spans="1:12">
      <c r="A2494" s="6">
        <v>46163</v>
      </c>
      <c r="B2494" t="s">
        <v>12</v>
      </c>
      <c r="C2494" t="s">
        <v>13</v>
      </c>
      <c r="D2494" s="2">
        <v>1170.7653346096861</v>
      </c>
      <c r="E2494" s="2">
        <v>1176.3446743746749</v>
      </c>
      <c r="F2494" s="2">
        <v>1152.069916363437</v>
      </c>
      <c r="G2494" s="2">
        <v>1156.180908203125</v>
      </c>
      <c r="H2494" s="3">
        <v>10021033</v>
      </c>
      <c r="I2494" s="4">
        <f t="shared" si="152"/>
        <v>-1.6</v>
      </c>
      <c r="J2494" s="2">
        <f t="shared" si="153"/>
        <v>20.16</v>
      </c>
      <c r="K2494" s="7">
        <f t="shared" si="154"/>
        <v>46143</v>
      </c>
      <c r="L2494" t="str">
        <f t="shared" si="155"/>
        <v>Q2-2026</v>
      </c>
    </row>
    <row r="2495" spans="1:12">
      <c r="A2495" s="6">
        <v>46163</v>
      </c>
      <c r="B2495" t="s">
        <v>14</v>
      </c>
      <c r="C2495" t="s">
        <v>15</v>
      </c>
      <c r="D2495" s="2">
        <v>754.52065474966309</v>
      </c>
      <c r="E2495" s="2">
        <v>755.7503168336749</v>
      </c>
      <c r="F2495" s="2">
        <v>742.86348221006836</v>
      </c>
      <c r="G2495" s="2">
        <v>746.79840087890625</v>
      </c>
      <c r="H2495" s="3">
        <v>34664725</v>
      </c>
      <c r="I2495" s="4">
        <f t="shared" si="152"/>
        <v>-1.54</v>
      </c>
      <c r="J2495" s="2">
        <f t="shared" si="153"/>
        <v>8.9499999999999993</v>
      </c>
      <c r="K2495" s="7">
        <f t="shared" si="154"/>
        <v>46143</v>
      </c>
      <c r="L2495" t="str">
        <f t="shared" si="155"/>
        <v>Q2-2026</v>
      </c>
    </row>
    <row r="2496" spans="1:12">
      <c r="A2496" s="6">
        <v>46163</v>
      </c>
      <c r="B2496" t="s">
        <v>16</v>
      </c>
      <c r="C2496" t="s">
        <v>17</v>
      </c>
      <c r="D2496" s="2">
        <v>1234.8892560806851</v>
      </c>
      <c r="E2496" s="2">
        <v>1237.864175877507</v>
      </c>
      <c r="F2496" s="2">
        <v>1224.0803566089389</v>
      </c>
      <c r="G2496" s="2">
        <v>1232.41015625</v>
      </c>
      <c r="H2496" s="3">
        <v>14394386</v>
      </c>
      <c r="I2496" s="4">
        <f t="shared" si="152"/>
        <v>-0.88</v>
      </c>
      <c r="J2496" s="2">
        <f t="shared" si="153"/>
        <v>5.45</v>
      </c>
      <c r="K2496" s="7">
        <f t="shared" si="154"/>
        <v>46143</v>
      </c>
      <c r="L2496" t="str">
        <f t="shared" si="155"/>
        <v>Q2-2026</v>
      </c>
    </row>
    <row r="2497" spans="1:12">
      <c r="A2497" s="6">
        <v>46163</v>
      </c>
      <c r="B2497" t="s">
        <v>18</v>
      </c>
      <c r="C2497" t="s">
        <v>19</v>
      </c>
      <c r="D2497" s="2">
        <v>196.25856981438201</v>
      </c>
      <c r="E2497" s="2">
        <v>197.7811737431486</v>
      </c>
      <c r="F2497" s="2">
        <v>195.26986165410801</v>
      </c>
      <c r="G2497" s="2">
        <v>197.48457336425781</v>
      </c>
      <c r="H2497" s="3">
        <v>18980608</v>
      </c>
      <c r="I2497" s="4">
        <f t="shared" si="152"/>
        <v>-0.5</v>
      </c>
      <c r="J2497" s="2">
        <f t="shared" si="153"/>
        <v>0.3</v>
      </c>
      <c r="K2497" s="7">
        <f t="shared" si="154"/>
        <v>46143</v>
      </c>
      <c r="L2497" t="str">
        <f t="shared" si="155"/>
        <v>Q2-2026</v>
      </c>
    </row>
    <row r="2498" spans="1:12">
      <c r="A2498" s="6">
        <v>46163</v>
      </c>
      <c r="B2498" t="s">
        <v>20</v>
      </c>
      <c r="C2498" t="s">
        <v>21</v>
      </c>
      <c r="D2498" s="2">
        <v>1161.8384595944719</v>
      </c>
      <c r="E2498" s="2">
        <v>1168.6687518922561</v>
      </c>
      <c r="F2498" s="2">
        <v>1151.444573309002</v>
      </c>
      <c r="G2498" s="2">
        <v>1156.39404296875</v>
      </c>
      <c r="H2498" s="3">
        <v>2245247</v>
      </c>
      <c r="I2498" s="4">
        <f t="shared" ref="I2498:I2561" si="156">ROUND(((F2498-D2498)/D2498)*100, 2)</f>
        <v>-0.89</v>
      </c>
      <c r="J2498" s="2">
        <f t="shared" ref="J2498:J2561" si="157">ROUND(E2498-G2498, 2)</f>
        <v>12.27</v>
      </c>
      <c r="K2498" s="7">
        <f t="shared" ref="K2498:K2561" si="158">DATE(YEAR(A2498),MONTH(A2498),1)</f>
        <v>46143</v>
      </c>
      <c r="L2498" t="str">
        <f t="shared" ref="L2498:L2561" si="159">"Q"&amp;INT((MONTH(A2498)-1)/3)+1&amp;"-"&amp;YEAR(A2498)</f>
        <v>Q2-2026</v>
      </c>
    </row>
    <row r="2499" spans="1:12">
      <c r="A2499" s="6">
        <v>46163</v>
      </c>
      <c r="B2499" t="s">
        <v>22</v>
      </c>
      <c r="C2499" t="s">
        <v>23</v>
      </c>
      <c r="D2499" s="2">
        <v>927.29971075126537</v>
      </c>
      <c r="E2499" s="2">
        <v>929.18812671008686</v>
      </c>
      <c r="F2499" s="2">
        <v>897.73147238593833</v>
      </c>
      <c r="G2499" s="2">
        <v>902.1046142578125</v>
      </c>
      <c r="H2499" s="3">
        <v>9713326</v>
      </c>
      <c r="I2499" s="4">
        <f t="shared" si="156"/>
        <v>-3.19</v>
      </c>
      <c r="J2499" s="2">
        <f t="shared" si="157"/>
        <v>27.08</v>
      </c>
      <c r="K2499" s="7">
        <f t="shared" si="158"/>
        <v>46143</v>
      </c>
      <c r="L2499" t="str">
        <f t="shared" si="159"/>
        <v>Q2-2026</v>
      </c>
    </row>
    <row r="2500" spans="1:12">
      <c r="A2500" s="6">
        <v>46163</v>
      </c>
      <c r="B2500" t="s">
        <v>24</v>
      </c>
      <c r="C2500" t="s">
        <v>25</v>
      </c>
      <c r="D2500" s="2">
        <v>12972.713952158199</v>
      </c>
      <c r="E2500" s="2">
        <v>13019.246620688409</v>
      </c>
      <c r="F2500" s="2">
        <v>12804.40430002762</v>
      </c>
      <c r="G2500" s="2">
        <v>12880.638671875</v>
      </c>
      <c r="H2500" s="3">
        <v>213095</v>
      </c>
      <c r="I2500" s="4">
        <f t="shared" si="156"/>
        <v>-1.3</v>
      </c>
      <c r="J2500" s="2">
        <f t="shared" si="157"/>
        <v>138.61000000000001</v>
      </c>
      <c r="K2500" s="7">
        <f t="shared" si="158"/>
        <v>46143</v>
      </c>
      <c r="L2500" t="str">
        <f t="shared" si="159"/>
        <v>Q2-2026</v>
      </c>
    </row>
    <row r="2501" spans="1:12">
      <c r="A2501" s="6">
        <v>46163</v>
      </c>
      <c r="B2501" t="s">
        <v>26</v>
      </c>
      <c r="C2501" t="s">
        <v>27</v>
      </c>
      <c r="D2501" s="2">
        <v>361.00535905046968</v>
      </c>
      <c r="E2501" s="2">
        <v>362.98890497931842</v>
      </c>
      <c r="F2501" s="2">
        <v>356.04649422834791</v>
      </c>
      <c r="G2501" s="2">
        <v>358.37716674804688</v>
      </c>
      <c r="H2501" s="3">
        <v>10834385</v>
      </c>
      <c r="I2501" s="4">
        <f t="shared" si="156"/>
        <v>-1.37</v>
      </c>
      <c r="J2501" s="2">
        <f t="shared" si="157"/>
        <v>4.6100000000000003</v>
      </c>
      <c r="K2501" s="7">
        <f t="shared" si="158"/>
        <v>46143</v>
      </c>
      <c r="L2501" t="str">
        <f t="shared" si="159"/>
        <v>Q2-2026</v>
      </c>
    </row>
    <row r="2502" spans="1:12">
      <c r="A2502" s="6">
        <v>46163</v>
      </c>
      <c r="B2502" t="s">
        <v>28</v>
      </c>
      <c r="C2502" t="s">
        <v>29</v>
      </c>
      <c r="D2502" s="2">
        <v>1887.054444790826</v>
      </c>
      <c r="E2502" s="2">
        <v>1894.6345545739889</v>
      </c>
      <c r="F2502" s="2">
        <v>1863.2168933631481</v>
      </c>
      <c r="G2502" s="2">
        <v>1886.356323242188</v>
      </c>
      <c r="H2502" s="3">
        <v>1605806</v>
      </c>
      <c r="I2502" s="4">
        <f t="shared" si="156"/>
        <v>-1.26</v>
      </c>
      <c r="J2502" s="2">
        <f t="shared" si="157"/>
        <v>8.2799999999999994</v>
      </c>
      <c r="K2502" s="7">
        <f t="shared" si="158"/>
        <v>46143</v>
      </c>
      <c r="L2502" t="str">
        <f t="shared" si="159"/>
        <v>Q2-2026</v>
      </c>
    </row>
    <row r="2503" spans="1:12">
      <c r="A2503" s="6">
        <v>46163</v>
      </c>
      <c r="B2503" t="s">
        <v>30</v>
      </c>
      <c r="C2503" t="s">
        <v>31</v>
      </c>
      <c r="D2503" s="2">
        <v>2602.4213727320248</v>
      </c>
      <c r="E2503" s="2">
        <v>2625.5210089438401</v>
      </c>
      <c r="F2503" s="2">
        <v>2568.5155883982811</v>
      </c>
      <c r="G2503" s="2">
        <v>2576.44677734375</v>
      </c>
      <c r="H2503" s="3">
        <v>1031843</v>
      </c>
      <c r="I2503" s="4">
        <f t="shared" si="156"/>
        <v>-1.3</v>
      </c>
      <c r="J2503" s="2">
        <f t="shared" si="157"/>
        <v>49.07</v>
      </c>
      <c r="K2503" s="7">
        <f t="shared" si="158"/>
        <v>46143</v>
      </c>
      <c r="L2503" t="str">
        <f t="shared" si="159"/>
        <v>Q2-2026</v>
      </c>
    </row>
    <row r="2504" spans="1:12">
      <c r="A2504" s="6">
        <v>46163</v>
      </c>
      <c r="B2504" t="s">
        <v>32</v>
      </c>
      <c r="C2504" t="s">
        <v>33</v>
      </c>
      <c r="D2504" s="2">
        <v>2201.6062145049341</v>
      </c>
      <c r="E2504" s="2">
        <v>2206.5558687641619</v>
      </c>
      <c r="F2504" s="2">
        <v>2154.089533616338</v>
      </c>
      <c r="G2504" s="2">
        <v>2157.059326171875</v>
      </c>
      <c r="H2504" s="3">
        <v>1581812</v>
      </c>
      <c r="I2504" s="4">
        <f t="shared" si="156"/>
        <v>-2.16</v>
      </c>
      <c r="J2504" s="2">
        <f t="shared" si="157"/>
        <v>49.5</v>
      </c>
      <c r="K2504" s="7">
        <f t="shared" si="158"/>
        <v>46143</v>
      </c>
      <c r="L2504" t="str">
        <f t="shared" si="159"/>
        <v>Q2-2026</v>
      </c>
    </row>
    <row r="2505" spans="1:12">
      <c r="A2505" s="6">
        <v>46163</v>
      </c>
      <c r="B2505" t="s">
        <v>34</v>
      </c>
      <c r="C2505" t="s">
        <v>35</v>
      </c>
      <c r="D2505" s="2">
        <v>3931.5985745195371</v>
      </c>
      <c r="E2505" s="2">
        <v>3931.5985745195371</v>
      </c>
      <c r="F2505" s="2">
        <v>3874.8527835138548</v>
      </c>
      <c r="G2505" s="2">
        <v>3890.5</v>
      </c>
      <c r="H2505" s="3">
        <v>1624945</v>
      </c>
      <c r="I2505" s="4">
        <f t="shared" si="156"/>
        <v>-1.44</v>
      </c>
      <c r="J2505" s="2">
        <f t="shared" si="157"/>
        <v>41.1</v>
      </c>
      <c r="K2505" s="7">
        <f t="shared" si="158"/>
        <v>46143</v>
      </c>
      <c r="L2505" t="str">
        <f t="shared" si="159"/>
        <v>Q2-2026</v>
      </c>
    </row>
    <row r="2506" spans="1:12">
      <c r="A2506" s="6">
        <v>46163</v>
      </c>
      <c r="B2506" t="s">
        <v>36</v>
      </c>
      <c r="C2506" t="s">
        <v>37</v>
      </c>
      <c r="D2506" s="2">
        <v>1255.9314298819741</v>
      </c>
      <c r="E2506" s="2">
        <v>1261.726887089914</v>
      </c>
      <c r="F2506" s="2">
        <v>1243.840778800741</v>
      </c>
      <c r="G2506" s="2">
        <v>1252.334228515625</v>
      </c>
      <c r="H2506" s="3">
        <v>5171528</v>
      </c>
      <c r="I2506" s="4">
        <f t="shared" si="156"/>
        <v>-0.96</v>
      </c>
      <c r="J2506" s="2">
        <f t="shared" si="157"/>
        <v>9.39</v>
      </c>
      <c r="K2506" s="7">
        <f t="shared" si="158"/>
        <v>46143</v>
      </c>
      <c r="L2506" t="str">
        <f t="shared" si="159"/>
        <v>Q2-2026</v>
      </c>
    </row>
    <row r="2507" spans="1:12">
      <c r="A2507" s="6">
        <v>46164</v>
      </c>
      <c r="B2507" t="s">
        <v>8</v>
      </c>
      <c r="C2507" t="s">
        <v>9</v>
      </c>
      <c r="D2507" s="2">
        <v>1343.786823868355</v>
      </c>
      <c r="E2507" s="2">
        <v>1361.1067672332481</v>
      </c>
      <c r="F2507" s="2">
        <v>1342.8909416840761</v>
      </c>
      <c r="G2507" s="2">
        <v>1348.26611328125</v>
      </c>
      <c r="H2507" s="3">
        <v>7105813</v>
      </c>
      <c r="I2507" s="4">
        <f t="shared" si="156"/>
        <v>-7.0000000000000007E-2</v>
      </c>
      <c r="J2507" s="2">
        <f t="shared" si="157"/>
        <v>12.84</v>
      </c>
      <c r="K2507" s="7">
        <f t="shared" si="158"/>
        <v>46143</v>
      </c>
      <c r="L2507" t="str">
        <f t="shared" si="159"/>
        <v>Q2-2026</v>
      </c>
    </row>
    <row r="2508" spans="1:12">
      <c r="A2508" s="6">
        <v>46164</v>
      </c>
      <c r="B2508" t="s">
        <v>10</v>
      </c>
      <c r="C2508" t="s">
        <v>11</v>
      </c>
      <c r="D2508" s="2">
        <v>2287.3737093363329</v>
      </c>
      <c r="E2508" s="2">
        <v>2296.1066687906359</v>
      </c>
      <c r="F2508" s="2">
        <v>2264.8051395148868</v>
      </c>
      <c r="G2508" s="2">
        <v>2273.83251953125</v>
      </c>
      <c r="H2508" s="3">
        <v>2617262</v>
      </c>
      <c r="I2508" s="4">
        <f t="shared" si="156"/>
        <v>-0.99</v>
      </c>
      <c r="J2508" s="2">
        <f t="shared" si="157"/>
        <v>22.27</v>
      </c>
      <c r="K2508" s="7">
        <f t="shared" si="158"/>
        <v>46143</v>
      </c>
      <c r="L2508" t="str">
        <f t="shared" si="159"/>
        <v>Q2-2026</v>
      </c>
    </row>
    <row r="2509" spans="1:12">
      <c r="A2509" s="6">
        <v>46164</v>
      </c>
      <c r="B2509" t="s">
        <v>12</v>
      </c>
      <c r="C2509" t="s">
        <v>13</v>
      </c>
      <c r="D2509" s="2">
        <v>1157.4533539662821</v>
      </c>
      <c r="E2509" s="2">
        <v>1166.556417567266</v>
      </c>
      <c r="F2509" s="2">
        <v>1147.6651649263979</v>
      </c>
      <c r="G2509" s="2">
        <v>1149.622802734375</v>
      </c>
      <c r="H2509" s="3">
        <v>8803066</v>
      </c>
      <c r="I2509" s="4">
        <f t="shared" si="156"/>
        <v>-0.85</v>
      </c>
      <c r="J2509" s="2">
        <f t="shared" si="157"/>
        <v>16.93</v>
      </c>
      <c r="K2509" s="7">
        <f t="shared" si="158"/>
        <v>46143</v>
      </c>
      <c r="L2509" t="str">
        <f t="shared" si="159"/>
        <v>Q2-2026</v>
      </c>
    </row>
    <row r="2510" spans="1:12">
      <c r="A2510" s="6">
        <v>46164</v>
      </c>
      <c r="B2510" t="s">
        <v>14</v>
      </c>
      <c r="C2510" t="s">
        <v>15</v>
      </c>
      <c r="D2510" s="2">
        <v>746.7984174780529</v>
      </c>
      <c r="E2510" s="2">
        <v>762.39050903305201</v>
      </c>
      <c r="F2510" s="2">
        <v>746.7984174780529</v>
      </c>
      <c r="G2510" s="2">
        <v>754.32391357421875</v>
      </c>
      <c r="H2510" s="3">
        <v>25604071</v>
      </c>
      <c r="I2510" s="4">
        <f t="shared" si="156"/>
        <v>0</v>
      </c>
      <c r="J2510" s="2">
        <f t="shared" si="157"/>
        <v>8.07</v>
      </c>
      <c r="K2510" s="7">
        <f t="shared" si="158"/>
        <v>46143</v>
      </c>
      <c r="L2510" t="str">
        <f t="shared" si="159"/>
        <v>Q2-2026</v>
      </c>
    </row>
    <row r="2511" spans="1:12">
      <c r="A2511" s="6">
        <v>46164</v>
      </c>
      <c r="B2511" t="s">
        <v>16</v>
      </c>
      <c r="C2511" t="s">
        <v>17</v>
      </c>
      <c r="D2511" s="2">
        <v>1231.6168488886799</v>
      </c>
      <c r="E2511" s="2">
        <v>1260.1761285871789</v>
      </c>
      <c r="F2511" s="2">
        <v>1231.6168488886799</v>
      </c>
      <c r="G2511" s="2">
        <v>1253.73046875</v>
      </c>
      <c r="H2511" s="3">
        <v>11601085</v>
      </c>
      <c r="I2511" s="4">
        <f t="shared" si="156"/>
        <v>0</v>
      </c>
      <c r="J2511" s="2">
        <f t="shared" si="157"/>
        <v>6.45</v>
      </c>
      <c r="K2511" s="7">
        <f t="shared" si="158"/>
        <v>46143</v>
      </c>
      <c r="L2511" t="str">
        <f t="shared" si="159"/>
        <v>Q2-2026</v>
      </c>
    </row>
    <row r="2512" spans="1:12">
      <c r="A2512" s="6">
        <v>46164</v>
      </c>
      <c r="B2512" t="s">
        <v>18</v>
      </c>
      <c r="C2512" t="s">
        <v>19</v>
      </c>
      <c r="D2512" s="2">
        <v>197.74164513500361</v>
      </c>
      <c r="E2512" s="2">
        <v>203.08066351905259</v>
      </c>
      <c r="F2512" s="2">
        <v>196.58485832134261</v>
      </c>
      <c r="G2512" s="2">
        <v>200.8165283203125</v>
      </c>
      <c r="H2512" s="3">
        <v>40014399</v>
      </c>
      <c r="I2512" s="4">
        <f t="shared" si="156"/>
        <v>-0.57999999999999996</v>
      </c>
      <c r="J2512" s="2">
        <f t="shared" si="157"/>
        <v>2.2599999999999998</v>
      </c>
      <c r="K2512" s="7">
        <f t="shared" si="158"/>
        <v>46143</v>
      </c>
      <c r="L2512" t="str">
        <f t="shared" si="159"/>
        <v>Q2-2026</v>
      </c>
    </row>
    <row r="2513" spans="1:12">
      <c r="A2513" s="6">
        <v>46164</v>
      </c>
      <c r="B2513" t="s">
        <v>20</v>
      </c>
      <c r="C2513" t="s">
        <v>21</v>
      </c>
      <c r="D2513" s="2">
        <v>1158.07697081128</v>
      </c>
      <c r="E2513" s="2">
        <v>1164.115299814755</v>
      </c>
      <c r="F2513" s="2">
        <v>1148.178031187005</v>
      </c>
      <c r="G2513" s="2">
        <v>1152.236572265625</v>
      </c>
      <c r="H2513" s="3">
        <v>2044782</v>
      </c>
      <c r="I2513" s="4">
        <f t="shared" si="156"/>
        <v>-0.85</v>
      </c>
      <c r="J2513" s="2">
        <f t="shared" si="157"/>
        <v>11.88</v>
      </c>
      <c r="K2513" s="7">
        <f t="shared" si="158"/>
        <v>46143</v>
      </c>
      <c r="L2513" t="str">
        <f t="shared" si="159"/>
        <v>Q2-2026</v>
      </c>
    </row>
    <row r="2514" spans="1:12">
      <c r="A2514" s="6">
        <v>46164</v>
      </c>
      <c r="B2514" t="s">
        <v>22</v>
      </c>
      <c r="C2514" t="s">
        <v>23</v>
      </c>
      <c r="D2514" s="2">
        <v>902.55180965660838</v>
      </c>
      <c r="E2514" s="2">
        <v>918.35469061058802</v>
      </c>
      <c r="F2514" s="2">
        <v>902.55180965660838</v>
      </c>
      <c r="G2514" s="2">
        <v>910.9501953125</v>
      </c>
      <c r="H2514" s="3">
        <v>4811990</v>
      </c>
      <c r="I2514" s="4">
        <f t="shared" si="156"/>
        <v>0</v>
      </c>
      <c r="J2514" s="2">
        <f t="shared" si="157"/>
        <v>7.4</v>
      </c>
      <c r="K2514" s="7">
        <f t="shared" si="158"/>
        <v>46143</v>
      </c>
      <c r="L2514" t="str">
        <f t="shared" si="159"/>
        <v>Q2-2026</v>
      </c>
    </row>
    <row r="2515" spans="1:12">
      <c r="A2515" s="6">
        <v>46164</v>
      </c>
      <c r="B2515" t="s">
        <v>24</v>
      </c>
      <c r="C2515" t="s">
        <v>25</v>
      </c>
      <c r="D2515" s="2">
        <v>12969.744586834429</v>
      </c>
      <c r="E2515" s="2">
        <v>13021.22754244629</v>
      </c>
      <c r="F2515" s="2">
        <v>12844.99742515953</v>
      </c>
      <c r="G2515" s="2">
        <v>12857.8681640625</v>
      </c>
      <c r="H2515" s="3">
        <v>387975</v>
      </c>
      <c r="I2515" s="4">
        <f t="shared" si="156"/>
        <v>-0.96</v>
      </c>
      <c r="J2515" s="2">
        <f t="shared" si="157"/>
        <v>163.36000000000001</v>
      </c>
      <c r="K2515" s="7">
        <f t="shared" si="158"/>
        <v>46143</v>
      </c>
      <c r="L2515" t="str">
        <f t="shared" si="159"/>
        <v>Q2-2026</v>
      </c>
    </row>
    <row r="2516" spans="1:12">
      <c r="A2516" s="6">
        <v>46164</v>
      </c>
      <c r="B2516" t="s">
        <v>26</v>
      </c>
      <c r="C2516" t="s">
        <v>27</v>
      </c>
      <c r="D2516" s="2">
        <v>361.50125064535422</v>
      </c>
      <c r="E2516" s="2">
        <v>362.64178351727082</v>
      </c>
      <c r="F2516" s="2">
        <v>358.7738749546142</v>
      </c>
      <c r="G2516" s="2">
        <v>360.3607177734375</v>
      </c>
      <c r="H2516" s="3">
        <v>6934910</v>
      </c>
      <c r="I2516" s="4">
        <f t="shared" si="156"/>
        <v>-0.75</v>
      </c>
      <c r="J2516" s="2">
        <f t="shared" si="157"/>
        <v>2.2799999999999998</v>
      </c>
      <c r="K2516" s="7">
        <f t="shared" si="158"/>
        <v>46143</v>
      </c>
      <c r="L2516" t="str">
        <f t="shared" si="159"/>
        <v>Q2-2026</v>
      </c>
    </row>
    <row r="2517" spans="1:12">
      <c r="A2517" s="6">
        <v>46164</v>
      </c>
      <c r="B2517" t="s">
        <v>28</v>
      </c>
      <c r="C2517" t="s">
        <v>29</v>
      </c>
      <c r="D2517" s="2">
        <v>1898.02569114887</v>
      </c>
      <c r="E2517" s="2">
        <v>1898.02569114887</v>
      </c>
      <c r="F2517" s="2">
        <v>1828.3083805078691</v>
      </c>
      <c r="G2517" s="2">
        <v>1839.7783203125</v>
      </c>
      <c r="H2517" s="3">
        <v>3610732</v>
      </c>
      <c r="I2517" s="4">
        <f t="shared" si="156"/>
        <v>-3.67</v>
      </c>
      <c r="J2517" s="2">
        <f t="shared" si="157"/>
        <v>58.25</v>
      </c>
      <c r="K2517" s="7">
        <f t="shared" si="158"/>
        <v>46143</v>
      </c>
      <c r="L2517" t="str">
        <f t="shared" si="159"/>
        <v>Q2-2026</v>
      </c>
    </row>
    <row r="2518" spans="1:12">
      <c r="A2518" s="6">
        <v>46164</v>
      </c>
      <c r="B2518" t="s">
        <v>30</v>
      </c>
      <c r="C2518" t="s">
        <v>31</v>
      </c>
      <c r="D2518" s="2">
        <v>2583.6841517554062</v>
      </c>
      <c r="E2518" s="2">
        <v>2641.7799681669371</v>
      </c>
      <c r="F2518" s="2">
        <v>2577.83475442089</v>
      </c>
      <c r="G2518" s="2">
        <v>2617.09423828125</v>
      </c>
      <c r="H2518" s="3">
        <v>1556434</v>
      </c>
      <c r="I2518" s="4">
        <f t="shared" si="156"/>
        <v>-0.23</v>
      </c>
      <c r="J2518" s="2">
        <f t="shared" si="157"/>
        <v>24.69</v>
      </c>
      <c r="K2518" s="7">
        <f t="shared" si="158"/>
        <v>46143</v>
      </c>
      <c r="L2518" t="str">
        <f t="shared" si="159"/>
        <v>Q2-2026</v>
      </c>
    </row>
    <row r="2519" spans="1:12">
      <c r="A2519" s="6">
        <v>46164</v>
      </c>
      <c r="B2519" t="s">
        <v>32</v>
      </c>
      <c r="C2519" t="s">
        <v>33</v>
      </c>
      <c r="D2519" s="2">
        <v>2158.0493989217312</v>
      </c>
      <c r="E2519" s="2">
        <v>2202.1013247254082</v>
      </c>
      <c r="F2519" s="2">
        <v>2153.495620030882</v>
      </c>
      <c r="G2519" s="2">
        <v>2181.411865234375</v>
      </c>
      <c r="H2519" s="3">
        <v>1382889</v>
      </c>
      <c r="I2519" s="4">
        <f t="shared" si="156"/>
        <v>-0.21</v>
      </c>
      <c r="J2519" s="2">
        <f t="shared" si="157"/>
        <v>20.69</v>
      </c>
      <c r="K2519" s="7">
        <f t="shared" si="158"/>
        <v>46143</v>
      </c>
      <c r="L2519" t="str">
        <f t="shared" si="159"/>
        <v>Q2-2026</v>
      </c>
    </row>
    <row r="2520" spans="1:12">
      <c r="A2520" s="6">
        <v>46164</v>
      </c>
      <c r="B2520" t="s">
        <v>34</v>
      </c>
      <c r="C2520" t="s">
        <v>35</v>
      </c>
      <c r="D2520" s="2">
        <v>3907</v>
      </c>
      <c r="E2520" s="2">
        <v>3960</v>
      </c>
      <c r="F2520" s="2">
        <v>3900.10009765625</v>
      </c>
      <c r="G2520" s="2">
        <v>3926.60009765625</v>
      </c>
      <c r="H2520" s="3">
        <v>1330428</v>
      </c>
      <c r="I2520" s="4">
        <f t="shared" si="156"/>
        <v>-0.18</v>
      </c>
      <c r="J2520" s="2">
        <f t="shared" si="157"/>
        <v>33.4</v>
      </c>
      <c r="K2520" s="7">
        <f t="shared" si="158"/>
        <v>46143</v>
      </c>
      <c r="L2520" t="str">
        <f t="shared" si="159"/>
        <v>Q2-2026</v>
      </c>
    </row>
    <row r="2521" spans="1:12">
      <c r="A2521" s="6">
        <v>46164</v>
      </c>
      <c r="B2521" t="s">
        <v>36</v>
      </c>
      <c r="C2521" t="s">
        <v>37</v>
      </c>
      <c r="D2521" s="2">
        <v>1253.1334965544729</v>
      </c>
      <c r="E2521" s="2">
        <v>1287.8068279947061</v>
      </c>
      <c r="F2521" s="2">
        <v>1253.1334965544729</v>
      </c>
      <c r="G2521" s="2">
        <v>1284.409423828125</v>
      </c>
      <c r="H2521" s="3">
        <v>5016900</v>
      </c>
      <c r="I2521" s="4">
        <f t="shared" si="156"/>
        <v>0</v>
      </c>
      <c r="J2521" s="2">
        <f t="shared" si="157"/>
        <v>3.4</v>
      </c>
      <c r="K2521" s="7">
        <f t="shared" si="158"/>
        <v>46143</v>
      </c>
      <c r="L2521" t="str">
        <f t="shared" si="159"/>
        <v>Q2-2026</v>
      </c>
    </row>
    <row r="2522" spans="1:12">
      <c r="A2522" s="6">
        <v>46167</v>
      </c>
      <c r="B2522" t="s">
        <v>8</v>
      </c>
      <c r="C2522" t="s">
        <v>9</v>
      </c>
      <c r="D2522" s="2">
        <v>1360.509587232985</v>
      </c>
      <c r="E2522" s="2">
        <v>1364.789724319181</v>
      </c>
      <c r="F2522" s="2">
        <v>1350.754641440112</v>
      </c>
      <c r="G2522" s="2">
        <v>1360.708618164062</v>
      </c>
      <c r="H2522" s="3">
        <v>6750071</v>
      </c>
      <c r="I2522" s="4">
        <f t="shared" si="156"/>
        <v>-0.72</v>
      </c>
      <c r="J2522" s="2">
        <f t="shared" si="157"/>
        <v>4.08</v>
      </c>
      <c r="K2522" s="7">
        <f t="shared" si="158"/>
        <v>46143</v>
      </c>
      <c r="L2522" t="str">
        <f t="shared" si="159"/>
        <v>Q2-2026</v>
      </c>
    </row>
    <row r="2523" spans="1:12">
      <c r="A2523" s="6">
        <v>46167</v>
      </c>
      <c r="B2523" t="s">
        <v>10</v>
      </c>
      <c r="C2523" t="s">
        <v>11</v>
      </c>
      <c r="D2523" s="2">
        <v>2312.321719007271</v>
      </c>
      <c r="E2523" s="2">
        <v>2313.4158178045082</v>
      </c>
      <c r="F2523" s="2">
        <v>2280.4962157779241</v>
      </c>
      <c r="G2523" s="2">
        <v>2295.61328125</v>
      </c>
      <c r="H2523" s="3">
        <v>3298364</v>
      </c>
      <c r="I2523" s="4">
        <f t="shared" si="156"/>
        <v>-1.38</v>
      </c>
      <c r="J2523" s="2">
        <f t="shared" si="157"/>
        <v>17.8</v>
      </c>
      <c r="K2523" s="7">
        <f t="shared" si="158"/>
        <v>46143</v>
      </c>
      <c r="L2523" t="str">
        <f t="shared" si="159"/>
        <v>Q2-2026</v>
      </c>
    </row>
    <row r="2524" spans="1:12">
      <c r="A2524" s="6">
        <v>46167</v>
      </c>
      <c r="B2524" t="s">
        <v>12</v>
      </c>
      <c r="C2524" t="s">
        <v>13</v>
      </c>
      <c r="D2524" s="2">
        <v>1157.942875481386</v>
      </c>
      <c r="E2524" s="2">
        <v>1159.900513478819</v>
      </c>
      <c r="F2524" s="2">
        <v>1141.400810506133</v>
      </c>
      <c r="G2524" s="2">
        <v>1143.75</v>
      </c>
      <c r="H2524" s="3">
        <v>5856136</v>
      </c>
      <c r="I2524" s="4">
        <f t="shared" si="156"/>
        <v>-1.43</v>
      </c>
      <c r="J2524" s="2">
        <f t="shared" si="157"/>
        <v>16.149999999999999</v>
      </c>
      <c r="K2524" s="7">
        <f t="shared" si="158"/>
        <v>46143</v>
      </c>
      <c r="L2524" t="str">
        <f t="shared" si="159"/>
        <v>Q2-2026</v>
      </c>
    </row>
    <row r="2525" spans="1:12">
      <c r="A2525" s="6">
        <v>46167</v>
      </c>
      <c r="B2525" t="s">
        <v>14</v>
      </c>
      <c r="C2525" t="s">
        <v>15</v>
      </c>
      <c r="D2525" s="2">
        <v>763.37422553183239</v>
      </c>
      <c r="E2525" s="2">
        <v>775.03139812910842</v>
      </c>
      <c r="F2525" s="2">
        <v>762.58725380258954</v>
      </c>
      <c r="G2525" s="2">
        <v>774.04766845703125</v>
      </c>
      <c r="H2525" s="3">
        <v>26043952</v>
      </c>
      <c r="I2525" s="4">
        <f t="shared" si="156"/>
        <v>-0.1</v>
      </c>
      <c r="J2525" s="2">
        <f t="shared" si="157"/>
        <v>0.98</v>
      </c>
      <c r="K2525" s="7">
        <f t="shared" si="158"/>
        <v>46143</v>
      </c>
      <c r="L2525" t="str">
        <f t="shared" si="159"/>
        <v>Q2-2026</v>
      </c>
    </row>
    <row r="2526" spans="1:12">
      <c r="A2526" s="6">
        <v>46167</v>
      </c>
      <c r="B2526" t="s">
        <v>16</v>
      </c>
      <c r="C2526" t="s">
        <v>17</v>
      </c>
      <c r="D2526" s="2">
        <v>1260.374449771725</v>
      </c>
      <c r="E2526" s="2">
        <v>1282.6863499447099</v>
      </c>
      <c r="F2526" s="2">
        <v>1260.2753099809181</v>
      </c>
      <c r="G2526" s="2">
        <v>1281.000610351562</v>
      </c>
      <c r="H2526" s="3">
        <v>13853923</v>
      </c>
      <c r="I2526" s="4">
        <f t="shared" si="156"/>
        <v>-0.01</v>
      </c>
      <c r="J2526" s="2">
        <f t="shared" si="157"/>
        <v>1.69</v>
      </c>
      <c r="K2526" s="7">
        <f t="shared" si="158"/>
        <v>46143</v>
      </c>
      <c r="L2526" t="str">
        <f t="shared" si="159"/>
        <v>Q2-2026</v>
      </c>
    </row>
    <row r="2527" spans="1:12">
      <c r="A2527" s="6">
        <v>46167</v>
      </c>
      <c r="B2527" t="s">
        <v>18</v>
      </c>
      <c r="C2527" t="s">
        <v>19</v>
      </c>
      <c r="D2527" s="2">
        <v>204.66259145941569</v>
      </c>
      <c r="E2527" s="2">
        <v>207.18380031353249</v>
      </c>
      <c r="F2527" s="2">
        <v>201.75578702195091</v>
      </c>
      <c r="G2527" s="2">
        <v>204.50439453125</v>
      </c>
      <c r="H2527" s="3">
        <v>72041558</v>
      </c>
      <c r="I2527" s="4">
        <f t="shared" si="156"/>
        <v>-1.42</v>
      </c>
      <c r="J2527" s="2">
        <f t="shared" si="157"/>
        <v>2.68</v>
      </c>
      <c r="K2527" s="7">
        <f t="shared" si="158"/>
        <v>46143</v>
      </c>
      <c r="L2527" t="str">
        <f t="shared" si="159"/>
        <v>Q2-2026</v>
      </c>
    </row>
    <row r="2528" spans="1:12">
      <c r="A2528" s="6">
        <v>46167</v>
      </c>
      <c r="B2528" t="s">
        <v>20</v>
      </c>
      <c r="C2528" t="s">
        <v>21</v>
      </c>
      <c r="D2528" s="2">
        <v>1156.1961159082639</v>
      </c>
      <c r="E2528" s="2">
        <v>1166.095055256794</v>
      </c>
      <c r="F2528" s="2">
        <v>1150.355717525299</v>
      </c>
      <c r="G2528" s="2">
        <v>1153.919311523438</v>
      </c>
      <c r="H2528" s="3">
        <v>1419803</v>
      </c>
      <c r="I2528" s="4">
        <f t="shared" si="156"/>
        <v>-0.51</v>
      </c>
      <c r="J2528" s="2">
        <f t="shared" si="157"/>
        <v>12.18</v>
      </c>
      <c r="K2528" s="7">
        <f t="shared" si="158"/>
        <v>46143</v>
      </c>
      <c r="L2528" t="str">
        <f t="shared" si="159"/>
        <v>Q2-2026</v>
      </c>
    </row>
    <row r="2529" spans="1:12">
      <c r="A2529" s="6">
        <v>46167</v>
      </c>
      <c r="B2529" t="s">
        <v>22</v>
      </c>
      <c r="C2529" t="s">
        <v>23</v>
      </c>
      <c r="D2529" s="2">
        <v>920.44180898646073</v>
      </c>
      <c r="E2529" s="2">
        <v>938.23247013204298</v>
      </c>
      <c r="F2529" s="2">
        <v>918.80192634173761</v>
      </c>
      <c r="G2529" s="2">
        <v>936.14532470703125</v>
      </c>
      <c r="H2529" s="3">
        <v>7065528</v>
      </c>
      <c r="I2529" s="4">
        <f t="shared" si="156"/>
        <v>-0.18</v>
      </c>
      <c r="J2529" s="2">
        <f t="shared" si="157"/>
        <v>2.09</v>
      </c>
      <c r="K2529" s="7">
        <f t="shared" si="158"/>
        <v>46143</v>
      </c>
      <c r="L2529" t="str">
        <f t="shared" si="159"/>
        <v>Q2-2026</v>
      </c>
    </row>
    <row r="2530" spans="1:12">
      <c r="A2530" s="6">
        <v>46167</v>
      </c>
      <c r="B2530" t="s">
        <v>24</v>
      </c>
      <c r="C2530" t="s">
        <v>25</v>
      </c>
      <c r="D2530" s="2">
        <v>13014.296431950581</v>
      </c>
      <c r="E2530" s="2">
        <v>13104.391599337991</v>
      </c>
      <c r="F2530" s="2">
        <v>12970.733933433579</v>
      </c>
      <c r="G2530" s="2">
        <v>13039.0478515625</v>
      </c>
      <c r="H2530" s="3">
        <v>276553</v>
      </c>
      <c r="I2530" s="4">
        <f t="shared" si="156"/>
        <v>-0.33</v>
      </c>
      <c r="J2530" s="2">
        <f t="shared" si="157"/>
        <v>65.34</v>
      </c>
      <c r="K2530" s="7">
        <f t="shared" si="158"/>
        <v>46143</v>
      </c>
      <c r="L2530" t="str">
        <f t="shared" si="159"/>
        <v>Q2-2026</v>
      </c>
    </row>
    <row r="2531" spans="1:12">
      <c r="A2531" s="6">
        <v>46167</v>
      </c>
      <c r="B2531" t="s">
        <v>26</v>
      </c>
      <c r="C2531" t="s">
        <v>27</v>
      </c>
      <c r="D2531" s="2">
        <v>363.13766612879539</v>
      </c>
      <c r="E2531" s="2">
        <v>371.22060976355613</v>
      </c>
      <c r="F2531" s="2">
        <v>363.13766612879539</v>
      </c>
      <c r="G2531" s="2">
        <v>370.17926025390619</v>
      </c>
      <c r="H2531" s="3">
        <v>10356089</v>
      </c>
      <c r="I2531" s="4">
        <f t="shared" si="156"/>
        <v>0</v>
      </c>
      <c r="J2531" s="2">
        <f t="shared" si="157"/>
        <v>1.04</v>
      </c>
      <c r="K2531" s="7">
        <f t="shared" si="158"/>
        <v>46143</v>
      </c>
      <c r="L2531" t="str">
        <f t="shared" si="159"/>
        <v>Q2-2026</v>
      </c>
    </row>
    <row r="2532" spans="1:12">
      <c r="A2532" s="6">
        <v>46167</v>
      </c>
      <c r="B2532" t="s">
        <v>28</v>
      </c>
      <c r="C2532" t="s">
        <v>29</v>
      </c>
      <c r="D2532" s="2">
        <v>1835.1902890233209</v>
      </c>
      <c r="E2532" s="2">
        <v>1844.166763263109</v>
      </c>
      <c r="F2532" s="2">
        <v>1820.229498623675</v>
      </c>
      <c r="G2532" s="2">
        <v>1835.788696289062</v>
      </c>
      <c r="H2532" s="3">
        <v>3049028</v>
      </c>
      <c r="I2532" s="4">
        <f t="shared" si="156"/>
        <v>-0.82</v>
      </c>
      <c r="J2532" s="2">
        <f t="shared" si="157"/>
        <v>8.3800000000000008</v>
      </c>
      <c r="K2532" s="7">
        <f t="shared" si="158"/>
        <v>46143</v>
      </c>
      <c r="L2532" t="str">
        <f t="shared" si="159"/>
        <v>Q2-2026</v>
      </c>
    </row>
    <row r="2533" spans="1:12">
      <c r="A2533" s="6">
        <v>46167</v>
      </c>
      <c r="B2533" t="s">
        <v>30</v>
      </c>
      <c r="C2533" t="s">
        <v>31</v>
      </c>
      <c r="D2533" s="2">
        <v>2649.0172659355312</v>
      </c>
      <c r="E2533" s="2">
        <v>2661.0132867479979</v>
      </c>
      <c r="F2533" s="2">
        <v>2630.3789223928161</v>
      </c>
      <c r="G2533" s="2">
        <v>2634.939453125</v>
      </c>
      <c r="H2533" s="3">
        <v>815621</v>
      </c>
      <c r="I2533" s="4">
        <f t="shared" si="156"/>
        <v>-0.7</v>
      </c>
      <c r="J2533" s="2">
        <f t="shared" si="157"/>
        <v>26.07</v>
      </c>
      <c r="K2533" s="7">
        <f t="shared" si="158"/>
        <v>46143</v>
      </c>
      <c r="L2533" t="str">
        <f t="shared" si="159"/>
        <v>Q2-2026</v>
      </c>
    </row>
    <row r="2534" spans="1:12">
      <c r="A2534" s="6">
        <v>46167</v>
      </c>
      <c r="B2534" t="s">
        <v>32</v>
      </c>
      <c r="C2534" t="s">
        <v>33</v>
      </c>
      <c r="D2534" s="2">
        <v>2192.6967768991508</v>
      </c>
      <c r="E2534" s="2">
        <v>2215.5642756246202</v>
      </c>
      <c r="F2534" s="2">
        <v>2170.8192089984659</v>
      </c>
      <c r="G2534" s="2">
        <v>2174.383056640625</v>
      </c>
      <c r="H2534" s="3">
        <v>780722</v>
      </c>
      <c r="I2534" s="4">
        <f t="shared" si="156"/>
        <v>-1</v>
      </c>
      <c r="J2534" s="2">
        <f t="shared" si="157"/>
        <v>41.18</v>
      </c>
      <c r="K2534" s="7">
        <f t="shared" si="158"/>
        <v>46143</v>
      </c>
      <c r="L2534" t="str">
        <f t="shared" si="159"/>
        <v>Q2-2026</v>
      </c>
    </row>
    <row r="2535" spans="1:12">
      <c r="A2535" s="6">
        <v>46167</v>
      </c>
      <c r="B2535" t="s">
        <v>34</v>
      </c>
      <c r="C2535" t="s">
        <v>35</v>
      </c>
      <c r="D2535" s="2">
        <v>3970</v>
      </c>
      <c r="E2535" s="2">
        <v>4038.39990234375</v>
      </c>
      <c r="F2535" s="2">
        <v>3961.5</v>
      </c>
      <c r="G2535" s="2">
        <v>4033.39990234375</v>
      </c>
      <c r="H2535" s="3">
        <v>2099927</v>
      </c>
      <c r="I2535" s="4">
        <f t="shared" si="156"/>
        <v>-0.21</v>
      </c>
      <c r="J2535" s="2">
        <f t="shared" si="157"/>
        <v>5</v>
      </c>
      <c r="K2535" s="7">
        <f t="shared" si="158"/>
        <v>46143</v>
      </c>
      <c r="L2535" t="str">
        <f t="shared" si="159"/>
        <v>Q2-2026</v>
      </c>
    </row>
    <row r="2536" spans="1:12">
      <c r="A2536" s="6">
        <v>46167</v>
      </c>
      <c r="B2536" t="s">
        <v>36</v>
      </c>
      <c r="C2536" t="s">
        <v>37</v>
      </c>
      <c r="D2536" s="2">
        <v>1299.3978495103399</v>
      </c>
      <c r="E2536" s="2">
        <v>1313.4869587156179</v>
      </c>
      <c r="F2536" s="2">
        <v>1292.902858843431</v>
      </c>
      <c r="G2536" s="2">
        <v>1310.189453125</v>
      </c>
      <c r="H2536" s="3">
        <v>5671455</v>
      </c>
      <c r="I2536" s="4">
        <f t="shared" si="156"/>
        <v>-0.5</v>
      </c>
      <c r="J2536" s="2">
        <f t="shared" si="157"/>
        <v>3.3</v>
      </c>
      <c r="K2536" s="7">
        <f t="shared" si="158"/>
        <v>46143</v>
      </c>
      <c r="L2536" t="str">
        <f t="shared" si="159"/>
        <v>Q2-2026</v>
      </c>
    </row>
    <row r="2537" spans="1:12">
      <c r="A2537" s="6">
        <v>46168</v>
      </c>
      <c r="B2537" t="s">
        <v>8</v>
      </c>
      <c r="C2537" t="s">
        <v>9</v>
      </c>
      <c r="D2537" s="2">
        <v>1353.8404218493879</v>
      </c>
      <c r="E2537" s="2">
        <v>1362.201787043429</v>
      </c>
      <c r="F2537" s="2">
        <v>1346.1759079681501</v>
      </c>
      <c r="G2537" s="2">
        <v>1350.057983398438</v>
      </c>
      <c r="H2537" s="3">
        <v>13769747</v>
      </c>
      <c r="I2537" s="4">
        <f t="shared" si="156"/>
        <v>-0.56999999999999995</v>
      </c>
      <c r="J2537" s="2">
        <f t="shared" si="157"/>
        <v>12.14</v>
      </c>
      <c r="K2537" s="7">
        <f t="shared" si="158"/>
        <v>46143</v>
      </c>
      <c r="L2537" t="str">
        <f t="shared" si="159"/>
        <v>Q2-2026</v>
      </c>
    </row>
    <row r="2538" spans="1:12">
      <c r="A2538" s="6">
        <v>46168</v>
      </c>
      <c r="B2538" t="s">
        <v>10</v>
      </c>
      <c r="C2538" t="s">
        <v>11</v>
      </c>
      <c r="D2538" s="2">
        <v>2295.6130983499411</v>
      </c>
      <c r="E2538" s="2">
        <v>2315.2056236526341</v>
      </c>
      <c r="F2538" s="2">
        <v>2260.0082708870141</v>
      </c>
      <c r="G2538" s="2">
        <v>2263.78759765625</v>
      </c>
      <c r="H2538" s="3">
        <v>3587597</v>
      </c>
      <c r="I2538" s="4">
        <f t="shared" si="156"/>
        <v>-1.55</v>
      </c>
      <c r="J2538" s="2">
        <f t="shared" si="157"/>
        <v>51.42</v>
      </c>
      <c r="K2538" s="7">
        <f t="shared" si="158"/>
        <v>46143</v>
      </c>
      <c r="L2538" t="str">
        <f t="shared" si="159"/>
        <v>Q2-2026</v>
      </c>
    </row>
    <row r="2539" spans="1:12">
      <c r="A2539" s="6">
        <v>46168</v>
      </c>
      <c r="B2539" t="s">
        <v>12</v>
      </c>
      <c r="C2539" t="s">
        <v>13</v>
      </c>
      <c r="D2539" s="2">
        <v>1141.5965459846341</v>
      </c>
      <c r="E2539" s="2">
        <v>1155.6914427435411</v>
      </c>
      <c r="F2539" s="2">
        <v>1138.2685377836081</v>
      </c>
      <c r="G2539" s="2">
        <v>1142.966796875</v>
      </c>
      <c r="H2539" s="3">
        <v>8005767</v>
      </c>
      <c r="I2539" s="4">
        <f t="shared" si="156"/>
        <v>-0.28999999999999998</v>
      </c>
      <c r="J2539" s="2">
        <f t="shared" si="157"/>
        <v>12.72</v>
      </c>
      <c r="K2539" s="7">
        <f t="shared" si="158"/>
        <v>46143</v>
      </c>
      <c r="L2539" t="str">
        <f t="shared" si="159"/>
        <v>Q2-2026</v>
      </c>
    </row>
    <row r="2540" spans="1:12">
      <c r="A2540" s="6">
        <v>46168</v>
      </c>
      <c r="B2540" t="s">
        <v>14</v>
      </c>
      <c r="C2540" t="s">
        <v>15</v>
      </c>
      <c r="D2540" s="2">
        <v>771.29322246922652</v>
      </c>
      <c r="E2540" s="2">
        <v>777.98257210158079</v>
      </c>
      <c r="F2540" s="2">
        <v>764.11200801034488</v>
      </c>
      <c r="G2540" s="2">
        <v>766.22705078125</v>
      </c>
      <c r="H2540" s="3">
        <v>31528062</v>
      </c>
      <c r="I2540" s="4">
        <f t="shared" si="156"/>
        <v>-0.93</v>
      </c>
      <c r="J2540" s="2">
        <f t="shared" si="157"/>
        <v>11.76</v>
      </c>
      <c r="K2540" s="7">
        <f t="shared" si="158"/>
        <v>46143</v>
      </c>
      <c r="L2540" t="str">
        <f t="shared" si="159"/>
        <v>Q2-2026</v>
      </c>
    </row>
    <row r="2541" spans="1:12">
      <c r="A2541" s="6">
        <v>46168</v>
      </c>
      <c r="B2541" t="s">
        <v>16</v>
      </c>
      <c r="C2541" t="s">
        <v>17</v>
      </c>
      <c r="D2541" s="2">
        <v>1279.2155157086679</v>
      </c>
      <c r="E2541" s="2">
        <v>1290.916915357549</v>
      </c>
      <c r="F2541" s="2">
        <v>1265.5308361904699</v>
      </c>
      <c r="G2541" s="2">
        <v>1268.406616210938</v>
      </c>
      <c r="H2541" s="3">
        <v>18400405</v>
      </c>
      <c r="I2541" s="4">
        <f t="shared" si="156"/>
        <v>-1.07</v>
      </c>
      <c r="J2541" s="2">
        <f t="shared" si="157"/>
        <v>22.51</v>
      </c>
      <c r="K2541" s="7">
        <f t="shared" si="158"/>
        <v>46143</v>
      </c>
      <c r="L2541" t="str">
        <f t="shared" si="159"/>
        <v>Q2-2026</v>
      </c>
    </row>
    <row r="2542" spans="1:12">
      <c r="A2542" s="6">
        <v>46168</v>
      </c>
      <c r="B2542" t="s">
        <v>18</v>
      </c>
      <c r="C2542" t="s">
        <v>19</v>
      </c>
      <c r="D2542" s="2">
        <v>204.65271807734209</v>
      </c>
      <c r="E2542" s="2">
        <v>206.33351901916561</v>
      </c>
      <c r="F2542" s="2">
        <v>200.64844680449011</v>
      </c>
      <c r="G2542" s="2">
        <v>201.42951965332031</v>
      </c>
      <c r="H2542" s="3">
        <v>46458415</v>
      </c>
      <c r="I2542" s="4">
        <f t="shared" si="156"/>
        <v>-1.96</v>
      </c>
      <c r="J2542" s="2">
        <f t="shared" si="157"/>
        <v>4.9000000000000004</v>
      </c>
      <c r="K2542" s="7">
        <f t="shared" si="158"/>
        <v>46143</v>
      </c>
      <c r="L2542" t="str">
        <f t="shared" si="159"/>
        <v>Q2-2026</v>
      </c>
    </row>
    <row r="2543" spans="1:12">
      <c r="A2543" s="6">
        <v>46168</v>
      </c>
      <c r="B2543" t="s">
        <v>20</v>
      </c>
      <c r="C2543" t="s">
        <v>21</v>
      </c>
      <c r="D2543" s="2">
        <v>1153.9192390579731</v>
      </c>
      <c r="E2543" s="2">
        <v>1161.8383900394781</v>
      </c>
      <c r="F2543" s="2">
        <v>1148.2768923183121</v>
      </c>
      <c r="G2543" s="2">
        <v>1150.15771484375</v>
      </c>
      <c r="H2543" s="3">
        <v>1196820</v>
      </c>
      <c r="I2543" s="4">
        <f t="shared" si="156"/>
        <v>-0.49</v>
      </c>
      <c r="J2543" s="2">
        <f t="shared" si="157"/>
        <v>11.68</v>
      </c>
      <c r="K2543" s="7">
        <f t="shared" si="158"/>
        <v>46143</v>
      </c>
      <c r="L2543" t="str">
        <f t="shared" si="159"/>
        <v>Q2-2026</v>
      </c>
    </row>
    <row r="2544" spans="1:12">
      <c r="A2544" s="6">
        <v>46168</v>
      </c>
      <c r="B2544" t="s">
        <v>22</v>
      </c>
      <c r="C2544" t="s">
        <v>23</v>
      </c>
      <c r="D2544" s="2">
        <v>938.18277652172424</v>
      </c>
      <c r="E2544" s="2">
        <v>942.60560056320799</v>
      </c>
      <c r="F2544" s="2">
        <v>922.42957860568106</v>
      </c>
      <c r="G2544" s="2">
        <v>924.51678466796875</v>
      </c>
      <c r="H2544" s="3">
        <v>8489543</v>
      </c>
      <c r="I2544" s="4">
        <f t="shared" si="156"/>
        <v>-1.68</v>
      </c>
      <c r="J2544" s="2">
        <f t="shared" si="157"/>
        <v>18.09</v>
      </c>
      <c r="K2544" s="7">
        <f t="shared" si="158"/>
        <v>46143</v>
      </c>
      <c r="L2544" t="str">
        <f t="shared" si="159"/>
        <v>Q2-2026</v>
      </c>
    </row>
    <row r="2545" spans="1:12">
      <c r="A2545" s="6">
        <v>46168</v>
      </c>
      <c r="B2545" t="s">
        <v>24</v>
      </c>
      <c r="C2545" t="s">
        <v>25</v>
      </c>
      <c r="D2545" s="2">
        <v>13056.868786317949</v>
      </c>
      <c r="E2545" s="2">
        <v>13196.46679199515</v>
      </c>
      <c r="F2545" s="2">
        <v>13003.40572031392</v>
      </c>
      <c r="G2545" s="2">
        <v>13076.669921875</v>
      </c>
      <c r="H2545" s="3">
        <v>256901</v>
      </c>
      <c r="I2545" s="4">
        <f t="shared" si="156"/>
        <v>-0.41</v>
      </c>
      <c r="J2545" s="2">
        <f t="shared" si="157"/>
        <v>119.8</v>
      </c>
      <c r="K2545" s="7">
        <f t="shared" si="158"/>
        <v>46143</v>
      </c>
      <c r="L2545" t="str">
        <f t="shared" si="159"/>
        <v>Q2-2026</v>
      </c>
    </row>
    <row r="2546" spans="1:12">
      <c r="A2546" s="6">
        <v>46168</v>
      </c>
      <c r="B2546" t="s">
        <v>26</v>
      </c>
      <c r="C2546" t="s">
        <v>27</v>
      </c>
      <c r="D2546" s="2">
        <v>370.67512770332041</v>
      </c>
      <c r="E2546" s="2">
        <v>384.11363862114553</v>
      </c>
      <c r="F2546" s="2">
        <v>368.74115840870007</v>
      </c>
      <c r="G2546" s="2">
        <v>382.42764282226563</v>
      </c>
      <c r="H2546" s="3">
        <v>21346890</v>
      </c>
      <c r="I2546" s="4">
        <f t="shared" si="156"/>
        <v>-0.52</v>
      </c>
      <c r="J2546" s="2">
        <f t="shared" si="157"/>
        <v>1.69</v>
      </c>
      <c r="K2546" s="7">
        <f t="shared" si="158"/>
        <v>46143</v>
      </c>
      <c r="L2546" t="str">
        <f t="shared" si="159"/>
        <v>Q2-2026</v>
      </c>
    </row>
    <row r="2547" spans="1:12">
      <c r="A2547" s="6">
        <v>46168</v>
      </c>
      <c r="B2547" t="s">
        <v>28</v>
      </c>
      <c r="C2547" t="s">
        <v>29</v>
      </c>
      <c r="D2547" s="2">
        <v>1825.21646325815</v>
      </c>
      <c r="E2547" s="2">
        <v>1840.0775396862889</v>
      </c>
      <c r="F2547" s="2">
        <v>1811.153344366898</v>
      </c>
      <c r="G2547" s="2">
        <v>1835.98828125</v>
      </c>
      <c r="H2547" s="3">
        <v>2337759</v>
      </c>
      <c r="I2547" s="4">
        <f t="shared" si="156"/>
        <v>-0.77</v>
      </c>
      <c r="J2547" s="2">
        <f t="shared" si="157"/>
        <v>4.09</v>
      </c>
      <c r="K2547" s="7">
        <f t="shared" si="158"/>
        <v>46143</v>
      </c>
      <c r="L2547" t="str">
        <f t="shared" si="159"/>
        <v>Q2-2026</v>
      </c>
    </row>
    <row r="2548" spans="1:12">
      <c r="A2548" s="6">
        <v>46168</v>
      </c>
      <c r="B2548" t="s">
        <v>30</v>
      </c>
      <c r="C2548" t="s">
        <v>31</v>
      </c>
      <c r="D2548" s="2">
        <v>2627.2063736290488</v>
      </c>
      <c r="E2548" s="2">
        <v>2641.383422468467</v>
      </c>
      <c r="F2548" s="2">
        <v>2613.2275561078068</v>
      </c>
      <c r="G2548" s="2">
        <v>2624.232177734375</v>
      </c>
      <c r="H2548" s="3">
        <v>486267</v>
      </c>
      <c r="I2548" s="4">
        <f t="shared" si="156"/>
        <v>-0.53</v>
      </c>
      <c r="J2548" s="2">
        <f t="shared" si="157"/>
        <v>17.149999999999999</v>
      </c>
      <c r="K2548" s="7">
        <f t="shared" si="158"/>
        <v>46143</v>
      </c>
      <c r="L2548" t="str">
        <f t="shared" si="159"/>
        <v>Q2-2026</v>
      </c>
    </row>
    <row r="2549" spans="1:12">
      <c r="A2549" s="6">
        <v>46168</v>
      </c>
      <c r="B2549" t="s">
        <v>32</v>
      </c>
      <c r="C2549" t="s">
        <v>33</v>
      </c>
      <c r="D2549" s="2">
        <v>2177.4519473968571</v>
      </c>
      <c r="E2549" s="2">
        <v>2197.6464396286201</v>
      </c>
      <c r="F2549" s="2">
        <v>2167.9485147687742</v>
      </c>
      <c r="G2549" s="2">
        <v>2187.153076171875</v>
      </c>
      <c r="H2549" s="3">
        <v>2302703</v>
      </c>
      <c r="I2549" s="4">
        <f t="shared" si="156"/>
        <v>-0.44</v>
      </c>
      <c r="J2549" s="2">
        <f t="shared" si="157"/>
        <v>10.49</v>
      </c>
      <c r="K2549" s="7">
        <f t="shared" si="158"/>
        <v>46143</v>
      </c>
      <c r="L2549" t="str">
        <f t="shared" si="159"/>
        <v>Q2-2026</v>
      </c>
    </row>
    <row r="2550" spans="1:12">
      <c r="A2550" s="6">
        <v>46168</v>
      </c>
      <c r="B2550" t="s">
        <v>34</v>
      </c>
      <c r="C2550" t="s">
        <v>35</v>
      </c>
      <c r="D2550" s="2">
        <v>4029.60009765625</v>
      </c>
      <c r="E2550" s="2">
        <v>4052.89990234375</v>
      </c>
      <c r="F2550" s="2">
        <v>4014.199951171875</v>
      </c>
      <c r="G2550" s="2">
        <v>4037.800048828125</v>
      </c>
      <c r="H2550" s="3">
        <v>1552847</v>
      </c>
      <c r="I2550" s="4">
        <f t="shared" si="156"/>
        <v>-0.38</v>
      </c>
      <c r="J2550" s="2">
        <f t="shared" si="157"/>
        <v>15.1</v>
      </c>
      <c r="K2550" s="7">
        <f t="shared" si="158"/>
        <v>46143</v>
      </c>
      <c r="L2550" t="str">
        <f t="shared" si="159"/>
        <v>Q2-2026</v>
      </c>
    </row>
    <row r="2551" spans="1:12">
      <c r="A2551" s="6">
        <v>46168</v>
      </c>
      <c r="B2551" t="s">
        <v>36</v>
      </c>
      <c r="C2551" t="s">
        <v>37</v>
      </c>
      <c r="D2551" s="2">
        <v>1308.7907369859349</v>
      </c>
      <c r="E2551" s="2">
        <v>1315.985139985791</v>
      </c>
      <c r="F2551" s="2">
        <v>1290.5047898949499</v>
      </c>
      <c r="G2551" s="2">
        <v>1298.298828125</v>
      </c>
      <c r="H2551" s="3">
        <v>6455265</v>
      </c>
      <c r="I2551" s="4">
        <f t="shared" si="156"/>
        <v>-1.4</v>
      </c>
      <c r="J2551" s="2">
        <f t="shared" si="157"/>
        <v>17.690000000000001</v>
      </c>
      <c r="K2551" s="7">
        <f t="shared" si="158"/>
        <v>46143</v>
      </c>
      <c r="L2551" t="str">
        <f t="shared" si="159"/>
        <v>Q2-2026</v>
      </c>
    </row>
    <row r="2552" spans="1:12">
      <c r="A2552" s="6">
        <v>46169</v>
      </c>
      <c r="B2552" t="s">
        <v>8</v>
      </c>
      <c r="C2552" t="s">
        <v>9</v>
      </c>
      <c r="D2552" s="2">
        <v>1346.7730400596711</v>
      </c>
      <c r="E2552" s="2">
        <v>1354.7362213756189</v>
      </c>
      <c r="F2552" s="2">
        <v>1342.3932660341991</v>
      </c>
      <c r="G2552" s="2">
        <v>1344.284545898438</v>
      </c>
      <c r="H2552" s="3">
        <v>13215138</v>
      </c>
      <c r="I2552" s="4">
        <f t="shared" si="156"/>
        <v>-0.33</v>
      </c>
      <c r="J2552" s="2">
        <f t="shared" si="157"/>
        <v>10.45</v>
      </c>
      <c r="K2552" s="7">
        <f t="shared" si="158"/>
        <v>46143</v>
      </c>
      <c r="L2552" t="str">
        <f t="shared" si="159"/>
        <v>Q2-2026</v>
      </c>
    </row>
    <row r="2553" spans="1:12">
      <c r="A2553" s="6">
        <v>46169</v>
      </c>
      <c r="B2553" t="s">
        <v>10</v>
      </c>
      <c r="C2553" t="s">
        <v>11</v>
      </c>
      <c r="D2553" s="2">
        <v>2262.5943570616041</v>
      </c>
      <c r="E2553" s="2">
        <v>2283.0821217701532</v>
      </c>
      <c r="F2553" s="2">
        <v>2248.5711476589449</v>
      </c>
      <c r="G2553" s="2">
        <v>2271.744140625</v>
      </c>
      <c r="H2553" s="3">
        <v>2653950</v>
      </c>
      <c r="I2553" s="4">
        <f t="shared" si="156"/>
        <v>-0.62</v>
      </c>
      <c r="J2553" s="2">
        <f t="shared" si="157"/>
        <v>11.34</v>
      </c>
      <c r="K2553" s="7">
        <f t="shared" si="158"/>
        <v>46143</v>
      </c>
      <c r="L2553" t="str">
        <f t="shared" si="159"/>
        <v>Q2-2026</v>
      </c>
    </row>
    <row r="2554" spans="1:12">
      <c r="A2554" s="6">
        <v>46169</v>
      </c>
      <c r="B2554" t="s">
        <v>12</v>
      </c>
      <c r="C2554" t="s">
        <v>13</v>
      </c>
      <c r="D2554" s="2">
        <v>1136.4088302961691</v>
      </c>
      <c r="E2554" s="2">
        <v>1142.575437634307</v>
      </c>
      <c r="F2554" s="2">
        <v>1130.535916444509</v>
      </c>
      <c r="G2554" s="2">
        <v>1135.332153320312</v>
      </c>
      <c r="H2554" s="3">
        <v>6371871</v>
      </c>
      <c r="I2554" s="4">
        <f t="shared" si="156"/>
        <v>-0.52</v>
      </c>
      <c r="J2554" s="2">
        <f t="shared" si="157"/>
        <v>7.24</v>
      </c>
      <c r="K2554" s="7">
        <f t="shared" si="158"/>
        <v>46143</v>
      </c>
      <c r="L2554" t="str">
        <f t="shared" si="159"/>
        <v>Q2-2026</v>
      </c>
    </row>
    <row r="2555" spans="1:12">
      <c r="A2555" s="6">
        <v>46169</v>
      </c>
      <c r="B2555" t="s">
        <v>14</v>
      </c>
      <c r="C2555" t="s">
        <v>15</v>
      </c>
      <c r="D2555" s="2">
        <v>756.9799611769273</v>
      </c>
      <c r="E2555" s="2">
        <v>761.30839562804442</v>
      </c>
      <c r="F2555" s="2">
        <v>744.58499167741695</v>
      </c>
      <c r="G2555" s="2">
        <v>746.3065185546875</v>
      </c>
      <c r="H2555" s="3">
        <v>63680153</v>
      </c>
      <c r="I2555" s="4">
        <f t="shared" si="156"/>
        <v>-1.64</v>
      </c>
      <c r="J2555" s="2">
        <f t="shared" si="157"/>
        <v>15</v>
      </c>
      <c r="K2555" s="7">
        <f t="shared" si="158"/>
        <v>46143</v>
      </c>
      <c r="L2555" t="str">
        <f t="shared" si="159"/>
        <v>Q2-2026</v>
      </c>
    </row>
    <row r="2556" spans="1:12">
      <c r="A2556" s="6">
        <v>46169</v>
      </c>
      <c r="B2556" t="s">
        <v>16</v>
      </c>
      <c r="C2556" t="s">
        <v>17</v>
      </c>
      <c r="D2556" s="2">
        <v>1275.2490410953119</v>
      </c>
      <c r="E2556" s="2">
        <v>1282.5872013115761</v>
      </c>
      <c r="F2556" s="2">
        <v>1256.1103406589521</v>
      </c>
      <c r="G2556" s="2">
        <v>1262.060180664062</v>
      </c>
      <c r="H2556" s="3">
        <v>18366272</v>
      </c>
      <c r="I2556" s="4">
        <f t="shared" si="156"/>
        <v>-1.5</v>
      </c>
      <c r="J2556" s="2">
        <f t="shared" si="157"/>
        <v>20.53</v>
      </c>
      <c r="K2556" s="7">
        <f t="shared" si="158"/>
        <v>46143</v>
      </c>
      <c r="L2556" t="str">
        <f t="shared" si="159"/>
        <v>Q2-2026</v>
      </c>
    </row>
    <row r="2557" spans="1:12">
      <c r="A2557" s="6">
        <v>46169</v>
      </c>
      <c r="B2557" t="s">
        <v>18</v>
      </c>
      <c r="C2557" t="s">
        <v>19</v>
      </c>
      <c r="D2557" s="2">
        <v>201.54817434786401</v>
      </c>
      <c r="E2557" s="2">
        <v>203.66400931070501</v>
      </c>
      <c r="F2557" s="2">
        <v>197.93938033475621</v>
      </c>
      <c r="G2557" s="2">
        <v>199.3038024902344</v>
      </c>
      <c r="H2557" s="3">
        <v>39465643</v>
      </c>
      <c r="I2557" s="4">
        <f t="shared" si="156"/>
        <v>-1.79</v>
      </c>
      <c r="J2557" s="2">
        <f t="shared" si="157"/>
        <v>4.3600000000000003</v>
      </c>
      <c r="K2557" s="7">
        <f t="shared" si="158"/>
        <v>46143</v>
      </c>
      <c r="L2557" t="str">
        <f t="shared" si="159"/>
        <v>Q2-2026</v>
      </c>
    </row>
    <row r="2558" spans="1:12">
      <c r="A2558" s="6">
        <v>46169</v>
      </c>
      <c r="B2558" t="s">
        <v>20</v>
      </c>
      <c r="C2558" t="s">
        <v>21</v>
      </c>
      <c r="D2558" s="2">
        <v>1143.6244635296309</v>
      </c>
      <c r="E2558" s="2">
        <v>1157.9779249858129</v>
      </c>
      <c r="F2558" s="2">
        <v>1142.040536630657</v>
      </c>
      <c r="G2558" s="2">
        <v>1153.42431640625</v>
      </c>
      <c r="H2558" s="3">
        <v>1004168</v>
      </c>
      <c r="I2558" s="4">
        <f t="shared" si="156"/>
        <v>-0.14000000000000001</v>
      </c>
      <c r="J2558" s="2">
        <f t="shared" si="157"/>
        <v>4.55</v>
      </c>
      <c r="K2558" s="7">
        <f t="shared" si="158"/>
        <v>46143</v>
      </c>
      <c r="L2558" t="str">
        <f t="shared" si="159"/>
        <v>Q2-2026</v>
      </c>
    </row>
    <row r="2559" spans="1:12">
      <c r="A2559" s="6">
        <v>46169</v>
      </c>
      <c r="B2559" t="s">
        <v>22</v>
      </c>
      <c r="C2559" t="s">
        <v>23</v>
      </c>
      <c r="D2559" s="2">
        <v>926.30578104481378</v>
      </c>
      <c r="E2559" s="2">
        <v>930.23165995315139</v>
      </c>
      <c r="F2559" s="2">
        <v>917.36076813772877</v>
      </c>
      <c r="G2559" s="2">
        <v>925.46099853515625</v>
      </c>
      <c r="H2559" s="3">
        <v>5349669</v>
      </c>
      <c r="I2559" s="4">
        <f t="shared" si="156"/>
        <v>-0.97</v>
      </c>
      <c r="J2559" s="2">
        <f t="shared" si="157"/>
        <v>4.7699999999999996</v>
      </c>
      <c r="K2559" s="7">
        <f t="shared" si="158"/>
        <v>46143</v>
      </c>
      <c r="L2559" t="str">
        <f t="shared" si="159"/>
        <v>Q2-2026</v>
      </c>
    </row>
    <row r="2560" spans="1:12">
      <c r="A2560" s="6">
        <v>46169</v>
      </c>
      <c r="B2560" t="s">
        <v>24</v>
      </c>
      <c r="C2560" t="s">
        <v>25</v>
      </c>
      <c r="D2560" s="2">
        <v>13076.67027906128</v>
      </c>
      <c r="E2560" s="2">
        <v>13283.592151284471</v>
      </c>
      <c r="F2560" s="2">
        <v>12971.724257742349</v>
      </c>
      <c r="G2560" s="2">
        <v>13231.119140625</v>
      </c>
      <c r="H2560" s="3">
        <v>322020</v>
      </c>
      <c r="I2560" s="4">
        <f t="shared" si="156"/>
        <v>-0.8</v>
      </c>
      <c r="J2560" s="2">
        <f t="shared" si="157"/>
        <v>52.47</v>
      </c>
      <c r="K2560" s="7">
        <f t="shared" si="158"/>
        <v>46143</v>
      </c>
      <c r="L2560" t="str">
        <f t="shared" si="159"/>
        <v>Q2-2026</v>
      </c>
    </row>
    <row r="2561" spans="1:12">
      <c r="A2561" s="6">
        <v>46169</v>
      </c>
      <c r="B2561" t="s">
        <v>26</v>
      </c>
      <c r="C2561" t="s">
        <v>27</v>
      </c>
      <c r="D2561" s="2">
        <v>382.62598313023437</v>
      </c>
      <c r="E2561" s="2">
        <v>400.67626250824873</v>
      </c>
      <c r="F2561" s="2">
        <v>380.54328419673942</v>
      </c>
      <c r="G2561" s="2">
        <v>397.6513671875</v>
      </c>
      <c r="H2561" s="3">
        <v>16294686</v>
      </c>
      <c r="I2561" s="4">
        <f t="shared" si="156"/>
        <v>-0.54</v>
      </c>
      <c r="J2561" s="2">
        <f t="shared" si="157"/>
        <v>3.02</v>
      </c>
      <c r="K2561" s="7">
        <f t="shared" si="158"/>
        <v>46143</v>
      </c>
      <c r="L2561" t="str">
        <f t="shared" si="159"/>
        <v>Q2-2026</v>
      </c>
    </row>
    <row r="2562" spans="1:12">
      <c r="A2562" s="6">
        <v>46169</v>
      </c>
      <c r="B2562" t="s">
        <v>28</v>
      </c>
      <c r="C2562" t="s">
        <v>29</v>
      </c>
      <c r="D2562" s="2">
        <v>1860.124968345646</v>
      </c>
      <c r="E2562" s="2">
        <v>1877.080531059788</v>
      </c>
      <c r="F2562" s="2">
        <v>1825.2164568753519</v>
      </c>
      <c r="G2562" s="2">
        <v>1839.479125976562</v>
      </c>
      <c r="H2562" s="3">
        <v>1385752</v>
      </c>
      <c r="I2562" s="4">
        <f t="shared" ref="I2562:I2625" si="160">ROUND(((F2562-D2562)/D2562)*100, 2)</f>
        <v>-1.88</v>
      </c>
      <c r="J2562" s="2">
        <f t="shared" ref="J2562:J2625" si="161">ROUND(E2562-G2562, 2)</f>
        <v>37.6</v>
      </c>
      <c r="K2562" s="7">
        <f t="shared" ref="K2562:K2625" si="162">DATE(YEAR(A2562),MONTH(A2562),1)</f>
        <v>46143</v>
      </c>
      <c r="L2562" t="str">
        <f t="shared" ref="L2562:L2625" si="163">"Q"&amp;INT((MONTH(A2562)-1)/3)+1&amp;"-"&amp;YEAR(A2562)</f>
        <v>Q2-2026</v>
      </c>
    </row>
    <row r="2563" spans="1:12">
      <c r="A2563" s="6">
        <v>46169</v>
      </c>
      <c r="B2563" t="s">
        <v>30</v>
      </c>
      <c r="C2563" t="s">
        <v>31</v>
      </c>
      <c r="D2563" s="2">
        <v>2622.0512104312979</v>
      </c>
      <c r="E2563" s="2">
        <v>2666.4659185712262</v>
      </c>
      <c r="F2563" s="2">
        <v>2619.2752457899242</v>
      </c>
      <c r="G2563" s="2">
        <v>2648.91796875</v>
      </c>
      <c r="H2563" s="3">
        <v>858457</v>
      </c>
      <c r="I2563" s="4">
        <f t="shared" si="160"/>
        <v>-0.11</v>
      </c>
      <c r="J2563" s="2">
        <f t="shared" si="161"/>
        <v>17.55</v>
      </c>
      <c r="K2563" s="7">
        <f t="shared" si="162"/>
        <v>46143</v>
      </c>
      <c r="L2563" t="str">
        <f t="shared" si="163"/>
        <v>Q2-2026</v>
      </c>
    </row>
    <row r="2564" spans="1:12">
      <c r="A2564" s="6">
        <v>46169</v>
      </c>
      <c r="B2564" t="s">
        <v>32</v>
      </c>
      <c r="C2564" t="s">
        <v>33</v>
      </c>
      <c r="D2564" s="2">
        <v>2182.89664615417</v>
      </c>
      <c r="E2564" s="2">
        <v>2192.3009893676631</v>
      </c>
      <c r="F2564" s="2">
        <v>2164.9788008323699</v>
      </c>
      <c r="G2564" s="2">
        <v>2176.263916015625</v>
      </c>
      <c r="H2564" s="3">
        <v>616538</v>
      </c>
      <c r="I2564" s="4">
        <f t="shared" si="160"/>
        <v>-0.82</v>
      </c>
      <c r="J2564" s="2">
        <f t="shared" si="161"/>
        <v>16.04</v>
      </c>
      <c r="K2564" s="7">
        <f t="shared" si="162"/>
        <v>46143</v>
      </c>
      <c r="L2564" t="str">
        <f t="shared" si="163"/>
        <v>Q2-2026</v>
      </c>
    </row>
    <row r="2565" spans="1:12">
      <c r="A2565" s="6">
        <v>46169</v>
      </c>
      <c r="B2565" t="s">
        <v>34</v>
      </c>
      <c r="C2565" t="s">
        <v>35</v>
      </c>
      <c r="D2565" s="2">
        <v>4043</v>
      </c>
      <c r="E2565" s="2">
        <v>4069.89990234375</v>
      </c>
      <c r="F2565" s="2">
        <v>4017.89990234375</v>
      </c>
      <c r="G2565" s="2">
        <v>4047.5</v>
      </c>
      <c r="H2565" s="3">
        <v>1607028</v>
      </c>
      <c r="I2565" s="4">
        <f t="shared" si="160"/>
        <v>-0.62</v>
      </c>
      <c r="J2565" s="2">
        <f t="shared" si="161"/>
        <v>22.4</v>
      </c>
      <c r="K2565" s="7">
        <f t="shared" si="162"/>
        <v>46143</v>
      </c>
      <c r="L2565" t="str">
        <f t="shared" si="163"/>
        <v>Q2-2026</v>
      </c>
    </row>
    <row r="2566" spans="1:12">
      <c r="A2566" s="6">
        <v>46169</v>
      </c>
      <c r="B2566" t="s">
        <v>36</v>
      </c>
      <c r="C2566" t="s">
        <v>37</v>
      </c>
      <c r="D2566" s="2">
        <v>1295.3010549602841</v>
      </c>
      <c r="E2566" s="2">
        <v>1313.4869803364861</v>
      </c>
      <c r="F2566" s="2">
        <v>1292.103447855121</v>
      </c>
      <c r="G2566" s="2">
        <v>1303.094970703125</v>
      </c>
      <c r="H2566" s="3">
        <v>7243174</v>
      </c>
      <c r="I2566" s="4">
        <f t="shared" si="160"/>
        <v>-0.25</v>
      </c>
      <c r="J2566" s="2">
        <f t="shared" si="161"/>
        <v>10.39</v>
      </c>
      <c r="K2566" s="7">
        <f t="shared" si="162"/>
        <v>46143</v>
      </c>
      <c r="L2566" t="str">
        <f t="shared" si="163"/>
        <v>Q2-2026</v>
      </c>
    </row>
    <row r="2567" spans="1:12">
      <c r="A2567" s="6">
        <v>46171</v>
      </c>
      <c r="B2567" t="s">
        <v>8</v>
      </c>
      <c r="C2567" t="s">
        <v>9</v>
      </c>
      <c r="D2567" s="2">
        <v>1357.722454674049</v>
      </c>
      <c r="E2567" s="2">
        <v>1362.699443144262</v>
      </c>
      <c r="F2567" s="2">
        <v>1310.9387630540491</v>
      </c>
      <c r="G2567" s="2">
        <v>1315.119384765625</v>
      </c>
      <c r="H2567" s="3">
        <v>42634247</v>
      </c>
      <c r="I2567" s="4">
        <f t="shared" si="160"/>
        <v>-3.45</v>
      </c>
      <c r="J2567" s="2">
        <f t="shared" si="161"/>
        <v>47.58</v>
      </c>
      <c r="K2567" s="7">
        <f t="shared" si="162"/>
        <v>46143</v>
      </c>
      <c r="L2567" t="str">
        <f t="shared" si="163"/>
        <v>Q2-2026</v>
      </c>
    </row>
    <row r="2568" spans="1:12">
      <c r="A2568" s="6">
        <v>46171</v>
      </c>
      <c r="B2568" t="s">
        <v>10</v>
      </c>
      <c r="C2568" t="s">
        <v>11</v>
      </c>
      <c r="D2568" s="2">
        <v>2278.5070857958331</v>
      </c>
      <c r="E2568" s="2">
        <v>2321.2726050840129</v>
      </c>
      <c r="F2568" s="2">
        <v>2222.8124560251799</v>
      </c>
      <c r="G2568" s="2">
        <v>2246.58203125</v>
      </c>
      <c r="H2568" s="3">
        <v>16331582</v>
      </c>
      <c r="I2568" s="4">
        <f t="shared" si="160"/>
        <v>-2.44</v>
      </c>
      <c r="J2568" s="2">
        <f t="shared" si="161"/>
        <v>74.69</v>
      </c>
      <c r="K2568" s="7">
        <f t="shared" si="162"/>
        <v>46143</v>
      </c>
      <c r="L2568" t="str">
        <f t="shared" si="163"/>
        <v>Q2-2026</v>
      </c>
    </row>
    <row r="2569" spans="1:12">
      <c r="A2569" s="6">
        <v>46171</v>
      </c>
      <c r="B2569" t="s">
        <v>12</v>
      </c>
      <c r="C2569" t="s">
        <v>13</v>
      </c>
      <c r="D2569" s="2">
        <v>1156.9639684911599</v>
      </c>
      <c r="E2569" s="2">
        <v>1184.370898370815</v>
      </c>
      <c r="F2569" s="2">
        <v>1129.1654871448491</v>
      </c>
      <c r="G2569" s="2">
        <v>1136.310913085938</v>
      </c>
      <c r="H2569" s="3">
        <v>69085430</v>
      </c>
      <c r="I2569" s="4">
        <f t="shared" si="160"/>
        <v>-2.4</v>
      </c>
      <c r="J2569" s="2">
        <f t="shared" si="161"/>
        <v>48.06</v>
      </c>
      <c r="K2569" s="7">
        <f t="shared" si="162"/>
        <v>46143</v>
      </c>
      <c r="L2569" t="str">
        <f t="shared" si="163"/>
        <v>Q2-2026</v>
      </c>
    </row>
    <row r="2570" spans="1:12">
      <c r="A2570" s="6">
        <v>46171</v>
      </c>
      <c r="B2570" t="s">
        <v>14</v>
      </c>
      <c r="C2570" t="s">
        <v>15</v>
      </c>
      <c r="D2570" s="2">
        <v>733.91150758951892</v>
      </c>
      <c r="E2570" s="2">
        <v>748.12641331577186</v>
      </c>
      <c r="F2570" s="2">
        <v>725.74656334478721</v>
      </c>
      <c r="G2570" s="2">
        <v>732.4359130859375</v>
      </c>
      <c r="H2570" s="3">
        <v>101299431</v>
      </c>
      <c r="I2570" s="4">
        <f t="shared" si="160"/>
        <v>-1.1100000000000001</v>
      </c>
      <c r="J2570" s="2">
        <f t="shared" si="161"/>
        <v>15.69</v>
      </c>
      <c r="K2570" s="7">
        <f t="shared" si="162"/>
        <v>46143</v>
      </c>
      <c r="L2570" t="str">
        <f t="shared" si="163"/>
        <v>Q2-2026</v>
      </c>
    </row>
    <row r="2571" spans="1:12">
      <c r="A2571" s="6">
        <v>46171</v>
      </c>
      <c r="B2571" t="s">
        <v>16</v>
      </c>
      <c r="C2571" t="s">
        <v>17</v>
      </c>
      <c r="D2571" s="2">
        <v>1264.440103421719</v>
      </c>
      <c r="E2571" s="2">
        <v>1277.034003689372</v>
      </c>
      <c r="F2571" s="2">
        <v>1237.467544617436</v>
      </c>
      <c r="G2571" s="2">
        <v>1245.896484375</v>
      </c>
      <c r="H2571" s="3">
        <v>31007884</v>
      </c>
      <c r="I2571" s="4">
        <f t="shared" si="160"/>
        <v>-2.13</v>
      </c>
      <c r="J2571" s="2">
        <f t="shared" si="161"/>
        <v>31.14</v>
      </c>
      <c r="K2571" s="7">
        <f t="shared" si="162"/>
        <v>46143</v>
      </c>
      <c r="L2571" t="str">
        <f t="shared" si="163"/>
        <v>Q2-2026</v>
      </c>
    </row>
    <row r="2572" spans="1:12">
      <c r="A2572" s="6">
        <v>46171</v>
      </c>
      <c r="B2572" t="s">
        <v>18</v>
      </c>
      <c r="C2572" t="s">
        <v>19</v>
      </c>
      <c r="D2572" s="2">
        <v>208.61742962355129</v>
      </c>
      <c r="E2572" s="2">
        <v>208.61742962355129</v>
      </c>
      <c r="F2572" s="2">
        <v>201.35041833903551</v>
      </c>
      <c r="G2572" s="2">
        <v>201.94364929199219</v>
      </c>
      <c r="H2572" s="3">
        <v>82734524</v>
      </c>
      <c r="I2572" s="4">
        <f t="shared" si="160"/>
        <v>-3.48</v>
      </c>
      <c r="J2572" s="2">
        <f t="shared" si="161"/>
        <v>6.67</v>
      </c>
      <c r="K2572" s="7">
        <f t="shared" si="162"/>
        <v>46143</v>
      </c>
      <c r="L2572" t="str">
        <f t="shared" si="163"/>
        <v>Q2-2026</v>
      </c>
    </row>
    <row r="2573" spans="1:12">
      <c r="A2573" s="6">
        <v>46171</v>
      </c>
      <c r="B2573" t="s">
        <v>20</v>
      </c>
      <c r="C2573" t="s">
        <v>21</v>
      </c>
      <c r="D2573" s="2">
        <v>1168.074780695197</v>
      </c>
      <c r="E2573" s="2">
        <v>1179.656490779292</v>
      </c>
      <c r="F2573" s="2">
        <v>1165.1050990493609</v>
      </c>
      <c r="G2573" s="2">
        <v>1171.83642578125</v>
      </c>
      <c r="H2573" s="3">
        <v>12446602</v>
      </c>
      <c r="I2573" s="4">
        <f t="shared" si="160"/>
        <v>-0.25</v>
      </c>
      <c r="J2573" s="2">
        <f t="shared" si="161"/>
        <v>7.82</v>
      </c>
      <c r="K2573" s="7">
        <f t="shared" si="162"/>
        <v>46143</v>
      </c>
      <c r="L2573" t="str">
        <f t="shared" si="163"/>
        <v>Q2-2026</v>
      </c>
    </row>
    <row r="2574" spans="1:12">
      <c r="A2574" s="6">
        <v>46171</v>
      </c>
      <c r="B2574" t="s">
        <v>22</v>
      </c>
      <c r="C2574" t="s">
        <v>23</v>
      </c>
      <c r="D2574" s="2">
        <v>909.50905249780305</v>
      </c>
      <c r="E2574" s="2">
        <v>932.07037600880642</v>
      </c>
      <c r="F2574" s="2">
        <v>889.83003532208909</v>
      </c>
      <c r="G2574" s="2">
        <v>902.700927734375</v>
      </c>
      <c r="H2574" s="3">
        <v>46752428</v>
      </c>
      <c r="I2574" s="4">
        <f t="shared" si="160"/>
        <v>-2.16</v>
      </c>
      <c r="J2574" s="2">
        <f t="shared" si="161"/>
        <v>29.37</v>
      </c>
      <c r="K2574" s="7">
        <f t="shared" si="162"/>
        <v>46143</v>
      </c>
      <c r="L2574" t="str">
        <f t="shared" si="163"/>
        <v>Q2-2026</v>
      </c>
    </row>
    <row r="2575" spans="1:12">
      <c r="A2575" s="6">
        <v>46171</v>
      </c>
      <c r="B2575" t="s">
        <v>24</v>
      </c>
      <c r="C2575" t="s">
        <v>25</v>
      </c>
      <c r="D2575" s="2">
        <v>13322.2042724442</v>
      </c>
      <c r="E2575" s="2">
        <v>13373.68722593462</v>
      </c>
      <c r="F2575" s="2">
        <v>12920.241212499761</v>
      </c>
      <c r="G2575" s="2">
        <v>12996.4755859375</v>
      </c>
      <c r="H2575" s="3">
        <v>963291</v>
      </c>
      <c r="I2575" s="4">
        <f t="shared" si="160"/>
        <v>-3.02</v>
      </c>
      <c r="J2575" s="2">
        <f t="shared" si="161"/>
        <v>377.21</v>
      </c>
      <c r="K2575" s="7">
        <f t="shared" si="162"/>
        <v>46143</v>
      </c>
      <c r="L2575" t="str">
        <f t="shared" si="163"/>
        <v>Q2-2026</v>
      </c>
    </row>
    <row r="2576" spans="1:12">
      <c r="A2576" s="6">
        <v>46171</v>
      </c>
      <c r="B2576" t="s">
        <v>26</v>
      </c>
      <c r="C2576" t="s">
        <v>27</v>
      </c>
      <c r="D2576" s="2">
        <v>397.65138031912488</v>
      </c>
      <c r="E2576" s="2">
        <v>404.6433675787722</v>
      </c>
      <c r="F2576" s="2">
        <v>387.48570748166787</v>
      </c>
      <c r="G2576" s="2">
        <v>390.65936279296881</v>
      </c>
      <c r="H2576" s="3">
        <v>31210075</v>
      </c>
      <c r="I2576" s="4">
        <f t="shared" si="160"/>
        <v>-2.56</v>
      </c>
      <c r="J2576" s="2">
        <f t="shared" si="161"/>
        <v>13.98</v>
      </c>
      <c r="K2576" s="7">
        <f t="shared" si="162"/>
        <v>46143</v>
      </c>
      <c r="L2576" t="str">
        <f t="shared" si="163"/>
        <v>Q2-2026</v>
      </c>
    </row>
    <row r="2577" spans="1:12">
      <c r="A2577" s="6">
        <v>46171</v>
      </c>
      <c r="B2577" t="s">
        <v>28</v>
      </c>
      <c r="C2577" t="s">
        <v>29</v>
      </c>
      <c r="D2577" s="2">
        <v>1839.479156893789</v>
      </c>
      <c r="E2577" s="2">
        <v>1847.9569383933519</v>
      </c>
      <c r="F2577" s="2">
        <v>1780.633379426238</v>
      </c>
      <c r="G2577" s="2">
        <v>1794.496948242188</v>
      </c>
      <c r="H2577" s="3">
        <v>10058572</v>
      </c>
      <c r="I2577" s="4">
        <f t="shared" si="160"/>
        <v>-3.2</v>
      </c>
      <c r="J2577" s="2">
        <f t="shared" si="161"/>
        <v>53.46</v>
      </c>
      <c r="K2577" s="7">
        <f t="shared" si="162"/>
        <v>46143</v>
      </c>
      <c r="L2577" t="str">
        <f t="shared" si="163"/>
        <v>Q2-2026</v>
      </c>
    </row>
    <row r="2578" spans="1:12">
      <c r="A2578" s="6">
        <v>46171</v>
      </c>
      <c r="B2578" t="s">
        <v>30</v>
      </c>
      <c r="C2578" t="s">
        <v>31</v>
      </c>
      <c r="D2578" s="2">
        <v>2653.0818991837282</v>
      </c>
      <c r="E2578" s="2">
        <v>2724.56159325931</v>
      </c>
      <c r="F2578" s="2">
        <v>2608.964661335609</v>
      </c>
      <c r="G2578" s="2">
        <v>2648.62060546875</v>
      </c>
      <c r="H2578" s="3">
        <v>5062328</v>
      </c>
      <c r="I2578" s="4">
        <f t="shared" si="160"/>
        <v>-1.66</v>
      </c>
      <c r="J2578" s="2">
        <f t="shared" si="161"/>
        <v>75.94</v>
      </c>
      <c r="K2578" s="7">
        <f t="shared" si="162"/>
        <v>46143</v>
      </c>
      <c r="L2578" t="str">
        <f t="shared" si="163"/>
        <v>Q2-2026</v>
      </c>
    </row>
    <row r="2579" spans="1:12">
      <c r="A2579" s="6">
        <v>46171</v>
      </c>
      <c r="B2579" t="s">
        <v>32</v>
      </c>
      <c r="C2579" t="s">
        <v>33</v>
      </c>
      <c r="D2579" s="2">
        <v>2112.0175443976559</v>
      </c>
      <c r="E2579" s="2">
        <v>2185.5694575331622</v>
      </c>
      <c r="F2579" s="2">
        <v>2096.7727054325701</v>
      </c>
      <c r="G2579" s="2">
        <v>2131.816162109375</v>
      </c>
      <c r="H2579" s="3">
        <v>17701621</v>
      </c>
      <c r="I2579" s="4">
        <f t="shared" si="160"/>
        <v>-0.72</v>
      </c>
      <c r="J2579" s="2">
        <f t="shared" si="161"/>
        <v>53.75</v>
      </c>
      <c r="K2579" s="7">
        <f t="shared" si="162"/>
        <v>46143</v>
      </c>
      <c r="L2579" t="str">
        <f t="shared" si="163"/>
        <v>Q2-2026</v>
      </c>
    </row>
    <row r="2580" spans="1:12">
      <c r="A2580" s="6">
        <v>46171</v>
      </c>
      <c r="B2580" t="s">
        <v>34</v>
      </c>
      <c r="C2580" t="s">
        <v>35</v>
      </c>
      <c r="D2580" s="2">
        <v>4045.800048828125</v>
      </c>
      <c r="E2580" s="2">
        <v>4128</v>
      </c>
      <c r="F2580" s="2">
        <v>4045</v>
      </c>
      <c r="G2580" s="2">
        <v>4076.5</v>
      </c>
      <c r="H2580" s="3">
        <v>4882940</v>
      </c>
      <c r="I2580" s="4">
        <f t="shared" si="160"/>
        <v>-0.02</v>
      </c>
      <c r="J2580" s="2">
        <f t="shared" si="161"/>
        <v>51.5</v>
      </c>
      <c r="K2580" s="7">
        <f t="shared" si="162"/>
        <v>46143</v>
      </c>
      <c r="L2580" t="str">
        <f t="shared" si="163"/>
        <v>Q2-2026</v>
      </c>
    </row>
    <row r="2581" spans="1:12">
      <c r="A2581" s="6">
        <v>46171</v>
      </c>
      <c r="B2581" t="s">
        <v>36</v>
      </c>
      <c r="C2581" t="s">
        <v>37</v>
      </c>
      <c r="D2581" s="2">
        <v>1295.1011997994181</v>
      </c>
      <c r="E2581" s="2">
        <v>1311.588484884837</v>
      </c>
      <c r="F2581" s="2">
        <v>1276.41565882644</v>
      </c>
      <c r="G2581" s="2">
        <v>1285.608520507812</v>
      </c>
      <c r="H2581" s="3">
        <v>15215715</v>
      </c>
      <c r="I2581" s="4">
        <f t="shared" si="160"/>
        <v>-1.44</v>
      </c>
      <c r="J2581" s="2">
        <f t="shared" si="161"/>
        <v>25.98</v>
      </c>
      <c r="K2581" s="7">
        <f t="shared" si="162"/>
        <v>46143</v>
      </c>
      <c r="L2581" t="str">
        <f t="shared" si="163"/>
        <v>Q2-2026</v>
      </c>
    </row>
    <row r="2582" spans="1:12">
      <c r="A2582" s="6">
        <v>46174</v>
      </c>
      <c r="B2582" t="s">
        <v>8</v>
      </c>
      <c r="C2582" t="s">
        <v>9</v>
      </c>
      <c r="D2582" s="2">
        <v>1326.3673976551399</v>
      </c>
      <c r="E2582" s="2">
        <v>1329.353590670499</v>
      </c>
      <c r="F2582" s="2">
        <v>1312.4318302501331</v>
      </c>
      <c r="G2582" s="2">
        <v>1313.924926757812</v>
      </c>
      <c r="H2582" s="3">
        <v>10700603</v>
      </c>
      <c r="I2582" s="4">
        <f t="shared" si="160"/>
        <v>-1.05</v>
      </c>
      <c r="J2582" s="2">
        <f t="shared" si="161"/>
        <v>15.43</v>
      </c>
      <c r="K2582" s="7">
        <f t="shared" si="162"/>
        <v>46174</v>
      </c>
      <c r="L2582" t="str">
        <f t="shared" si="163"/>
        <v>Q2-2026</v>
      </c>
    </row>
    <row r="2583" spans="1:12">
      <c r="A2583" s="6">
        <v>46174</v>
      </c>
      <c r="B2583" t="s">
        <v>10</v>
      </c>
      <c r="C2583" t="s">
        <v>11</v>
      </c>
      <c r="D2583" s="2">
        <v>2271.5452382799431</v>
      </c>
      <c r="E2583" s="2">
        <v>2322.2671328299762</v>
      </c>
      <c r="F2583" s="2">
        <v>2267.567050472097</v>
      </c>
      <c r="G2583" s="2">
        <v>2284.8720703125</v>
      </c>
      <c r="H2583" s="3">
        <v>7505095</v>
      </c>
      <c r="I2583" s="4">
        <f t="shared" si="160"/>
        <v>-0.18</v>
      </c>
      <c r="J2583" s="2">
        <f t="shared" si="161"/>
        <v>37.4</v>
      </c>
      <c r="K2583" s="7">
        <f t="shared" si="162"/>
        <v>46174</v>
      </c>
      <c r="L2583" t="str">
        <f t="shared" si="163"/>
        <v>Q2-2026</v>
      </c>
    </row>
    <row r="2584" spans="1:12">
      <c r="A2584" s="6">
        <v>46174</v>
      </c>
      <c r="B2584" t="s">
        <v>12</v>
      </c>
      <c r="C2584" t="s">
        <v>13</v>
      </c>
      <c r="D2584" s="2">
        <v>1150.112264081991</v>
      </c>
      <c r="E2584" s="2">
        <v>1191.2226599044959</v>
      </c>
      <c r="F2584" s="2">
        <v>1148.8397516554951</v>
      </c>
      <c r="G2584" s="2">
        <v>1177.02978515625</v>
      </c>
      <c r="H2584" s="3">
        <v>19439331</v>
      </c>
      <c r="I2584" s="4">
        <f t="shared" si="160"/>
        <v>-0.11</v>
      </c>
      <c r="J2584" s="2">
        <f t="shared" si="161"/>
        <v>14.19</v>
      </c>
      <c r="K2584" s="7">
        <f t="shared" si="162"/>
        <v>46174</v>
      </c>
      <c r="L2584" t="str">
        <f t="shared" si="163"/>
        <v>Q2-2026</v>
      </c>
    </row>
    <row r="2585" spans="1:12">
      <c r="A2585" s="6">
        <v>46174</v>
      </c>
      <c r="B2585" t="s">
        <v>14</v>
      </c>
      <c r="C2585" t="s">
        <v>15</v>
      </c>
      <c r="D2585" s="2">
        <v>736.81351265906267</v>
      </c>
      <c r="E2585" s="2">
        <v>740.10898299123448</v>
      </c>
      <c r="F2585" s="2">
        <v>727.17297403455893</v>
      </c>
      <c r="G2585" s="2">
        <v>730.61602783203125</v>
      </c>
      <c r="H2585" s="3">
        <v>47996441</v>
      </c>
      <c r="I2585" s="4">
        <f t="shared" si="160"/>
        <v>-1.31</v>
      </c>
      <c r="J2585" s="2">
        <f t="shared" si="161"/>
        <v>9.49</v>
      </c>
      <c r="K2585" s="7">
        <f t="shared" si="162"/>
        <v>46174</v>
      </c>
      <c r="L2585" t="str">
        <f t="shared" si="163"/>
        <v>Q2-2026</v>
      </c>
    </row>
    <row r="2586" spans="1:12">
      <c r="A2586" s="6">
        <v>46174</v>
      </c>
      <c r="B2586" t="s">
        <v>16</v>
      </c>
      <c r="C2586" t="s">
        <v>17</v>
      </c>
      <c r="D2586" s="2">
        <v>1246.590619780136</v>
      </c>
      <c r="E2586" s="2">
        <v>1251.350540200021</v>
      </c>
      <c r="F2586" s="2">
        <v>1225.567900200225</v>
      </c>
      <c r="G2586" s="2">
        <v>1229.336059570312</v>
      </c>
      <c r="H2586" s="3">
        <v>9911975</v>
      </c>
      <c r="I2586" s="4">
        <f t="shared" si="160"/>
        <v>-1.69</v>
      </c>
      <c r="J2586" s="2">
        <f t="shared" si="161"/>
        <v>22.01</v>
      </c>
      <c r="K2586" s="7">
        <f t="shared" si="162"/>
        <v>46174</v>
      </c>
      <c r="L2586" t="str">
        <f t="shared" si="163"/>
        <v>Q2-2026</v>
      </c>
    </row>
    <row r="2587" spans="1:12">
      <c r="A2587" s="6">
        <v>46174</v>
      </c>
      <c r="B2587" t="s">
        <v>18</v>
      </c>
      <c r="C2587" t="s">
        <v>19</v>
      </c>
      <c r="D2587" s="2">
        <v>202.78406404150161</v>
      </c>
      <c r="E2587" s="2">
        <v>205.40413481684351</v>
      </c>
      <c r="F2587" s="2">
        <v>202.78406404150161</v>
      </c>
      <c r="G2587" s="2">
        <v>204.07926940917969</v>
      </c>
      <c r="H2587" s="3">
        <v>26491139</v>
      </c>
      <c r="I2587" s="4">
        <f t="shared" si="160"/>
        <v>0</v>
      </c>
      <c r="J2587" s="2">
        <f t="shared" si="161"/>
        <v>1.32</v>
      </c>
      <c r="K2587" s="7">
        <f t="shared" si="162"/>
        <v>46174</v>
      </c>
      <c r="L2587" t="str">
        <f t="shared" si="163"/>
        <v>Q2-2026</v>
      </c>
    </row>
    <row r="2588" spans="1:12">
      <c r="A2588" s="6">
        <v>46174</v>
      </c>
      <c r="B2588" t="s">
        <v>20</v>
      </c>
      <c r="C2588" t="s">
        <v>21</v>
      </c>
      <c r="D2588" s="2">
        <v>1178.0727471250309</v>
      </c>
      <c r="E2588" s="2">
        <v>1200.543411937201</v>
      </c>
      <c r="F2588" s="2">
        <v>1178.0727471250309</v>
      </c>
      <c r="G2588" s="2">
        <v>1183.022216796875</v>
      </c>
      <c r="H2588" s="3">
        <v>5970435</v>
      </c>
      <c r="I2588" s="4">
        <f t="shared" si="160"/>
        <v>0</v>
      </c>
      <c r="J2588" s="2">
        <f t="shared" si="161"/>
        <v>17.52</v>
      </c>
      <c r="K2588" s="7">
        <f t="shared" si="162"/>
        <v>46174</v>
      </c>
      <c r="L2588" t="str">
        <f t="shared" si="163"/>
        <v>Q2-2026</v>
      </c>
    </row>
    <row r="2589" spans="1:12">
      <c r="A2589" s="6">
        <v>46174</v>
      </c>
      <c r="B2589" t="s">
        <v>22</v>
      </c>
      <c r="C2589" t="s">
        <v>23</v>
      </c>
      <c r="D2589" s="2">
        <v>905.88139374583716</v>
      </c>
      <c r="E2589" s="2">
        <v>912.39136356474694</v>
      </c>
      <c r="F2589" s="2">
        <v>882.57465233714083</v>
      </c>
      <c r="G2589" s="2">
        <v>883.61822509765625</v>
      </c>
      <c r="H2589" s="3">
        <v>6887616</v>
      </c>
      <c r="I2589" s="4">
        <f t="shared" si="160"/>
        <v>-2.57</v>
      </c>
      <c r="J2589" s="2">
        <f t="shared" si="161"/>
        <v>28.77</v>
      </c>
      <c r="K2589" s="7">
        <f t="shared" si="162"/>
        <v>46174</v>
      </c>
      <c r="L2589" t="str">
        <f t="shared" si="163"/>
        <v>Q2-2026</v>
      </c>
    </row>
    <row r="2590" spans="1:12">
      <c r="A2590" s="6">
        <v>46174</v>
      </c>
      <c r="B2590" t="s">
        <v>24</v>
      </c>
      <c r="C2590" t="s">
        <v>25</v>
      </c>
      <c r="D2590" s="2">
        <v>13068.749818959521</v>
      </c>
      <c r="E2590" s="2">
        <v>13135.083624858789</v>
      </c>
      <c r="F2590" s="2">
        <v>12784.603516077599</v>
      </c>
      <c r="G2590" s="2">
        <v>12817.275390625</v>
      </c>
      <c r="H2590" s="3">
        <v>295359</v>
      </c>
      <c r="I2590" s="4">
        <f t="shared" si="160"/>
        <v>-2.17</v>
      </c>
      <c r="J2590" s="2">
        <f t="shared" si="161"/>
        <v>317.81</v>
      </c>
      <c r="K2590" s="7">
        <f t="shared" si="162"/>
        <v>46174</v>
      </c>
      <c r="L2590" t="str">
        <f t="shared" si="163"/>
        <v>Q2-2026</v>
      </c>
    </row>
    <row r="2591" spans="1:12">
      <c r="A2591" s="6">
        <v>46174</v>
      </c>
      <c r="B2591" t="s">
        <v>26</v>
      </c>
      <c r="C2591" t="s">
        <v>27</v>
      </c>
      <c r="D2591" s="2">
        <v>391.75031118177873</v>
      </c>
      <c r="E2591" s="2">
        <v>395.56864305292811</v>
      </c>
      <c r="F2591" s="2">
        <v>380.69204895741751</v>
      </c>
      <c r="G2591" s="2">
        <v>381.7333984375</v>
      </c>
      <c r="H2591" s="3">
        <v>8626860</v>
      </c>
      <c r="I2591" s="4">
        <f t="shared" si="160"/>
        <v>-2.82</v>
      </c>
      <c r="J2591" s="2">
        <f t="shared" si="161"/>
        <v>13.84</v>
      </c>
      <c r="K2591" s="7">
        <f t="shared" si="162"/>
        <v>46174</v>
      </c>
      <c r="L2591" t="str">
        <f t="shared" si="163"/>
        <v>Q2-2026</v>
      </c>
    </row>
    <row r="2592" spans="1:12">
      <c r="A2592" s="6">
        <v>46174</v>
      </c>
      <c r="B2592" t="s">
        <v>28</v>
      </c>
      <c r="C2592" t="s">
        <v>29</v>
      </c>
      <c r="D2592" s="2">
        <v>1807.263561254088</v>
      </c>
      <c r="E2592" s="2">
        <v>1807.363275510975</v>
      </c>
      <c r="F2592" s="2">
        <v>1772.454763014345</v>
      </c>
      <c r="G2592" s="2">
        <v>1791.804077148438</v>
      </c>
      <c r="H2592" s="3">
        <v>2051152</v>
      </c>
      <c r="I2592" s="4">
        <f t="shared" si="160"/>
        <v>-1.93</v>
      </c>
      <c r="J2592" s="2">
        <f t="shared" si="161"/>
        <v>15.56</v>
      </c>
      <c r="K2592" s="7">
        <f t="shared" si="162"/>
        <v>46174</v>
      </c>
      <c r="L2592" t="str">
        <f t="shared" si="163"/>
        <v>Q2-2026</v>
      </c>
    </row>
    <row r="2593" spans="1:12">
      <c r="A2593" s="6">
        <v>46174</v>
      </c>
      <c r="B2593" t="s">
        <v>30</v>
      </c>
      <c r="C2593" t="s">
        <v>31</v>
      </c>
      <c r="D2593" s="2">
        <v>2709.0959013516608</v>
      </c>
      <c r="E2593" s="2">
        <v>2754.8984680974222</v>
      </c>
      <c r="F2593" s="2">
        <v>2604.1066447680032</v>
      </c>
      <c r="G2593" s="2">
        <v>2609.757568359375</v>
      </c>
      <c r="H2593" s="3">
        <v>2224344</v>
      </c>
      <c r="I2593" s="4">
        <f t="shared" si="160"/>
        <v>-3.88</v>
      </c>
      <c r="J2593" s="2">
        <f t="shared" si="161"/>
        <v>145.13999999999999</v>
      </c>
      <c r="K2593" s="7">
        <f t="shared" si="162"/>
        <v>46174</v>
      </c>
      <c r="L2593" t="str">
        <f t="shared" si="163"/>
        <v>Q2-2026</v>
      </c>
    </row>
    <row r="2594" spans="1:12">
      <c r="A2594" s="6">
        <v>46174</v>
      </c>
      <c r="B2594" t="s">
        <v>32</v>
      </c>
      <c r="C2594" t="s">
        <v>33</v>
      </c>
      <c r="D2594" s="2">
        <v>2136.7658114814608</v>
      </c>
      <c r="E2594" s="2">
        <v>2145.675189430654</v>
      </c>
      <c r="F2594" s="2">
        <v>2059.3532647482748</v>
      </c>
      <c r="G2594" s="2">
        <v>2063.31298828125</v>
      </c>
      <c r="H2594" s="3">
        <v>1470488</v>
      </c>
      <c r="I2594" s="4">
        <f t="shared" si="160"/>
        <v>-3.62</v>
      </c>
      <c r="J2594" s="2">
        <f t="shared" si="161"/>
        <v>82.36</v>
      </c>
      <c r="K2594" s="7">
        <f t="shared" si="162"/>
        <v>46174</v>
      </c>
      <c r="L2594" t="str">
        <f t="shared" si="163"/>
        <v>Q2-2026</v>
      </c>
    </row>
    <row r="2595" spans="1:12">
      <c r="A2595" s="6">
        <v>46174</v>
      </c>
      <c r="B2595" t="s">
        <v>34</v>
      </c>
      <c r="C2595" t="s">
        <v>35</v>
      </c>
      <c r="D2595" s="2">
        <v>4089</v>
      </c>
      <c r="E2595" s="2">
        <v>4105.7998046875</v>
      </c>
      <c r="F2595" s="2">
        <v>4002.10009765625</v>
      </c>
      <c r="G2595" s="2">
        <v>4010.800048828125</v>
      </c>
      <c r="H2595" s="3">
        <v>1409388</v>
      </c>
      <c r="I2595" s="4">
        <f t="shared" si="160"/>
        <v>-2.13</v>
      </c>
      <c r="J2595" s="2">
        <f t="shared" si="161"/>
        <v>95</v>
      </c>
      <c r="K2595" s="7">
        <f t="shared" si="162"/>
        <v>46174</v>
      </c>
      <c r="L2595" t="str">
        <f t="shared" si="163"/>
        <v>Q2-2026</v>
      </c>
    </row>
    <row r="2596" spans="1:12">
      <c r="A2596" s="6">
        <v>46174</v>
      </c>
      <c r="B2596" t="s">
        <v>36</v>
      </c>
      <c r="C2596" t="s">
        <v>37</v>
      </c>
      <c r="D2596" s="2">
        <v>1288.0066280954211</v>
      </c>
      <c r="E2596" s="2">
        <v>1292.203342561714</v>
      </c>
      <c r="F2596" s="2">
        <v>1266.023582464622</v>
      </c>
      <c r="G2596" s="2">
        <v>1274.916748046875</v>
      </c>
      <c r="H2596" s="3">
        <v>4311076</v>
      </c>
      <c r="I2596" s="4">
        <f t="shared" si="160"/>
        <v>-1.71</v>
      </c>
      <c r="J2596" s="2">
        <f t="shared" si="161"/>
        <v>17.29</v>
      </c>
      <c r="K2596" s="7">
        <f t="shared" si="162"/>
        <v>46174</v>
      </c>
      <c r="L2596" t="str">
        <f t="shared" si="163"/>
        <v>Q2-2026</v>
      </c>
    </row>
    <row r="2597" spans="1:12">
      <c r="A2597" s="6">
        <v>46175</v>
      </c>
      <c r="B2597" t="s">
        <v>8</v>
      </c>
      <c r="C2597" t="s">
        <v>9</v>
      </c>
      <c r="D2597" s="2">
        <v>1301.681536189825</v>
      </c>
      <c r="E2597" s="2">
        <v>1321.6891273588139</v>
      </c>
      <c r="F2597" s="2">
        <v>1294.3156903458801</v>
      </c>
      <c r="G2597" s="2">
        <v>1308.5498046875</v>
      </c>
      <c r="H2597" s="3">
        <v>23302785</v>
      </c>
      <c r="I2597" s="4">
        <f t="shared" si="160"/>
        <v>-0.56999999999999995</v>
      </c>
      <c r="J2597" s="2">
        <f t="shared" si="161"/>
        <v>13.14</v>
      </c>
      <c r="K2597" s="7">
        <f t="shared" si="162"/>
        <v>46174</v>
      </c>
      <c r="L2597" t="str">
        <f t="shared" si="163"/>
        <v>Q2-2026</v>
      </c>
    </row>
    <row r="2598" spans="1:12">
      <c r="A2598" s="6">
        <v>46175</v>
      </c>
      <c r="B2598" t="s">
        <v>10</v>
      </c>
      <c r="C2598" t="s">
        <v>11</v>
      </c>
      <c r="D2598" s="2">
        <v>2307.3489713446802</v>
      </c>
      <c r="E2598" s="2">
        <v>2443.9996279549</v>
      </c>
      <c r="F2598" s="2">
        <v>2303.569644295269</v>
      </c>
      <c r="G2598" s="2">
        <v>2433.556884765625</v>
      </c>
      <c r="H2598" s="3">
        <v>11306127</v>
      </c>
      <c r="I2598" s="4">
        <f t="shared" si="160"/>
        <v>-0.16</v>
      </c>
      <c r="J2598" s="2">
        <f t="shared" si="161"/>
        <v>10.44</v>
      </c>
      <c r="K2598" s="7">
        <f t="shared" si="162"/>
        <v>46174</v>
      </c>
      <c r="L2598" t="str">
        <f t="shared" si="163"/>
        <v>Q2-2026</v>
      </c>
    </row>
    <row r="2599" spans="1:12">
      <c r="A2599" s="6">
        <v>46175</v>
      </c>
      <c r="B2599" t="s">
        <v>12</v>
      </c>
      <c r="C2599" t="s">
        <v>13</v>
      </c>
      <c r="D2599" s="2">
        <v>1206.3943648530501</v>
      </c>
      <c r="E2599" s="2">
        <v>1251.8115883679941</v>
      </c>
      <c r="F2599" s="2">
        <v>1206.3943648530501</v>
      </c>
      <c r="G2599" s="2">
        <v>1243.883178710938</v>
      </c>
      <c r="H2599" s="3">
        <v>36032600</v>
      </c>
      <c r="I2599" s="4">
        <f t="shared" si="160"/>
        <v>0</v>
      </c>
      <c r="J2599" s="2">
        <f t="shared" si="161"/>
        <v>7.93</v>
      </c>
      <c r="K2599" s="7">
        <f t="shared" si="162"/>
        <v>46174</v>
      </c>
      <c r="L2599" t="str">
        <f t="shared" si="163"/>
        <v>Q2-2026</v>
      </c>
    </row>
    <row r="2600" spans="1:12">
      <c r="A2600" s="6">
        <v>46175</v>
      </c>
      <c r="B2600" t="s">
        <v>14</v>
      </c>
      <c r="C2600" t="s">
        <v>15</v>
      </c>
      <c r="D2600" s="2">
        <v>725.00878555496672</v>
      </c>
      <c r="E2600" s="2">
        <v>741.33867448278579</v>
      </c>
      <c r="F2600" s="2">
        <v>721.22145024427914</v>
      </c>
      <c r="G2600" s="2">
        <v>736.07574462890625</v>
      </c>
      <c r="H2600" s="3">
        <v>47314447</v>
      </c>
      <c r="I2600" s="4">
        <f t="shared" si="160"/>
        <v>-0.52</v>
      </c>
      <c r="J2600" s="2">
        <f t="shared" si="161"/>
        <v>5.26</v>
      </c>
      <c r="K2600" s="7">
        <f t="shared" si="162"/>
        <v>46174</v>
      </c>
      <c r="L2600" t="str">
        <f t="shared" si="163"/>
        <v>Q2-2026</v>
      </c>
    </row>
    <row r="2601" spans="1:12">
      <c r="A2601" s="6">
        <v>46175</v>
      </c>
      <c r="B2601" t="s">
        <v>16</v>
      </c>
      <c r="C2601" t="s">
        <v>17</v>
      </c>
      <c r="D2601" s="2">
        <v>1222.6921011668931</v>
      </c>
      <c r="E2601" s="2">
        <v>1227.3527606751829</v>
      </c>
      <c r="F2601" s="2">
        <v>1210.494880934845</v>
      </c>
      <c r="G2601" s="2">
        <v>1216.345581054688</v>
      </c>
      <c r="H2601" s="3">
        <v>17920892</v>
      </c>
      <c r="I2601" s="4">
        <f t="shared" si="160"/>
        <v>-1</v>
      </c>
      <c r="J2601" s="2">
        <f t="shared" si="161"/>
        <v>11.01</v>
      </c>
      <c r="K2601" s="7">
        <f t="shared" si="162"/>
        <v>46174</v>
      </c>
      <c r="L2601" t="str">
        <f t="shared" si="163"/>
        <v>Q2-2026</v>
      </c>
    </row>
    <row r="2602" spans="1:12">
      <c r="A2602" s="6">
        <v>46175</v>
      </c>
      <c r="B2602" t="s">
        <v>18</v>
      </c>
      <c r="C2602" t="s">
        <v>19</v>
      </c>
      <c r="D2602" s="2">
        <v>205.65130059654999</v>
      </c>
      <c r="E2602" s="2">
        <v>207.80667717859501</v>
      </c>
      <c r="F2602" s="2">
        <v>204.17811998325581</v>
      </c>
      <c r="G2602" s="2">
        <v>207.47052001953119</v>
      </c>
      <c r="H2602" s="3">
        <v>42476874</v>
      </c>
      <c r="I2602" s="4">
        <f t="shared" si="160"/>
        <v>-0.72</v>
      </c>
      <c r="J2602" s="2">
        <f t="shared" si="161"/>
        <v>0.34</v>
      </c>
      <c r="K2602" s="7">
        <f t="shared" si="162"/>
        <v>46174</v>
      </c>
      <c r="L2602" t="str">
        <f t="shared" si="163"/>
        <v>Q2-2026</v>
      </c>
    </row>
    <row r="2603" spans="1:12">
      <c r="A2603" s="6">
        <v>46175</v>
      </c>
      <c r="B2603" t="s">
        <v>20</v>
      </c>
      <c r="C2603" t="s">
        <v>21</v>
      </c>
      <c r="D2603" s="2">
        <v>1197.7716587190889</v>
      </c>
      <c r="E2603" s="2">
        <v>1244.296673561897</v>
      </c>
      <c r="F2603" s="2">
        <v>1190.0504377083839</v>
      </c>
      <c r="G2603" s="2">
        <v>1230.93310546875</v>
      </c>
      <c r="H2603" s="3">
        <v>7663067</v>
      </c>
      <c r="I2603" s="4">
        <f t="shared" si="160"/>
        <v>-0.64</v>
      </c>
      <c r="J2603" s="2">
        <f t="shared" si="161"/>
        <v>13.36</v>
      </c>
      <c r="K2603" s="7">
        <f t="shared" si="162"/>
        <v>46174</v>
      </c>
      <c r="L2603" t="str">
        <f t="shared" si="163"/>
        <v>Q2-2026</v>
      </c>
    </row>
    <row r="2604" spans="1:12">
      <c r="A2604" s="6">
        <v>46175</v>
      </c>
      <c r="B2604" t="s">
        <v>22</v>
      </c>
      <c r="C2604" t="s">
        <v>23</v>
      </c>
      <c r="D2604" s="2">
        <v>868.66014448585429</v>
      </c>
      <c r="E2604" s="2">
        <v>878.99662813594114</v>
      </c>
      <c r="F2604" s="2">
        <v>855.19294270779722</v>
      </c>
      <c r="G2604" s="2">
        <v>876.61126708984375</v>
      </c>
      <c r="H2604" s="3">
        <v>15697997</v>
      </c>
      <c r="I2604" s="4">
        <f t="shared" si="160"/>
        <v>-1.55</v>
      </c>
      <c r="J2604" s="2">
        <f t="shared" si="161"/>
        <v>2.39</v>
      </c>
      <c r="K2604" s="7">
        <f t="shared" si="162"/>
        <v>46174</v>
      </c>
      <c r="L2604" t="str">
        <f t="shared" si="163"/>
        <v>Q2-2026</v>
      </c>
    </row>
    <row r="2605" spans="1:12">
      <c r="A2605" s="6">
        <v>46175</v>
      </c>
      <c r="B2605" t="s">
        <v>24</v>
      </c>
      <c r="C2605" t="s">
        <v>25</v>
      </c>
      <c r="D2605" s="2">
        <v>12573.721244576491</v>
      </c>
      <c r="E2605" s="2">
        <v>12921.23117818643</v>
      </c>
      <c r="F2605" s="2">
        <v>12573.721244576491</v>
      </c>
      <c r="G2605" s="2">
        <v>12892.51953125</v>
      </c>
      <c r="H2605" s="3">
        <v>586599</v>
      </c>
      <c r="I2605" s="4">
        <f t="shared" si="160"/>
        <v>0</v>
      </c>
      <c r="J2605" s="2">
        <f t="shared" si="161"/>
        <v>28.71</v>
      </c>
      <c r="K2605" s="7">
        <f t="shared" si="162"/>
        <v>46174</v>
      </c>
      <c r="L2605" t="str">
        <f t="shared" si="163"/>
        <v>Q2-2026</v>
      </c>
    </row>
    <row r="2606" spans="1:12">
      <c r="A2606" s="6">
        <v>46175</v>
      </c>
      <c r="B2606" t="s">
        <v>26</v>
      </c>
      <c r="C2606" t="s">
        <v>27</v>
      </c>
      <c r="D2606" s="2">
        <v>376.47700807909928</v>
      </c>
      <c r="E2606" s="2">
        <v>388.67580294013919</v>
      </c>
      <c r="F2606" s="2">
        <v>374.19591219353782</v>
      </c>
      <c r="G2606" s="2">
        <v>386.98980712890619</v>
      </c>
      <c r="H2606" s="3">
        <v>12789321</v>
      </c>
      <c r="I2606" s="4">
        <f t="shared" si="160"/>
        <v>-0.61</v>
      </c>
      <c r="J2606" s="2">
        <f t="shared" si="161"/>
        <v>1.69</v>
      </c>
      <c r="K2606" s="7">
        <f t="shared" si="162"/>
        <v>46174</v>
      </c>
      <c r="L2606" t="str">
        <f t="shared" si="163"/>
        <v>Q2-2026</v>
      </c>
    </row>
    <row r="2607" spans="1:12">
      <c r="A2607" s="6">
        <v>46175</v>
      </c>
      <c r="B2607" t="s">
        <v>28</v>
      </c>
      <c r="C2607" t="s">
        <v>29</v>
      </c>
      <c r="D2607" s="2">
        <v>1789.510000436577</v>
      </c>
      <c r="E2607" s="2">
        <v>1795.294888221337</v>
      </c>
      <c r="F2607" s="2">
        <v>1761.8824555794399</v>
      </c>
      <c r="G2607" s="2">
        <v>1785.221313476562</v>
      </c>
      <c r="H2607" s="3">
        <v>2885899</v>
      </c>
      <c r="I2607" s="4">
        <f t="shared" si="160"/>
        <v>-1.54</v>
      </c>
      <c r="J2607" s="2">
        <f t="shared" si="161"/>
        <v>10.07</v>
      </c>
      <c r="K2607" s="7">
        <f t="shared" si="162"/>
        <v>46174</v>
      </c>
      <c r="L2607" t="str">
        <f t="shared" si="163"/>
        <v>Q2-2026</v>
      </c>
    </row>
    <row r="2608" spans="1:12">
      <c r="A2608" s="6">
        <v>46175</v>
      </c>
      <c r="B2608" t="s">
        <v>30</v>
      </c>
      <c r="C2608" t="s">
        <v>31</v>
      </c>
      <c r="D2608" s="2">
        <v>2603.5119626179271</v>
      </c>
      <c r="E2608" s="2">
        <v>2649.116298258944</v>
      </c>
      <c r="F2608" s="2">
        <v>2585.4683144491592</v>
      </c>
      <c r="G2608" s="2">
        <v>2637.814208984375</v>
      </c>
      <c r="H2608" s="3">
        <v>1026319</v>
      </c>
      <c r="I2608" s="4">
        <f t="shared" si="160"/>
        <v>-0.69</v>
      </c>
      <c r="J2608" s="2">
        <f t="shared" si="161"/>
        <v>11.3</v>
      </c>
      <c r="K2608" s="7">
        <f t="shared" si="162"/>
        <v>46174</v>
      </c>
      <c r="L2608" t="str">
        <f t="shared" si="163"/>
        <v>Q2-2026</v>
      </c>
    </row>
    <row r="2609" spans="1:12">
      <c r="A2609" s="6">
        <v>46175</v>
      </c>
      <c r="B2609" t="s">
        <v>32</v>
      </c>
      <c r="C2609" t="s">
        <v>33</v>
      </c>
      <c r="D2609" s="2">
        <v>2058.0662289618631</v>
      </c>
      <c r="E2609" s="2">
        <v>2075.88498419097</v>
      </c>
      <c r="F2609" s="2">
        <v>2044.9001003727781</v>
      </c>
      <c r="G2609" s="2">
        <v>2072.6181640625</v>
      </c>
      <c r="H2609" s="3">
        <v>2148903</v>
      </c>
      <c r="I2609" s="4">
        <f t="shared" si="160"/>
        <v>-0.64</v>
      </c>
      <c r="J2609" s="2">
        <f t="shared" si="161"/>
        <v>3.27</v>
      </c>
      <c r="K2609" s="7">
        <f t="shared" si="162"/>
        <v>46174</v>
      </c>
      <c r="L2609" t="str">
        <f t="shared" si="163"/>
        <v>Q2-2026</v>
      </c>
    </row>
    <row r="2610" spans="1:12">
      <c r="A2610" s="6">
        <v>46175</v>
      </c>
      <c r="B2610" t="s">
        <v>34</v>
      </c>
      <c r="C2610" t="s">
        <v>35</v>
      </c>
      <c r="D2610" s="2">
        <v>3980</v>
      </c>
      <c r="E2610" s="2">
        <v>4017</v>
      </c>
      <c r="F2610" s="2">
        <v>3923.5</v>
      </c>
      <c r="G2610" s="2">
        <v>4000.89990234375</v>
      </c>
      <c r="H2610" s="3">
        <v>2085054</v>
      </c>
      <c r="I2610" s="4">
        <f t="shared" si="160"/>
        <v>-1.42</v>
      </c>
      <c r="J2610" s="2">
        <f t="shared" si="161"/>
        <v>16.100000000000001</v>
      </c>
      <c r="K2610" s="7">
        <f t="shared" si="162"/>
        <v>46174</v>
      </c>
      <c r="L2610" t="str">
        <f t="shared" si="163"/>
        <v>Q2-2026</v>
      </c>
    </row>
    <row r="2611" spans="1:12">
      <c r="A2611" s="6">
        <v>46175</v>
      </c>
      <c r="B2611" t="s">
        <v>36</v>
      </c>
      <c r="C2611" t="s">
        <v>37</v>
      </c>
      <c r="D2611" s="2">
        <v>1262.026718382876</v>
      </c>
      <c r="E2611" s="2">
        <v>1274.8169033533429</v>
      </c>
      <c r="F2611" s="2">
        <v>1243.940690836137</v>
      </c>
      <c r="G2611" s="2">
        <v>1250.135864257812</v>
      </c>
      <c r="H2611" s="3">
        <v>11884695</v>
      </c>
      <c r="I2611" s="4">
        <f t="shared" si="160"/>
        <v>-1.43</v>
      </c>
      <c r="J2611" s="2">
        <f t="shared" si="161"/>
        <v>24.68</v>
      </c>
      <c r="K2611" s="7">
        <f t="shared" si="162"/>
        <v>46174</v>
      </c>
      <c r="L2611" t="str">
        <f t="shared" si="163"/>
        <v>Q2-2026</v>
      </c>
    </row>
    <row r="2612" spans="1:12">
      <c r="A2612" s="6">
        <v>46176</v>
      </c>
      <c r="B2612" t="s">
        <v>8</v>
      </c>
      <c r="C2612" t="s">
        <v>9</v>
      </c>
      <c r="D2612" s="2">
        <v>1308.948014516812</v>
      </c>
      <c r="E2612" s="2">
        <v>1317.906594083847</v>
      </c>
      <c r="F2612" s="2">
        <v>1295.012446301424</v>
      </c>
      <c r="G2612" s="2">
        <v>1307.15625</v>
      </c>
      <c r="H2612" s="3">
        <v>20012293</v>
      </c>
      <c r="I2612" s="4">
        <f t="shared" si="160"/>
        <v>-1.06</v>
      </c>
      <c r="J2612" s="2">
        <f t="shared" si="161"/>
        <v>10.75</v>
      </c>
      <c r="K2612" s="7">
        <f t="shared" si="162"/>
        <v>46174</v>
      </c>
      <c r="L2612" t="str">
        <f t="shared" si="163"/>
        <v>Q2-2026</v>
      </c>
    </row>
    <row r="2613" spans="1:12">
      <c r="A2613" s="6">
        <v>46176</v>
      </c>
      <c r="B2613" t="s">
        <v>10</v>
      </c>
      <c r="C2613" t="s">
        <v>11</v>
      </c>
      <c r="D2613" s="2">
        <v>2379.9508308807999</v>
      </c>
      <c r="E2613" s="2">
        <v>2379.9508308807999</v>
      </c>
      <c r="F2613" s="2">
        <v>2212.668083891409</v>
      </c>
      <c r="G2613" s="2">
        <v>2229.475830078125</v>
      </c>
      <c r="H2613" s="3">
        <v>15660062</v>
      </c>
      <c r="I2613" s="4">
        <f t="shared" si="160"/>
        <v>-7.03</v>
      </c>
      <c r="J2613" s="2">
        <f t="shared" si="161"/>
        <v>150.47999999999999</v>
      </c>
      <c r="K2613" s="7">
        <f t="shared" si="162"/>
        <v>46174</v>
      </c>
      <c r="L2613" t="str">
        <f t="shared" si="163"/>
        <v>Q2-2026</v>
      </c>
    </row>
    <row r="2614" spans="1:12">
      <c r="A2614" s="6">
        <v>46176</v>
      </c>
      <c r="B2614" t="s">
        <v>12</v>
      </c>
      <c r="C2614" t="s">
        <v>13</v>
      </c>
      <c r="D2614" s="2">
        <v>1215.790948301355</v>
      </c>
      <c r="E2614" s="2">
        <v>1223.425783618914</v>
      </c>
      <c r="F2614" s="2">
        <v>1190.2437985614149</v>
      </c>
      <c r="G2614" s="2">
        <v>1196.703979492188</v>
      </c>
      <c r="H2614" s="3">
        <v>18534303</v>
      </c>
      <c r="I2614" s="4">
        <f t="shared" si="160"/>
        <v>-2.1</v>
      </c>
      <c r="J2614" s="2">
        <f t="shared" si="161"/>
        <v>26.72</v>
      </c>
      <c r="K2614" s="7">
        <f t="shared" si="162"/>
        <v>46174</v>
      </c>
      <c r="L2614" t="str">
        <f t="shared" si="163"/>
        <v>Q2-2026</v>
      </c>
    </row>
    <row r="2615" spans="1:12">
      <c r="A2615" s="6">
        <v>46176</v>
      </c>
      <c r="B2615" t="s">
        <v>14</v>
      </c>
      <c r="C2615" t="s">
        <v>15</v>
      </c>
      <c r="D2615" s="2">
        <v>732.33755358464407</v>
      </c>
      <c r="E2615" s="2">
        <v>744.58499979633223</v>
      </c>
      <c r="F2615" s="2">
        <v>730.51761769785821</v>
      </c>
      <c r="G2615" s="2">
        <v>741.38787841796875</v>
      </c>
      <c r="H2615" s="3">
        <v>36109480</v>
      </c>
      <c r="I2615" s="4">
        <f t="shared" si="160"/>
        <v>-0.25</v>
      </c>
      <c r="J2615" s="2">
        <f t="shared" si="161"/>
        <v>3.2</v>
      </c>
      <c r="K2615" s="7">
        <f t="shared" si="162"/>
        <v>46174</v>
      </c>
      <c r="L2615" t="str">
        <f t="shared" si="163"/>
        <v>Q2-2026</v>
      </c>
    </row>
    <row r="2616" spans="1:12">
      <c r="A2616" s="6">
        <v>46176</v>
      </c>
      <c r="B2616" t="s">
        <v>16</v>
      </c>
      <c r="C2616" t="s">
        <v>17</v>
      </c>
      <c r="D2616" s="2">
        <v>1209.7016025437181</v>
      </c>
      <c r="E2616" s="2">
        <v>1237.8642014111731</v>
      </c>
      <c r="F2616" s="2">
        <v>1203.5533622069199</v>
      </c>
      <c r="G2616" s="2">
        <v>1231.616821289062</v>
      </c>
      <c r="H2616" s="3">
        <v>13934754</v>
      </c>
      <c r="I2616" s="4">
        <f t="shared" si="160"/>
        <v>-0.51</v>
      </c>
      <c r="J2616" s="2">
        <f t="shared" si="161"/>
        <v>6.25</v>
      </c>
      <c r="K2616" s="7">
        <f t="shared" si="162"/>
        <v>46174</v>
      </c>
      <c r="L2616" t="str">
        <f t="shared" si="163"/>
        <v>Q2-2026</v>
      </c>
    </row>
    <row r="2617" spans="1:12">
      <c r="A2617" s="6">
        <v>46176</v>
      </c>
      <c r="B2617" t="s">
        <v>18</v>
      </c>
      <c r="C2617" t="s">
        <v>19</v>
      </c>
      <c r="D2617" s="2">
        <v>205.6513050563035</v>
      </c>
      <c r="E2617" s="2">
        <v>206.04678230066199</v>
      </c>
      <c r="F2617" s="2">
        <v>199.71905587198711</v>
      </c>
      <c r="G2617" s="2">
        <v>201.79534912109381</v>
      </c>
      <c r="H2617" s="3">
        <v>62282204</v>
      </c>
      <c r="I2617" s="4">
        <f t="shared" si="160"/>
        <v>-2.88</v>
      </c>
      <c r="J2617" s="2">
        <f t="shared" si="161"/>
        <v>4.25</v>
      </c>
      <c r="K2617" s="7">
        <f t="shared" si="162"/>
        <v>46174</v>
      </c>
      <c r="L2617" t="str">
        <f t="shared" si="163"/>
        <v>Q2-2026</v>
      </c>
    </row>
    <row r="2618" spans="1:12">
      <c r="A2618" s="6">
        <v>46176</v>
      </c>
      <c r="B2618" t="s">
        <v>20</v>
      </c>
      <c r="C2618" t="s">
        <v>21</v>
      </c>
      <c r="D2618" s="2">
        <v>1216.381727723978</v>
      </c>
      <c r="E2618" s="2">
        <v>1217.5695521230921</v>
      </c>
      <c r="F2618" s="2">
        <v>1164.907242593571</v>
      </c>
      <c r="G2618" s="2">
        <v>1167.0849609375</v>
      </c>
      <c r="H2618" s="3">
        <v>4800922</v>
      </c>
      <c r="I2618" s="4">
        <f t="shared" si="160"/>
        <v>-4.2300000000000004</v>
      </c>
      <c r="J2618" s="2">
        <f t="shared" si="161"/>
        <v>50.48</v>
      </c>
      <c r="K2618" s="7">
        <f t="shared" si="162"/>
        <v>46174</v>
      </c>
      <c r="L2618" t="str">
        <f t="shared" si="163"/>
        <v>Q2-2026</v>
      </c>
    </row>
    <row r="2619" spans="1:12">
      <c r="A2619" s="6">
        <v>46176</v>
      </c>
      <c r="B2619" t="s">
        <v>22</v>
      </c>
      <c r="C2619" t="s">
        <v>23</v>
      </c>
      <c r="D2619" s="2">
        <v>876.61129619586268</v>
      </c>
      <c r="E2619" s="2">
        <v>876.61129619586268</v>
      </c>
      <c r="F2619" s="2">
        <v>858.22432456363651</v>
      </c>
      <c r="G2619" s="2">
        <v>871.44305419921875</v>
      </c>
      <c r="H2619" s="3">
        <v>14747769</v>
      </c>
      <c r="I2619" s="4">
        <f t="shared" si="160"/>
        <v>-2.1</v>
      </c>
      <c r="J2619" s="2">
        <f t="shared" si="161"/>
        <v>5.17</v>
      </c>
      <c r="K2619" s="7">
        <f t="shared" si="162"/>
        <v>46174</v>
      </c>
      <c r="L2619" t="str">
        <f t="shared" si="163"/>
        <v>Q2-2026</v>
      </c>
    </row>
    <row r="2620" spans="1:12">
      <c r="A2620" s="6">
        <v>46176</v>
      </c>
      <c r="B2620" t="s">
        <v>24</v>
      </c>
      <c r="C2620" t="s">
        <v>25</v>
      </c>
      <c r="D2620" s="2">
        <v>12884.59907752127</v>
      </c>
      <c r="E2620" s="2">
        <v>13074.68998138512</v>
      </c>
      <c r="F2620" s="2">
        <v>12782.623228052649</v>
      </c>
      <c r="G2620" s="2">
        <v>12914.30078125</v>
      </c>
      <c r="H2620" s="3">
        <v>607808</v>
      </c>
      <c r="I2620" s="4">
        <f t="shared" si="160"/>
        <v>-0.79</v>
      </c>
      <c r="J2620" s="2">
        <f t="shared" si="161"/>
        <v>160.38999999999999</v>
      </c>
      <c r="K2620" s="7">
        <f t="shared" si="162"/>
        <v>46174</v>
      </c>
      <c r="L2620" t="str">
        <f t="shared" si="163"/>
        <v>Q2-2026</v>
      </c>
    </row>
    <row r="2621" spans="1:12">
      <c r="A2621" s="6">
        <v>46176</v>
      </c>
      <c r="B2621" t="s">
        <v>26</v>
      </c>
      <c r="C2621" t="s">
        <v>27</v>
      </c>
      <c r="D2621" s="2">
        <v>388.82456866664012</v>
      </c>
      <c r="E2621" s="2">
        <v>396.51080894464712</v>
      </c>
      <c r="F2621" s="2">
        <v>381.68382166504171</v>
      </c>
      <c r="G2621" s="2">
        <v>394.8743896484375</v>
      </c>
      <c r="H2621" s="3">
        <v>8638483</v>
      </c>
      <c r="I2621" s="4">
        <f t="shared" si="160"/>
        <v>-1.84</v>
      </c>
      <c r="J2621" s="2">
        <f t="shared" si="161"/>
        <v>1.64</v>
      </c>
      <c r="K2621" s="7">
        <f t="shared" si="162"/>
        <v>46174</v>
      </c>
      <c r="L2621" t="str">
        <f t="shared" si="163"/>
        <v>Q2-2026</v>
      </c>
    </row>
    <row r="2622" spans="1:12">
      <c r="A2622" s="6">
        <v>46176</v>
      </c>
      <c r="B2622" t="s">
        <v>28</v>
      </c>
      <c r="C2622" t="s">
        <v>29</v>
      </c>
      <c r="D2622" s="2">
        <v>1776.344555793743</v>
      </c>
      <c r="E2622" s="2">
        <v>1791.604611065623</v>
      </c>
      <c r="F2622" s="2">
        <v>1752.2078620741279</v>
      </c>
      <c r="G2622" s="2">
        <v>1783.824951171875</v>
      </c>
      <c r="H2622" s="3">
        <v>4209769</v>
      </c>
      <c r="I2622" s="4">
        <f t="shared" si="160"/>
        <v>-1.36</v>
      </c>
      <c r="J2622" s="2">
        <f t="shared" si="161"/>
        <v>7.78</v>
      </c>
      <c r="K2622" s="7">
        <f t="shared" si="162"/>
        <v>46174</v>
      </c>
      <c r="L2622" t="str">
        <f t="shared" si="163"/>
        <v>Q2-2026</v>
      </c>
    </row>
    <row r="2623" spans="1:12">
      <c r="A2623" s="6">
        <v>46176</v>
      </c>
      <c r="B2623" t="s">
        <v>30</v>
      </c>
      <c r="C2623" t="s">
        <v>31</v>
      </c>
      <c r="D2623" s="2">
        <v>2629.2882998645418</v>
      </c>
      <c r="E2623" s="2">
        <v>2652.9826293718861</v>
      </c>
      <c r="F2623" s="2">
        <v>2602.1238332482139</v>
      </c>
      <c r="G2623" s="2">
        <v>2639.49951171875</v>
      </c>
      <c r="H2623" s="3">
        <v>958774</v>
      </c>
      <c r="I2623" s="4">
        <f t="shared" si="160"/>
        <v>-1.03</v>
      </c>
      <c r="J2623" s="2">
        <f t="shared" si="161"/>
        <v>13.48</v>
      </c>
      <c r="K2623" s="7">
        <f t="shared" si="162"/>
        <v>46174</v>
      </c>
      <c r="L2623" t="str">
        <f t="shared" si="163"/>
        <v>Q2-2026</v>
      </c>
    </row>
    <row r="2624" spans="1:12">
      <c r="A2624" s="6">
        <v>46176</v>
      </c>
      <c r="B2624" t="s">
        <v>32</v>
      </c>
      <c r="C2624" t="s">
        <v>33</v>
      </c>
      <c r="D2624" s="2">
        <v>2070.9353670832679</v>
      </c>
      <c r="E2624" s="2">
        <v>2078.4589383211342</v>
      </c>
      <c r="F2624" s="2">
        <v>2051.3346876434312</v>
      </c>
      <c r="G2624" s="2">
        <v>2069.549560546875</v>
      </c>
      <c r="H2624" s="3">
        <v>1544973</v>
      </c>
      <c r="I2624" s="4">
        <f t="shared" si="160"/>
        <v>-0.95</v>
      </c>
      <c r="J2624" s="2">
        <f t="shared" si="161"/>
        <v>8.91</v>
      </c>
      <c r="K2624" s="7">
        <f t="shared" si="162"/>
        <v>46174</v>
      </c>
      <c r="L2624" t="str">
        <f t="shared" si="163"/>
        <v>Q2-2026</v>
      </c>
    </row>
    <row r="2625" spans="1:12">
      <c r="A2625" s="6">
        <v>46176</v>
      </c>
      <c r="B2625" t="s">
        <v>34</v>
      </c>
      <c r="C2625" t="s">
        <v>35</v>
      </c>
      <c r="D2625" s="2">
        <v>4000.89990234375</v>
      </c>
      <c r="E2625" s="2">
        <v>4008</v>
      </c>
      <c r="F2625" s="2">
        <v>3894</v>
      </c>
      <c r="G2625" s="2">
        <v>3953.199951171875</v>
      </c>
      <c r="H2625" s="3">
        <v>1872929</v>
      </c>
      <c r="I2625" s="4">
        <f t="shared" si="160"/>
        <v>-2.67</v>
      </c>
      <c r="J2625" s="2">
        <f t="shared" si="161"/>
        <v>54.8</v>
      </c>
      <c r="K2625" s="7">
        <f t="shared" si="162"/>
        <v>46174</v>
      </c>
      <c r="L2625" t="str">
        <f t="shared" si="163"/>
        <v>Q2-2026</v>
      </c>
    </row>
    <row r="2626" spans="1:12">
      <c r="A2626" s="6">
        <v>46176</v>
      </c>
      <c r="B2626" t="s">
        <v>36</v>
      </c>
      <c r="C2626" t="s">
        <v>37</v>
      </c>
      <c r="D2626" s="2">
        <v>1244.1404736967711</v>
      </c>
      <c r="E2626" s="2">
        <v>1263.8253656219049</v>
      </c>
      <c r="F2626" s="2">
        <v>1229.351952093534</v>
      </c>
      <c r="G2626" s="2">
        <v>1254.232666015625</v>
      </c>
      <c r="H2626" s="3">
        <v>7953326</v>
      </c>
      <c r="I2626" s="4">
        <f t="shared" ref="I2626:I2689" si="164">ROUND(((F2626-D2626)/D2626)*100, 2)</f>
        <v>-1.19</v>
      </c>
      <c r="J2626" s="2">
        <f t="shared" ref="J2626:J2689" si="165">ROUND(E2626-G2626, 2)</f>
        <v>9.59</v>
      </c>
      <c r="K2626" s="7">
        <f t="shared" ref="K2626:K2689" si="166">DATE(YEAR(A2626),MONTH(A2626),1)</f>
        <v>46174</v>
      </c>
      <c r="L2626" t="str">
        <f t="shared" ref="L2626:L2689" si="167">"Q"&amp;INT((MONTH(A2626)-1)/3)+1&amp;"-"&amp;YEAR(A2626)</f>
        <v>Q2-2026</v>
      </c>
    </row>
    <row r="2627" spans="1:12">
      <c r="A2627" s="6">
        <v>46177</v>
      </c>
      <c r="B2627" t="s">
        <v>8</v>
      </c>
      <c r="C2627" t="s">
        <v>9</v>
      </c>
      <c r="D2627" s="2">
        <v>1295.0124259474101</v>
      </c>
      <c r="E2627" s="2">
        <v>1305.1654340270679</v>
      </c>
      <c r="F2627" s="2">
        <v>1287.1487597049049</v>
      </c>
      <c r="G2627" s="2">
        <v>1297.699951171875</v>
      </c>
      <c r="H2627" s="3">
        <v>23474327</v>
      </c>
      <c r="I2627" s="4">
        <f t="shared" si="164"/>
        <v>-0.61</v>
      </c>
      <c r="J2627" s="2">
        <f t="shared" si="165"/>
        <v>7.47</v>
      </c>
      <c r="K2627" s="7">
        <f t="shared" si="166"/>
        <v>46174</v>
      </c>
      <c r="L2627" t="str">
        <f t="shared" si="167"/>
        <v>Q2-2026</v>
      </c>
    </row>
    <row r="2628" spans="1:12">
      <c r="A2628" s="6">
        <v>46177</v>
      </c>
      <c r="B2628" t="s">
        <v>10</v>
      </c>
      <c r="C2628" t="s">
        <v>11</v>
      </c>
      <c r="D2628" s="2">
        <v>2229.475919481315</v>
      </c>
      <c r="E2628" s="2">
        <v>2240.813900754049</v>
      </c>
      <c r="F2628" s="2">
        <v>2204.5129359355728</v>
      </c>
      <c r="G2628" s="2">
        <v>2228.77978515625</v>
      </c>
      <c r="H2628" s="3">
        <v>4867263</v>
      </c>
      <c r="I2628" s="4">
        <f t="shared" si="164"/>
        <v>-1.1200000000000001</v>
      </c>
      <c r="J2628" s="2">
        <f t="shared" si="165"/>
        <v>12.03</v>
      </c>
      <c r="K2628" s="7">
        <f t="shared" si="166"/>
        <v>46174</v>
      </c>
      <c r="L2628" t="str">
        <f t="shared" si="167"/>
        <v>Q2-2026</v>
      </c>
    </row>
    <row r="2629" spans="1:12">
      <c r="A2629" s="6">
        <v>46177</v>
      </c>
      <c r="B2629" t="s">
        <v>12</v>
      </c>
      <c r="C2629" t="s">
        <v>13</v>
      </c>
      <c r="D2629" s="2">
        <v>1182.413263625325</v>
      </c>
      <c r="E2629" s="2">
        <v>1189.4607121046949</v>
      </c>
      <c r="F2629" s="2">
        <v>1170.8631524946941</v>
      </c>
      <c r="G2629" s="2">
        <v>1175.855224609375</v>
      </c>
      <c r="H2629" s="3">
        <v>12755957</v>
      </c>
      <c r="I2629" s="4">
        <f t="shared" si="164"/>
        <v>-0.98</v>
      </c>
      <c r="J2629" s="2">
        <f t="shared" si="165"/>
        <v>13.61</v>
      </c>
      <c r="K2629" s="7">
        <f t="shared" si="166"/>
        <v>46174</v>
      </c>
      <c r="L2629" t="str">
        <f t="shared" si="167"/>
        <v>Q2-2026</v>
      </c>
    </row>
    <row r="2630" spans="1:12">
      <c r="A2630" s="6">
        <v>46177</v>
      </c>
      <c r="B2630" t="s">
        <v>14</v>
      </c>
      <c r="C2630" t="s">
        <v>15</v>
      </c>
      <c r="D2630" s="2">
        <v>736.96107145277324</v>
      </c>
      <c r="E2630" s="2">
        <v>744.97843185894465</v>
      </c>
      <c r="F2630" s="2">
        <v>732.87856949846218</v>
      </c>
      <c r="G2630" s="2">
        <v>741.92889404296875</v>
      </c>
      <c r="H2630" s="3">
        <v>42673538</v>
      </c>
      <c r="I2630" s="4">
        <f t="shared" si="164"/>
        <v>-0.55000000000000004</v>
      </c>
      <c r="J2630" s="2">
        <f t="shared" si="165"/>
        <v>3.05</v>
      </c>
      <c r="K2630" s="7">
        <f t="shared" si="166"/>
        <v>46174</v>
      </c>
      <c r="L2630" t="str">
        <f t="shared" si="167"/>
        <v>Q2-2026</v>
      </c>
    </row>
    <row r="2631" spans="1:12">
      <c r="A2631" s="6">
        <v>46177</v>
      </c>
      <c r="B2631" t="s">
        <v>16</v>
      </c>
      <c r="C2631" t="s">
        <v>17</v>
      </c>
      <c r="D2631" s="2">
        <v>1221.898738113159</v>
      </c>
      <c r="E2631" s="2">
        <v>1251.7471984286101</v>
      </c>
      <c r="F2631" s="2">
        <v>1221.898738113159</v>
      </c>
      <c r="G2631" s="2">
        <v>1241.235717773438</v>
      </c>
      <c r="H2631" s="3">
        <v>19461560</v>
      </c>
      <c r="I2631" s="4">
        <f t="shared" si="164"/>
        <v>0</v>
      </c>
      <c r="J2631" s="2">
        <f t="shared" si="165"/>
        <v>10.51</v>
      </c>
      <c r="K2631" s="7">
        <f t="shared" si="166"/>
        <v>46174</v>
      </c>
      <c r="L2631" t="str">
        <f t="shared" si="167"/>
        <v>Q2-2026</v>
      </c>
    </row>
    <row r="2632" spans="1:12">
      <c r="A2632" s="6">
        <v>46177</v>
      </c>
      <c r="B2632" t="s">
        <v>18</v>
      </c>
      <c r="C2632" t="s">
        <v>19</v>
      </c>
      <c r="D2632" s="2">
        <v>200.70776111631719</v>
      </c>
      <c r="E2632" s="2">
        <v>202.7741575976932</v>
      </c>
      <c r="F2632" s="2">
        <v>199.81792978635801</v>
      </c>
      <c r="G2632" s="2">
        <v>202.01286315917969</v>
      </c>
      <c r="H2632" s="3">
        <v>40659957</v>
      </c>
      <c r="I2632" s="4">
        <f t="shared" si="164"/>
        <v>-0.44</v>
      </c>
      <c r="J2632" s="2">
        <f t="shared" si="165"/>
        <v>0.76</v>
      </c>
      <c r="K2632" s="7">
        <f t="shared" si="166"/>
        <v>46174</v>
      </c>
      <c r="L2632" t="str">
        <f t="shared" si="167"/>
        <v>Q2-2026</v>
      </c>
    </row>
    <row r="2633" spans="1:12">
      <c r="A2633" s="6">
        <v>46177</v>
      </c>
      <c r="B2633" t="s">
        <v>20</v>
      </c>
      <c r="C2633" t="s">
        <v>21</v>
      </c>
      <c r="D2633" s="2">
        <v>1154.612341367492</v>
      </c>
      <c r="E2633" s="2">
        <v>1164.610246215695</v>
      </c>
      <c r="F2633" s="2">
        <v>1146.495138377632</v>
      </c>
      <c r="G2633" s="2">
        <v>1156.4931640625</v>
      </c>
      <c r="H2633" s="3">
        <v>2025595</v>
      </c>
      <c r="I2633" s="4">
        <f t="shared" si="164"/>
        <v>-0.7</v>
      </c>
      <c r="J2633" s="2">
        <f t="shared" si="165"/>
        <v>8.1199999999999992</v>
      </c>
      <c r="K2633" s="7">
        <f t="shared" si="166"/>
        <v>46174</v>
      </c>
      <c r="L2633" t="str">
        <f t="shared" si="167"/>
        <v>Q2-2026</v>
      </c>
    </row>
    <row r="2634" spans="1:12">
      <c r="A2634" s="6">
        <v>46177</v>
      </c>
      <c r="B2634" t="s">
        <v>22</v>
      </c>
      <c r="C2634" t="s">
        <v>23</v>
      </c>
      <c r="D2634" s="2">
        <v>864.8833876892113</v>
      </c>
      <c r="E2634" s="2">
        <v>873.77871838203066</v>
      </c>
      <c r="F2634" s="2">
        <v>862.69681680449139</v>
      </c>
      <c r="G2634" s="2">
        <v>869.0577392578125</v>
      </c>
      <c r="H2634" s="3">
        <v>9676279</v>
      </c>
      <c r="I2634" s="4">
        <f t="shared" si="164"/>
        <v>-0.25</v>
      </c>
      <c r="J2634" s="2">
        <f t="shared" si="165"/>
        <v>4.72</v>
      </c>
      <c r="K2634" s="7">
        <f t="shared" si="166"/>
        <v>46174</v>
      </c>
      <c r="L2634" t="str">
        <f t="shared" si="167"/>
        <v>Q2-2026</v>
      </c>
    </row>
    <row r="2635" spans="1:12">
      <c r="A2635" s="6">
        <v>46177</v>
      </c>
      <c r="B2635" t="s">
        <v>24</v>
      </c>
      <c r="C2635" t="s">
        <v>25</v>
      </c>
      <c r="D2635" s="2">
        <v>12860.838333008411</v>
      </c>
      <c r="E2635" s="2">
        <v>13132.11390677626</v>
      </c>
      <c r="F2635" s="2">
        <v>12820.246002627089</v>
      </c>
      <c r="G2635" s="2">
        <v>12934.1025390625</v>
      </c>
      <c r="H2635" s="3">
        <v>465070</v>
      </c>
      <c r="I2635" s="4">
        <f t="shared" si="164"/>
        <v>-0.32</v>
      </c>
      <c r="J2635" s="2">
        <f t="shared" si="165"/>
        <v>198.01</v>
      </c>
      <c r="K2635" s="7">
        <f t="shared" si="166"/>
        <v>46174</v>
      </c>
      <c r="L2635" t="str">
        <f t="shared" si="167"/>
        <v>Q2-2026</v>
      </c>
    </row>
    <row r="2636" spans="1:12">
      <c r="A2636" s="6">
        <v>46177</v>
      </c>
      <c r="B2636" t="s">
        <v>26</v>
      </c>
      <c r="C2636" t="s">
        <v>27</v>
      </c>
      <c r="D2636" s="2">
        <v>392.94044636172458</v>
      </c>
      <c r="E2636" s="2">
        <v>397.89931100401537</v>
      </c>
      <c r="F2636" s="2">
        <v>387.78321502713902</v>
      </c>
      <c r="G2636" s="2">
        <v>396.41165161132813</v>
      </c>
      <c r="H2636" s="3">
        <v>12067304</v>
      </c>
      <c r="I2636" s="4">
        <f t="shared" si="164"/>
        <v>-1.31</v>
      </c>
      <c r="J2636" s="2">
        <f t="shared" si="165"/>
        <v>1.49</v>
      </c>
      <c r="K2636" s="7">
        <f t="shared" si="166"/>
        <v>46174</v>
      </c>
      <c r="L2636" t="str">
        <f t="shared" si="167"/>
        <v>Q2-2026</v>
      </c>
    </row>
    <row r="2637" spans="1:12">
      <c r="A2637" s="6">
        <v>46177</v>
      </c>
      <c r="B2637" t="s">
        <v>28</v>
      </c>
      <c r="C2637" t="s">
        <v>29</v>
      </c>
      <c r="D2637" s="2">
        <v>1782.328887571945</v>
      </c>
      <c r="E2637" s="2">
        <v>1788.7121827002879</v>
      </c>
      <c r="F2637" s="2">
        <v>1763.9769597346681</v>
      </c>
      <c r="G2637" s="2">
        <v>1775.446899414062</v>
      </c>
      <c r="H2637" s="3">
        <v>2343536</v>
      </c>
      <c r="I2637" s="4">
        <f t="shared" si="164"/>
        <v>-1.03</v>
      </c>
      <c r="J2637" s="2">
        <f t="shared" si="165"/>
        <v>13.27</v>
      </c>
      <c r="K2637" s="7">
        <f t="shared" si="166"/>
        <v>46174</v>
      </c>
      <c r="L2637" t="str">
        <f t="shared" si="167"/>
        <v>Q2-2026</v>
      </c>
    </row>
    <row r="2638" spans="1:12">
      <c r="A2638" s="6">
        <v>46177</v>
      </c>
      <c r="B2638" t="s">
        <v>30</v>
      </c>
      <c r="C2638" t="s">
        <v>31</v>
      </c>
      <c r="D2638" s="2">
        <v>2640.986810409373</v>
      </c>
      <c r="E2638" s="2">
        <v>2675.5867690885621</v>
      </c>
      <c r="F2638" s="2">
        <v>2622.15023574918</v>
      </c>
      <c r="G2638" s="2">
        <v>2638.706787109375</v>
      </c>
      <c r="H2638" s="3">
        <v>1840743</v>
      </c>
      <c r="I2638" s="4">
        <f t="shared" si="164"/>
        <v>-0.71</v>
      </c>
      <c r="J2638" s="2">
        <f t="shared" si="165"/>
        <v>36.880000000000003</v>
      </c>
      <c r="K2638" s="7">
        <f t="shared" si="166"/>
        <v>46174</v>
      </c>
      <c r="L2638" t="str">
        <f t="shared" si="167"/>
        <v>Q2-2026</v>
      </c>
    </row>
    <row r="2639" spans="1:12">
      <c r="A2639" s="6">
        <v>46177</v>
      </c>
      <c r="B2639" t="s">
        <v>32</v>
      </c>
      <c r="C2639" t="s">
        <v>33</v>
      </c>
      <c r="D2639" s="2">
        <v>2067.965591245596</v>
      </c>
      <c r="E2639" s="2">
        <v>2089.6449806656601</v>
      </c>
      <c r="F2639" s="2">
        <v>2052.6216627322851</v>
      </c>
      <c r="G2639" s="2">
        <v>2058.462158203125</v>
      </c>
      <c r="H2639" s="3">
        <v>2142735</v>
      </c>
      <c r="I2639" s="4">
        <f t="shared" si="164"/>
        <v>-0.74</v>
      </c>
      <c r="J2639" s="2">
        <f t="shared" si="165"/>
        <v>31.18</v>
      </c>
      <c r="K2639" s="7">
        <f t="shared" si="166"/>
        <v>46174</v>
      </c>
      <c r="L2639" t="str">
        <f t="shared" si="167"/>
        <v>Q2-2026</v>
      </c>
    </row>
    <row r="2640" spans="1:12">
      <c r="A2640" s="6">
        <v>46177</v>
      </c>
      <c r="B2640" t="s">
        <v>34</v>
      </c>
      <c r="C2640" t="s">
        <v>35</v>
      </c>
      <c r="D2640" s="2">
        <v>3945</v>
      </c>
      <c r="E2640" s="2">
        <v>3974.89990234375</v>
      </c>
      <c r="F2640" s="2">
        <v>3930.10009765625</v>
      </c>
      <c r="G2640" s="2">
        <v>3942.10009765625</v>
      </c>
      <c r="H2640" s="3">
        <v>1398297</v>
      </c>
      <c r="I2640" s="4">
        <f t="shared" si="164"/>
        <v>-0.38</v>
      </c>
      <c r="J2640" s="2">
        <f t="shared" si="165"/>
        <v>32.799999999999997</v>
      </c>
      <c r="K2640" s="7">
        <f t="shared" si="166"/>
        <v>46174</v>
      </c>
      <c r="L2640" t="str">
        <f t="shared" si="167"/>
        <v>Q2-2026</v>
      </c>
    </row>
    <row r="2641" spans="1:12">
      <c r="A2641" s="6">
        <v>46177</v>
      </c>
      <c r="B2641" t="s">
        <v>36</v>
      </c>
      <c r="C2641" t="s">
        <v>37</v>
      </c>
      <c r="D2641" s="2">
        <v>1245.0398052641101</v>
      </c>
      <c r="E2641" s="2">
        <v>1258.929118016639</v>
      </c>
      <c r="F2641" s="2">
        <v>1243.141245050241</v>
      </c>
      <c r="G2641" s="2">
        <v>1252.334228515625</v>
      </c>
      <c r="H2641" s="3">
        <v>6392593</v>
      </c>
      <c r="I2641" s="4">
        <f t="shared" si="164"/>
        <v>-0.15</v>
      </c>
      <c r="J2641" s="2">
        <f t="shared" si="165"/>
        <v>6.59</v>
      </c>
      <c r="K2641" s="7">
        <f t="shared" si="166"/>
        <v>46174</v>
      </c>
      <c r="L2641" t="str">
        <f t="shared" si="167"/>
        <v>Q2-2026</v>
      </c>
    </row>
    <row r="2642" spans="1:12">
      <c r="A2642" s="6">
        <v>46178</v>
      </c>
      <c r="B2642" t="s">
        <v>8</v>
      </c>
      <c r="C2642" t="s">
        <v>9</v>
      </c>
      <c r="D2642" s="2">
        <v>1304.5</v>
      </c>
      <c r="E2642" s="2">
        <v>1306</v>
      </c>
      <c r="F2642" s="2">
        <v>1288</v>
      </c>
      <c r="G2642" s="2">
        <v>1291</v>
      </c>
      <c r="H2642" s="3">
        <v>17785223</v>
      </c>
      <c r="I2642" s="4">
        <f t="shared" si="164"/>
        <v>-1.26</v>
      </c>
      <c r="J2642" s="2">
        <f t="shared" si="165"/>
        <v>15</v>
      </c>
      <c r="K2642" s="7">
        <f t="shared" si="166"/>
        <v>46174</v>
      </c>
      <c r="L2642" t="str">
        <f t="shared" si="167"/>
        <v>Q2-2026</v>
      </c>
    </row>
    <row r="2643" spans="1:12">
      <c r="A2643" s="6">
        <v>46178</v>
      </c>
      <c r="B2643" t="s">
        <v>10</v>
      </c>
      <c r="C2643" t="s">
        <v>11</v>
      </c>
      <c r="D2643" s="2">
        <v>2250.5601841515131</v>
      </c>
      <c r="E2643" s="2">
        <v>2259.4117976453781</v>
      </c>
      <c r="F2643" s="2">
        <v>2180.046902892449</v>
      </c>
      <c r="G2643" s="2">
        <v>2186.9091796875</v>
      </c>
      <c r="H2643" s="3">
        <v>5019717</v>
      </c>
      <c r="I2643" s="4">
        <f t="shared" si="164"/>
        <v>-3.13</v>
      </c>
      <c r="J2643" s="2">
        <f t="shared" si="165"/>
        <v>72.5</v>
      </c>
      <c r="K2643" s="7">
        <f t="shared" si="166"/>
        <v>46174</v>
      </c>
      <c r="L2643" t="str">
        <f t="shared" si="167"/>
        <v>Q2-2026</v>
      </c>
    </row>
    <row r="2644" spans="1:12">
      <c r="A2644" s="6">
        <v>46178</v>
      </c>
      <c r="B2644" t="s">
        <v>12</v>
      </c>
      <c r="C2644" t="s">
        <v>13</v>
      </c>
      <c r="D2644" s="2">
        <v>1194.159169493737</v>
      </c>
      <c r="E2644" s="2">
        <v>1197.878729454909</v>
      </c>
      <c r="F2644" s="2">
        <v>1169.003569208953</v>
      </c>
      <c r="G2644" s="2">
        <v>1172.1357421875</v>
      </c>
      <c r="H2644" s="3">
        <v>8692290</v>
      </c>
      <c r="I2644" s="4">
        <f t="shared" si="164"/>
        <v>-2.11</v>
      </c>
      <c r="J2644" s="2">
        <f t="shared" si="165"/>
        <v>25.74</v>
      </c>
      <c r="K2644" s="7">
        <f t="shared" si="166"/>
        <v>46174</v>
      </c>
      <c r="L2644" t="str">
        <f t="shared" si="167"/>
        <v>Q2-2026</v>
      </c>
    </row>
    <row r="2645" spans="1:12">
      <c r="A2645" s="6">
        <v>46178</v>
      </c>
      <c r="B2645" t="s">
        <v>14</v>
      </c>
      <c r="C2645" t="s">
        <v>15</v>
      </c>
      <c r="D2645" s="2">
        <v>741.68296105025081</v>
      </c>
      <c r="E2645" s="2">
        <v>746.35567675812104</v>
      </c>
      <c r="F2645" s="2">
        <v>732.53428756747064</v>
      </c>
      <c r="G2645" s="2">
        <v>734.89520263671875</v>
      </c>
      <c r="H2645" s="3">
        <v>22116568</v>
      </c>
      <c r="I2645" s="4">
        <f t="shared" si="164"/>
        <v>-1.23</v>
      </c>
      <c r="J2645" s="2">
        <f t="shared" si="165"/>
        <v>11.46</v>
      </c>
      <c r="K2645" s="7">
        <f t="shared" si="166"/>
        <v>46174</v>
      </c>
      <c r="L2645" t="str">
        <f t="shared" si="167"/>
        <v>Q2-2026</v>
      </c>
    </row>
    <row r="2646" spans="1:12">
      <c r="A2646" s="6">
        <v>46178</v>
      </c>
      <c r="B2646" t="s">
        <v>16</v>
      </c>
      <c r="C2646" t="s">
        <v>17</v>
      </c>
      <c r="D2646" s="2">
        <v>1246.49148830128</v>
      </c>
      <c r="E2646" s="2">
        <v>1254.4246083541129</v>
      </c>
      <c r="F2646" s="2">
        <v>1239.550008255052</v>
      </c>
      <c r="G2646" s="2">
        <v>1251.548828125</v>
      </c>
      <c r="H2646" s="3">
        <v>10166393</v>
      </c>
      <c r="I2646" s="4">
        <f t="shared" si="164"/>
        <v>-0.56000000000000005</v>
      </c>
      <c r="J2646" s="2">
        <f t="shared" si="165"/>
        <v>2.88</v>
      </c>
      <c r="K2646" s="7">
        <f t="shared" si="166"/>
        <v>46174</v>
      </c>
      <c r="L2646" t="str">
        <f t="shared" si="167"/>
        <v>Q2-2026</v>
      </c>
    </row>
    <row r="2647" spans="1:12">
      <c r="A2647" s="6">
        <v>46178</v>
      </c>
      <c r="B2647" t="s">
        <v>18</v>
      </c>
      <c r="C2647" t="s">
        <v>19</v>
      </c>
      <c r="D2647" s="2">
        <v>189.35739346895889</v>
      </c>
      <c r="E2647" s="2">
        <v>196.75292637689861</v>
      </c>
      <c r="F2647" s="2">
        <v>186.02543666798451</v>
      </c>
      <c r="G2647" s="2">
        <v>196.1300354003906</v>
      </c>
      <c r="H2647" s="3">
        <v>43539069</v>
      </c>
      <c r="I2647" s="4">
        <f t="shared" si="164"/>
        <v>-1.76</v>
      </c>
      <c r="J2647" s="2">
        <f t="shared" si="165"/>
        <v>0.62</v>
      </c>
      <c r="K2647" s="7">
        <f t="shared" si="166"/>
        <v>46174</v>
      </c>
      <c r="L2647" t="str">
        <f t="shared" si="167"/>
        <v>Q2-2026</v>
      </c>
    </row>
    <row r="2648" spans="1:12">
      <c r="A2648" s="6">
        <v>46178</v>
      </c>
      <c r="B2648" t="s">
        <v>20</v>
      </c>
      <c r="C2648" t="s">
        <v>21</v>
      </c>
      <c r="D2648" s="2">
        <v>1167.0848647183479</v>
      </c>
      <c r="E2648" s="2">
        <v>1170.549493239565</v>
      </c>
      <c r="F2648" s="2">
        <v>1135.408261095798</v>
      </c>
      <c r="G2648" s="2">
        <v>1143.030395507812</v>
      </c>
      <c r="H2648" s="3">
        <v>1971395</v>
      </c>
      <c r="I2648" s="4">
        <f t="shared" si="164"/>
        <v>-2.71</v>
      </c>
      <c r="J2648" s="2">
        <f t="shared" si="165"/>
        <v>27.52</v>
      </c>
      <c r="K2648" s="7">
        <f t="shared" si="166"/>
        <v>46174</v>
      </c>
      <c r="L2648" t="str">
        <f t="shared" si="167"/>
        <v>Q2-2026</v>
      </c>
    </row>
    <row r="2649" spans="1:12">
      <c r="A2649" s="6">
        <v>46178</v>
      </c>
      <c r="B2649" t="s">
        <v>22</v>
      </c>
      <c r="C2649" t="s">
        <v>23</v>
      </c>
      <c r="D2649" s="2">
        <v>868.66018941897198</v>
      </c>
      <c r="E2649" s="2">
        <v>907.42191411844556</v>
      </c>
      <c r="F2649" s="2">
        <v>868.66018941897198</v>
      </c>
      <c r="G2649" s="2">
        <v>883.96612548828125</v>
      </c>
      <c r="H2649" s="3">
        <v>13274646</v>
      </c>
      <c r="I2649" s="4">
        <f t="shared" si="164"/>
        <v>0</v>
      </c>
      <c r="J2649" s="2">
        <f t="shared" si="165"/>
        <v>23.46</v>
      </c>
      <c r="K2649" s="7">
        <f t="shared" si="166"/>
        <v>46174</v>
      </c>
      <c r="L2649" t="str">
        <f t="shared" si="167"/>
        <v>Q2-2026</v>
      </c>
    </row>
    <row r="2650" spans="1:12">
      <c r="A2650" s="6">
        <v>46178</v>
      </c>
      <c r="B2650" t="s">
        <v>24</v>
      </c>
      <c r="C2650" t="s">
        <v>25</v>
      </c>
      <c r="D2650" s="2">
        <v>13020.236947512571</v>
      </c>
      <c r="E2650" s="2">
        <v>13043.998310659121</v>
      </c>
      <c r="F2650" s="2">
        <v>12786.58354323815</v>
      </c>
      <c r="G2650" s="2">
        <v>12920.2412109375</v>
      </c>
      <c r="H2650" s="3">
        <v>295703</v>
      </c>
      <c r="I2650" s="4">
        <f t="shared" si="164"/>
        <v>-1.79</v>
      </c>
      <c r="J2650" s="2">
        <f t="shared" si="165"/>
        <v>123.76</v>
      </c>
      <c r="K2650" s="7">
        <f t="shared" si="166"/>
        <v>46174</v>
      </c>
      <c r="L2650" t="str">
        <f t="shared" si="167"/>
        <v>Q2-2026</v>
      </c>
    </row>
    <row r="2651" spans="1:12">
      <c r="A2651" s="6">
        <v>46178</v>
      </c>
      <c r="B2651" t="s">
        <v>26</v>
      </c>
      <c r="C2651" t="s">
        <v>27</v>
      </c>
      <c r="D2651" s="2">
        <v>397.7009376215467</v>
      </c>
      <c r="E2651" s="2">
        <v>399.7340599840814</v>
      </c>
      <c r="F2651" s="2">
        <v>390.3618241277174</v>
      </c>
      <c r="G2651" s="2">
        <v>394.52725219726563</v>
      </c>
      <c r="H2651" s="3">
        <v>9554051</v>
      </c>
      <c r="I2651" s="4">
        <f t="shared" si="164"/>
        <v>-1.85</v>
      </c>
      <c r="J2651" s="2">
        <f t="shared" si="165"/>
        <v>5.21</v>
      </c>
      <c r="K2651" s="7">
        <f t="shared" si="166"/>
        <v>46174</v>
      </c>
      <c r="L2651" t="str">
        <f t="shared" si="167"/>
        <v>Q2-2026</v>
      </c>
    </row>
    <row r="2652" spans="1:12">
      <c r="A2652" s="6">
        <v>46178</v>
      </c>
      <c r="B2652" t="s">
        <v>28</v>
      </c>
      <c r="C2652" t="s">
        <v>29</v>
      </c>
      <c r="D2652" s="2">
        <v>1784.323655723078</v>
      </c>
      <c r="E2652" s="2">
        <v>1798.187346263682</v>
      </c>
      <c r="F2652" s="2">
        <v>1774.349795154475</v>
      </c>
      <c r="G2652" s="2">
        <v>1777.541381835938</v>
      </c>
      <c r="H2652" s="3">
        <v>2495159</v>
      </c>
      <c r="I2652" s="4">
        <f t="shared" si="164"/>
        <v>-0.56000000000000005</v>
      </c>
      <c r="J2652" s="2">
        <f t="shared" si="165"/>
        <v>20.65</v>
      </c>
      <c r="K2652" s="7">
        <f t="shared" si="166"/>
        <v>46174</v>
      </c>
      <c r="L2652" t="str">
        <f t="shared" si="167"/>
        <v>Q2-2026</v>
      </c>
    </row>
    <row r="2653" spans="1:12">
      <c r="A2653" s="6">
        <v>46178</v>
      </c>
      <c r="B2653" t="s">
        <v>30</v>
      </c>
      <c r="C2653" t="s">
        <v>31</v>
      </c>
      <c r="D2653" s="2">
        <v>2643.0686735140898</v>
      </c>
      <c r="E2653" s="2">
        <v>2676.577994677205</v>
      </c>
      <c r="F2653" s="2">
        <v>2642.0772749118719</v>
      </c>
      <c r="G2653" s="2">
        <v>2663.590576171875</v>
      </c>
      <c r="H2653" s="3">
        <v>1615011</v>
      </c>
      <c r="I2653" s="4">
        <f t="shared" si="164"/>
        <v>-0.04</v>
      </c>
      <c r="J2653" s="2">
        <f t="shared" si="165"/>
        <v>12.99</v>
      </c>
      <c r="K2653" s="7">
        <f t="shared" si="166"/>
        <v>46174</v>
      </c>
      <c r="L2653" t="str">
        <f t="shared" si="167"/>
        <v>Q2-2026</v>
      </c>
    </row>
    <row r="2654" spans="1:12">
      <c r="A2654" s="6">
        <v>46178</v>
      </c>
      <c r="B2654" t="s">
        <v>32</v>
      </c>
      <c r="C2654" t="s">
        <v>33</v>
      </c>
      <c r="D2654" s="2">
        <v>2065.6887836943192</v>
      </c>
      <c r="E2654" s="2">
        <v>2106.0780132005102</v>
      </c>
      <c r="F2654" s="2">
        <v>2056.2844400396052</v>
      </c>
      <c r="G2654" s="2">
        <v>2100.138427734375</v>
      </c>
      <c r="H2654" s="3">
        <v>1822999</v>
      </c>
      <c r="I2654" s="4">
        <f t="shared" si="164"/>
        <v>-0.46</v>
      </c>
      <c r="J2654" s="2">
        <f t="shared" si="165"/>
        <v>5.94</v>
      </c>
      <c r="K2654" s="7">
        <f t="shared" si="166"/>
        <v>46174</v>
      </c>
      <c r="L2654" t="str">
        <f t="shared" si="167"/>
        <v>Q2-2026</v>
      </c>
    </row>
    <row r="2655" spans="1:12">
      <c r="A2655" s="6">
        <v>46178</v>
      </c>
      <c r="B2655" t="s">
        <v>34</v>
      </c>
      <c r="C2655" t="s">
        <v>35</v>
      </c>
      <c r="D2655" s="2">
        <v>3960</v>
      </c>
      <c r="E2655" s="2">
        <v>3978</v>
      </c>
      <c r="F2655" s="2">
        <v>3923.89990234375</v>
      </c>
      <c r="G2655" s="2">
        <v>3953.199951171875</v>
      </c>
      <c r="H2655" s="3">
        <v>1278243</v>
      </c>
      <c r="I2655" s="4">
        <f t="shared" si="164"/>
        <v>-0.91</v>
      </c>
      <c r="J2655" s="2">
        <f t="shared" si="165"/>
        <v>24.8</v>
      </c>
      <c r="K2655" s="7">
        <f t="shared" si="166"/>
        <v>46174</v>
      </c>
      <c r="L2655" t="str">
        <f t="shared" si="167"/>
        <v>Q2-2026</v>
      </c>
    </row>
    <row r="2656" spans="1:12">
      <c r="A2656" s="6">
        <v>46178</v>
      </c>
      <c r="B2656" t="s">
        <v>36</v>
      </c>
      <c r="C2656" t="s">
        <v>37</v>
      </c>
      <c r="D2656" s="2">
        <v>1259.029009999537</v>
      </c>
      <c r="E2656" s="2">
        <v>1275.0166799677861</v>
      </c>
      <c r="F2656" s="2">
        <v>1251.135073557467</v>
      </c>
      <c r="G2656" s="2">
        <v>1271.319580078125</v>
      </c>
      <c r="H2656" s="3">
        <v>7825303</v>
      </c>
      <c r="I2656" s="4">
        <f t="shared" si="164"/>
        <v>-0.63</v>
      </c>
      <c r="J2656" s="2">
        <f t="shared" si="165"/>
        <v>3.7</v>
      </c>
      <c r="K2656" s="7">
        <f t="shared" si="166"/>
        <v>46174</v>
      </c>
      <c r="L2656" t="str">
        <f t="shared" si="167"/>
        <v>Q2-2026</v>
      </c>
    </row>
    <row r="2657" spans="1:12">
      <c r="A2657" s="6">
        <v>46181</v>
      </c>
      <c r="B2657" t="s">
        <v>8</v>
      </c>
      <c r="C2657" t="s">
        <v>9</v>
      </c>
      <c r="D2657" s="2">
        <v>1277</v>
      </c>
      <c r="E2657" s="2">
        <v>1282.599975585938</v>
      </c>
      <c r="F2657" s="2">
        <v>1259.199951171875</v>
      </c>
      <c r="G2657" s="2">
        <v>1263.300048828125</v>
      </c>
      <c r="H2657" s="3">
        <v>16494759</v>
      </c>
      <c r="I2657" s="4">
        <f t="shared" si="164"/>
        <v>-1.39</v>
      </c>
      <c r="J2657" s="2">
        <f t="shared" si="165"/>
        <v>19.3</v>
      </c>
      <c r="K2657" s="7">
        <f t="shared" si="166"/>
        <v>46174</v>
      </c>
      <c r="L2657" t="str">
        <f t="shared" si="167"/>
        <v>Q2-2026</v>
      </c>
    </row>
    <row r="2658" spans="1:12">
      <c r="A2658" s="6">
        <v>46181</v>
      </c>
      <c r="B2658" t="s">
        <v>10</v>
      </c>
      <c r="C2658" t="s">
        <v>11</v>
      </c>
      <c r="D2658" s="2">
        <v>2158.166883299778</v>
      </c>
      <c r="E2658" s="2">
        <v>2165.1287119555832</v>
      </c>
      <c r="F2658" s="2">
        <v>2131.6125282744961</v>
      </c>
      <c r="G2658" s="2">
        <v>2139.668212890625</v>
      </c>
      <c r="H2658" s="3">
        <v>6536734</v>
      </c>
      <c r="I2658" s="4">
        <f t="shared" si="164"/>
        <v>-1.23</v>
      </c>
      <c r="J2658" s="2">
        <f t="shared" si="165"/>
        <v>25.46</v>
      </c>
      <c r="K2658" s="7">
        <f t="shared" si="166"/>
        <v>46174</v>
      </c>
      <c r="L2658" t="str">
        <f t="shared" si="167"/>
        <v>Q2-2026</v>
      </c>
    </row>
    <row r="2659" spans="1:12">
      <c r="A2659" s="6">
        <v>46181</v>
      </c>
      <c r="B2659" t="s">
        <v>12</v>
      </c>
      <c r="C2659" t="s">
        <v>13</v>
      </c>
      <c r="D2659" s="2">
        <v>1152.559265415463</v>
      </c>
      <c r="E2659" s="2">
        <v>1175.26781631171</v>
      </c>
      <c r="F2659" s="2">
        <v>1151.580446506405</v>
      </c>
      <c r="G2659" s="2">
        <v>1162.4453125</v>
      </c>
      <c r="H2659" s="3">
        <v>8631711</v>
      </c>
      <c r="I2659" s="4">
        <f t="shared" si="164"/>
        <v>-0.08</v>
      </c>
      <c r="J2659" s="2">
        <f t="shared" si="165"/>
        <v>12.82</v>
      </c>
      <c r="K2659" s="7">
        <f t="shared" si="166"/>
        <v>46174</v>
      </c>
      <c r="L2659" t="str">
        <f t="shared" si="167"/>
        <v>Q2-2026</v>
      </c>
    </row>
    <row r="2660" spans="1:12">
      <c r="A2660" s="6">
        <v>46181</v>
      </c>
      <c r="B2660" t="s">
        <v>14</v>
      </c>
      <c r="C2660" t="s">
        <v>15</v>
      </c>
      <c r="D2660" s="2">
        <v>725.99250969381865</v>
      </c>
      <c r="E2660" s="2">
        <v>729.43556360158061</v>
      </c>
      <c r="F2660" s="2">
        <v>722.54945578605657</v>
      </c>
      <c r="G2660" s="2">
        <v>726.6319580078125</v>
      </c>
      <c r="H2660" s="3">
        <v>21550700</v>
      </c>
      <c r="I2660" s="4">
        <f t="shared" si="164"/>
        <v>-0.47</v>
      </c>
      <c r="J2660" s="2">
        <f t="shared" si="165"/>
        <v>2.8</v>
      </c>
      <c r="K2660" s="7">
        <f t="shared" si="166"/>
        <v>46174</v>
      </c>
      <c r="L2660" t="str">
        <f t="shared" si="167"/>
        <v>Q2-2026</v>
      </c>
    </row>
    <row r="2661" spans="1:12">
      <c r="A2661" s="6">
        <v>46181</v>
      </c>
      <c r="B2661" t="s">
        <v>16</v>
      </c>
      <c r="C2661" t="s">
        <v>17</v>
      </c>
      <c r="D2661" s="2">
        <v>1235.98013161075</v>
      </c>
      <c r="E2661" s="2">
        <v>1243.516571470306</v>
      </c>
      <c r="F2661" s="2">
        <v>1232.707671160643</v>
      </c>
      <c r="G2661" s="2">
        <v>1239.748291015625</v>
      </c>
      <c r="H2661" s="3">
        <v>10714196</v>
      </c>
      <c r="I2661" s="4">
        <f t="shared" si="164"/>
        <v>-0.26</v>
      </c>
      <c r="J2661" s="2">
        <f t="shared" si="165"/>
        <v>3.77</v>
      </c>
      <c r="K2661" s="7">
        <f t="shared" si="166"/>
        <v>46174</v>
      </c>
      <c r="L2661" t="str">
        <f t="shared" si="167"/>
        <v>Q2-2026</v>
      </c>
    </row>
    <row r="2662" spans="1:12">
      <c r="A2662" s="6">
        <v>46181</v>
      </c>
      <c r="B2662" t="s">
        <v>18</v>
      </c>
      <c r="C2662" t="s">
        <v>19</v>
      </c>
      <c r="D2662" s="2">
        <v>191.20627694364629</v>
      </c>
      <c r="E2662" s="2">
        <v>191.70063104041219</v>
      </c>
      <c r="F2662" s="2">
        <v>178.95618302924751</v>
      </c>
      <c r="G2662" s="2">
        <v>179.70759582519531</v>
      </c>
      <c r="H2662" s="3">
        <v>75164049</v>
      </c>
      <c r="I2662" s="4">
        <f t="shared" si="164"/>
        <v>-6.41</v>
      </c>
      <c r="J2662" s="2">
        <f t="shared" si="165"/>
        <v>11.99</v>
      </c>
      <c r="K2662" s="7">
        <f t="shared" si="166"/>
        <v>46174</v>
      </c>
      <c r="L2662" t="str">
        <f t="shared" si="167"/>
        <v>Q2-2026</v>
      </c>
    </row>
    <row r="2663" spans="1:12">
      <c r="A2663" s="6">
        <v>46181</v>
      </c>
      <c r="B2663" t="s">
        <v>20</v>
      </c>
      <c r="C2663" t="s">
        <v>21</v>
      </c>
      <c r="D2663" s="2">
        <v>1130.3598899885999</v>
      </c>
      <c r="E2663" s="2">
        <v>1147.287051831903</v>
      </c>
      <c r="F2663" s="2">
        <v>1120.8569325359269</v>
      </c>
      <c r="G2663" s="2">
        <v>1139.664916992188</v>
      </c>
      <c r="H2663" s="3">
        <v>1546444</v>
      </c>
      <c r="I2663" s="4">
        <f t="shared" si="164"/>
        <v>-0.84</v>
      </c>
      <c r="J2663" s="2">
        <f t="shared" si="165"/>
        <v>7.62</v>
      </c>
      <c r="K2663" s="7">
        <f t="shared" si="166"/>
        <v>46174</v>
      </c>
      <c r="L2663" t="str">
        <f t="shared" si="167"/>
        <v>Q2-2026</v>
      </c>
    </row>
    <row r="2664" spans="1:12">
      <c r="A2664" s="6">
        <v>46181</v>
      </c>
      <c r="B2664" t="s">
        <v>22</v>
      </c>
      <c r="C2664" t="s">
        <v>23</v>
      </c>
      <c r="D2664" s="2">
        <v>867.66624790097489</v>
      </c>
      <c r="E2664" s="2">
        <v>874.02717020317903</v>
      </c>
      <c r="F2664" s="2">
        <v>861.20596083183818</v>
      </c>
      <c r="G2664" s="2">
        <v>865.77783203125</v>
      </c>
      <c r="H2664" s="3">
        <v>6203084</v>
      </c>
      <c r="I2664" s="4">
        <f t="shared" si="164"/>
        <v>-0.74</v>
      </c>
      <c r="J2664" s="2">
        <f t="shared" si="165"/>
        <v>8.25</v>
      </c>
      <c r="K2664" s="7">
        <f t="shared" si="166"/>
        <v>46174</v>
      </c>
      <c r="L2664" t="str">
        <f t="shared" si="167"/>
        <v>Q2-2026</v>
      </c>
    </row>
    <row r="2665" spans="1:12">
      <c r="A2665" s="6">
        <v>46181</v>
      </c>
      <c r="B2665" t="s">
        <v>24</v>
      </c>
      <c r="C2665" t="s">
        <v>25</v>
      </c>
      <c r="D2665" s="2">
        <v>12771.73259976185</v>
      </c>
      <c r="E2665" s="2">
        <v>12899.449925759471</v>
      </c>
      <c r="F2665" s="2">
        <v>12713.319249111781</v>
      </c>
      <c r="G2665" s="2">
        <v>12783.61328125</v>
      </c>
      <c r="H2665" s="3">
        <v>372902</v>
      </c>
      <c r="I2665" s="4">
        <f t="shared" si="164"/>
        <v>-0.46</v>
      </c>
      <c r="J2665" s="2">
        <f t="shared" si="165"/>
        <v>115.84</v>
      </c>
      <c r="K2665" s="7">
        <f t="shared" si="166"/>
        <v>46174</v>
      </c>
      <c r="L2665" t="str">
        <f t="shared" si="167"/>
        <v>Q2-2026</v>
      </c>
    </row>
    <row r="2666" spans="1:12">
      <c r="A2666" s="6">
        <v>46181</v>
      </c>
      <c r="B2666" t="s">
        <v>26</v>
      </c>
      <c r="C2666" t="s">
        <v>27</v>
      </c>
      <c r="D2666" s="2">
        <v>388.77500150626611</v>
      </c>
      <c r="E2666" s="2">
        <v>389.66759111968781</v>
      </c>
      <c r="F2666" s="2">
        <v>383.81613669113511</v>
      </c>
      <c r="G2666" s="2">
        <v>385.7996826171875</v>
      </c>
      <c r="H2666" s="3">
        <v>7585986</v>
      </c>
      <c r="I2666" s="4">
        <f t="shared" si="164"/>
        <v>-1.28</v>
      </c>
      <c r="J2666" s="2">
        <f t="shared" si="165"/>
        <v>3.87</v>
      </c>
      <c r="K2666" s="7">
        <f t="shared" si="166"/>
        <v>46174</v>
      </c>
      <c r="L2666" t="str">
        <f t="shared" si="167"/>
        <v>Q2-2026</v>
      </c>
    </row>
    <row r="2667" spans="1:12">
      <c r="A2667" s="6">
        <v>46181</v>
      </c>
      <c r="B2667" t="s">
        <v>28</v>
      </c>
      <c r="C2667" t="s">
        <v>29</v>
      </c>
      <c r="D2667" s="2">
        <v>1776.0452214162381</v>
      </c>
      <c r="E2667" s="2">
        <v>1798.78567117174</v>
      </c>
      <c r="F2667" s="2">
        <v>1768.864090836197</v>
      </c>
      <c r="G2667" s="2">
        <v>1784.124145507812</v>
      </c>
      <c r="H2667" s="3">
        <v>3098542</v>
      </c>
      <c r="I2667" s="4">
        <f t="shared" si="164"/>
        <v>-0.4</v>
      </c>
      <c r="J2667" s="2">
        <f t="shared" si="165"/>
        <v>14.66</v>
      </c>
      <c r="K2667" s="7">
        <f t="shared" si="166"/>
        <v>46174</v>
      </c>
      <c r="L2667" t="str">
        <f t="shared" si="167"/>
        <v>Q2-2026</v>
      </c>
    </row>
    <row r="2668" spans="1:12">
      <c r="A2668" s="6">
        <v>46181</v>
      </c>
      <c r="B2668" t="s">
        <v>30</v>
      </c>
      <c r="C2668" t="s">
        <v>31</v>
      </c>
      <c r="D2668" s="2">
        <v>2620.5640072762421</v>
      </c>
      <c r="E2668" s="2">
        <v>2651.991294961671</v>
      </c>
      <c r="F2668" s="2">
        <v>2607.4775939671831</v>
      </c>
      <c r="G2668" s="2">
        <v>2636.3271484375</v>
      </c>
      <c r="H2668" s="3">
        <v>1262904</v>
      </c>
      <c r="I2668" s="4">
        <f t="shared" si="164"/>
        <v>-0.5</v>
      </c>
      <c r="J2668" s="2">
        <f t="shared" si="165"/>
        <v>15.66</v>
      </c>
      <c r="K2668" s="7">
        <f t="shared" si="166"/>
        <v>46174</v>
      </c>
      <c r="L2668" t="str">
        <f t="shared" si="167"/>
        <v>Q2-2026</v>
      </c>
    </row>
    <row r="2669" spans="1:12">
      <c r="A2669" s="6">
        <v>46181</v>
      </c>
      <c r="B2669" t="s">
        <v>32</v>
      </c>
      <c r="C2669" t="s">
        <v>33</v>
      </c>
      <c r="D2669" s="2">
        <v>2084.1015548672108</v>
      </c>
      <c r="E2669" s="2">
        <v>2103.6031450994278</v>
      </c>
      <c r="F2669" s="2">
        <v>2070.4404602237428</v>
      </c>
      <c r="G2669" s="2">
        <v>2088.853271484375</v>
      </c>
      <c r="H2669" s="3">
        <v>1601497</v>
      </c>
      <c r="I2669" s="4">
        <f t="shared" si="164"/>
        <v>-0.66</v>
      </c>
      <c r="J2669" s="2">
        <f t="shared" si="165"/>
        <v>14.75</v>
      </c>
      <c r="K2669" s="7">
        <f t="shared" si="166"/>
        <v>46174</v>
      </c>
      <c r="L2669" t="str">
        <f t="shared" si="167"/>
        <v>Q2-2026</v>
      </c>
    </row>
    <row r="2670" spans="1:12">
      <c r="A2670" s="6">
        <v>46181</v>
      </c>
      <c r="B2670" t="s">
        <v>34</v>
      </c>
      <c r="C2670" t="s">
        <v>35</v>
      </c>
      <c r="D2670" s="2">
        <v>3901.10009765625</v>
      </c>
      <c r="E2670" s="2">
        <v>3916.699951171875</v>
      </c>
      <c r="F2670" s="2">
        <v>3863.10009765625</v>
      </c>
      <c r="G2670" s="2">
        <v>3875.5</v>
      </c>
      <c r="H2670" s="3">
        <v>1678709</v>
      </c>
      <c r="I2670" s="4">
        <f t="shared" si="164"/>
        <v>-0.97</v>
      </c>
      <c r="J2670" s="2">
        <f t="shared" si="165"/>
        <v>41.2</v>
      </c>
      <c r="K2670" s="7">
        <f t="shared" si="166"/>
        <v>46174</v>
      </c>
      <c r="L2670" t="str">
        <f t="shared" si="167"/>
        <v>Q2-2026</v>
      </c>
    </row>
    <row r="2671" spans="1:12">
      <c r="A2671" s="6">
        <v>46181</v>
      </c>
      <c r="B2671" t="s">
        <v>36</v>
      </c>
      <c r="C2671" t="s">
        <v>37</v>
      </c>
      <c r="D2671" s="2">
        <v>1261.0274061863011</v>
      </c>
      <c r="E2671" s="2">
        <v>1278.2141017590429</v>
      </c>
      <c r="F2671" s="2">
        <v>1261.0274061863011</v>
      </c>
      <c r="G2671" s="2">
        <v>1267.122680664062</v>
      </c>
      <c r="H2671" s="3">
        <v>5034388</v>
      </c>
      <c r="I2671" s="4">
        <f t="shared" si="164"/>
        <v>0</v>
      </c>
      <c r="J2671" s="2">
        <f t="shared" si="165"/>
        <v>11.09</v>
      </c>
      <c r="K2671" s="7">
        <f t="shared" si="166"/>
        <v>46174</v>
      </c>
      <c r="L2671" t="str">
        <f t="shared" si="167"/>
        <v>Q2-2026</v>
      </c>
    </row>
    <row r="2672" spans="1:12">
      <c r="A2672" s="6">
        <v>46182</v>
      </c>
      <c r="B2672" t="s">
        <v>8</v>
      </c>
      <c r="C2672" t="s">
        <v>9</v>
      </c>
      <c r="D2672" s="2">
        <v>1269</v>
      </c>
      <c r="E2672" s="2">
        <v>1274.199951171875</v>
      </c>
      <c r="F2672" s="2">
        <v>1257.5</v>
      </c>
      <c r="G2672" s="2">
        <v>1269.199951171875</v>
      </c>
      <c r="H2672" s="3">
        <v>23620214</v>
      </c>
      <c r="I2672" s="4">
        <f t="shared" si="164"/>
        <v>-0.91</v>
      </c>
      <c r="J2672" s="2">
        <f t="shared" si="165"/>
        <v>5</v>
      </c>
      <c r="K2672" s="7">
        <f t="shared" si="166"/>
        <v>46174</v>
      </c>
      <c r="L2672" t="str">
        <f t="shared" si="167"/>
        <v>Q2-2026</v>
      </c>
    </row>
    <row r="2673" spans="1:12">
      <c r="A2673" s="6">
        <v>46182</v>
      </c>
      <c r="B2673" t="s">
        <v>10</v>
      </c>
      <c r="C2673" t="s">
        <v>11</v>
      </c>
      <c r="D2673" s="2">
        <v>2162.1450878588448</v>
      </c>
      <c r="E2673" s="2">
        <v>2162.1450878588448</v>
      </c>
      <c r="F2673" s="2">
        <v>2121.169801728995</v>
      </c>
      <c r="G2673" s="2">
        <v>2139.2705078125</v>
      </c>
      <c r="H2673" s="3">
        <v>4148655</v>
      </c>
      <c r="I2673" s="4">
        <f t="shared" si="164"/>
        <v>-1.9</v>
      </c>
      <c r="J2673" s="2">
        <f t="shared" si="165"/>
        <v>22.87</v>
      </c>
      <c r="K2673" s="7">
        <f t="shared" si="166"/>
        <v>46174</v>
      </c>
      <c r="L2673" t="str">
        <f t="shared" si="167"/>
        <v>Q2-2026</v>
      </c>
    </row>
    <row r="2674" spans="1:12">
      <c r="A2674" s="6">
        <v>46182</v>
      </c>
      <c r="B2674" t="s">
        <v>12</v>
      </c>
      <c r="C2674" t="s">
        <v>13</v>
      </c>
      <c r="D2674" s="2">
        <v>1168.3182691086099</v>
      </c>
      <c r="E2674" s="2">
        <v>1168.3182691086099</v>
      </c>
      <c r="F2674" s="2">
        <v>1142.575402540363</v>
      </c>
      <c r="G2674" s="2">
        <v>1155.300048828125</v>
      </c>
      <c r="H2674" s="3">
        <v>10984054</v>
      </c>
      <c r="I2674" s="4">
        <f t="shared" si="164"/>
        <v>-2.2000000000000002</v>
      </c>
      <c r="J2674" s="2">
        <f t="shared" si="165"/>
        <v>13.02</v>
      </c>
      <c r="K2674" s="7">
        <f t="shared" si="166"/>
        <v>46174</v>
      </c>
      <c r="L2674" t="str">
        <f t="shared" si="167"/>
        <v>Q2-2026</v>
      </c>
    </row>
    <row r="2675" spans="1:12">
      <c r="A2675" s="6">
        <v>46182</v>
      </c>
      <c r="B2675" t="s">
        <v>14</v>
      </c>
      <c r="C2675" t="s">
        <v>15</v>
      </c>
      <c r="D2675" s="2">
        <v>727.41893067554713</v>
      </c>
      <c r="E2675" s="2">
        <v>731.84571427687524</v>
      </c>
      <c r="F2675" s="2">
        <v>720.38523938104322</v>
      </c>
      <c r="G2675" s="2">
        <v>726.3367919921875</v>
      </c>
      <c r="H2675" s="3">
        <v>38539563</v>
      </c>
      <c r="I2675" s="4">
        <f t="shared" si="164"/>
        <v>-0.97</v>
      </c>
      <c r="J2675" s="2">
        <f t="shared" si="165"/>
        <v>5.51</v>
      </c>
      <c r="K2675" s="7">
        <f t="shared" si="166"/>
        <v>46174</v>
      </c>
      <c r="L2675" t="str">
        <f t="shared" si="167"/>
        <v>Q2-2026</v>
      </c>
    </row>
    <row r="2676" spans="1:12">
      <c r="A2676" s="6">
        <v>46182</v>
      </c>
      <c r="B2676" t="s">
        <v>16</v>
      </c>
      <c r="C2676" t="s">
        <v>17</v>
      </c>
      <c r="D2676" s="2">
        <v>1244.508143286612</v>
      </c>
      <c r="E2676" s="2">
        <v>1269.200002371342</v>
      </c>
      <c r="F2676" s="2">
        <v>1242.2273229706291</v>
      </c>
      <c r="G2676" s="2">
        <v>1264.340942382812</v>
      </c>
      <c r="H2676" s="3">
        <v>22368579</v>
      </c>
      <c r="I2676" s="4">
        <f t="shared" si="164"/>
        <v>-0.18</v>
      </c>
      <c r="J2676" s="2">
        <f t="shared" si="165"/>
        <v>4.8600000000000003</v>
      </c>
      <c r="K2676" s="7">
        <f t="shared" si="166"/>
        <v>46174</v>
      </c>
      <c r="L2676" t="str">
        <f t="shared" si="167"/>
        <v>Q2-2026</v>
      </c>
    </row>
    <row r="2677" spans="1:12">
      <c r="A2677" s="6">
        <v>46182</v>
      </c>
      <c r="B2677" t="s">
        <v>18</v>
      </c>
      <c r="C2677" t="s">
        <v>19</v>
      </c>
      <c r="D2677" s="2">
        <v>181.89265376604419</v>
      </c>
      <c r="E2677" s="2">
        <v>182.26836772005939</v>
      </c>
      <c r="F2677" s="2">
        <v>178.56071186803621</v>
      </c>
      <c r="G2677" s="2">
        <v>179.6186218261719</v>
      </c>
      <c r="H2677" s="3">
        <v>28381665</v>
      </c>
      <c r="I2677" s="4">
        <f t="shared" si="164"/>
        <v>-1.83</v>
      </c>
      <c r="J2677" s="2">
        <f t="shared" si="165"/>
        <v>2.65</v>
      </c>
      <c r="K2677" s="7">
        <f t="shared" si="166"/>
        <v>46174</v>
      </c>
      <c r="L2677" t="str">
        <f t="shared" si="167"/>
        <v>Q2-2026</v>
      </c>
    </row>
    <row r="2678" spans="1:12">
      <c r="A2678" s="6">
        <v>46182</v>
      </c>
      <c r="B2678" t="s">
        <v>20</v>
      </c>
      <c r="C2678" t="s">
        <v>21</v>
      </c>
      <c r="D2678" s="2">
        <v>1146.990042097251</v>
      </c>
      <c r="E2678" s="2">
        <v>1147.2870586092949</v>
      </c>
      <c r="F2678" s="2">
        <v>1124.915480080708</v>
      </c>
      <c r="G2678" s="2">
        <v>1134.715454101562</v>
      </c>
      <c r="H2678" s="3">
        <v>2225582</v>
      </c>
      <c r="I2678" s="4">
        <f t="shared" si="164"/>
        <v>-1.92</v>
      </c>
      <c r="J2678" s="2">
        <f t="shared" si="165"/>
        <v>12.57</v>
      </c>
      <c r="K2678" s="7">
        <f t="shared" si="166"/>
        <v>46174</v>
      </c>
      <c r="L2678" t="str">
        <f t="shared" si="167"/>
        <v>Q2-2026</v>
      </c>
    </row>
    <row r="2679" spans="1:12">
      <c r="A2679" s="6">
        <v>46182</v>
      </c>
      <c r="B2679" t="s">
        <v>22</v>
      </c>
      <c r="C2679" t="s">
        <v>23</v>
      </c>
      <c r="D2679" s="2">
        <v>880.58685868871794</v>
      </c>
      <c r="E2679" s="2">
        <v>883.32005717787592</v>
      </c>
      <c r="F2679" s="2">
        <v>866.77175842407257</v>
      </c>
      <c r="G2679" s="2">
        <v>881.48138427734375</v>
      </c>
      <c r="H2679" s="3">
        <v>9183355</v>
      </c>
      <c r="I2679" s="4">
        <f t="shared" si="164"/>
        <v>-1.57</v>
      </c>
      <c r="J2679" s="2">
        <f t="shared" si="165"/>
        <v>1.84</v>
      </c>
      <c r="K2679" s="7">
        <f t="shared" si="166"/>
        <v>46174</v>
      </c>
      <c r="L2679" t="str">
        <f t="shared" si="167"/>
        <v>Q2-2026</v>
      </c>
    </row>
    <row r="2680" spans="1:12">
      <c r="A2680" s="6">
        <v>46182</v>
      </c>
      <c r="B2680" t="s">
        <v>24</v>
      </c>
      <c r="C2680" t="s">
        <v>25</v>
      </c>
      <c r="D2680" s="2">
        <v>12948.95259399414</v>
      </c>
      <c r="E2680" s="2">
        <v>13026.17702264553</v>
      </c>
      <c r="F2680" s="2">
        <v>12723.219648705461</v>
      </c>
      <c r="G2680" s="2">
        <v>12989.544921875</v>
      </c>
      <c r="H2680" s="3">
        <v>428323</v>
      </c>
      <c r="I2680" s="4">
        <f t="shared" si="164"/>
        <v>-1.74</v>
      </c>
      <c r="J2680" s="2">
        <f t="shared" si="165"/>
        <v>36.630000000000003</v>
      </c>
      <c r="K2680" s="7">
        <f t="shared" si="166"/>
        <v>46174</v>
      </c>
      <c r="L2680" t="str">
        <f t="shared" si="167"/>
        <v>Q2-2026</v>
      </c>
    </row>
    <row r="2681" spans="1:12">
      <c r="A2681" s="6">
        <v>46182</v>
      </c>
      <c r="B2681" t="s">
        <v>26</v>
      </c>
      <c r="C2681" t="s">
        <v>27</v>
      </c>
      <c r="D2681" s="2">
        <v>390.70895528000642</v>
      </c>
      <c r="E2681" s="2">
        <v>392.19661466510632</v>
      </c>
      <c r="F2681" s="2">
        <v>383.61775466449069</v>
      </c>
      <c r="G2681" s="2">
        <v>384.60952758789063</v>
      </c>
      <c r="H2681" s="3">
        <v>8550946</v>
      </c>
      <c r="I2681" s="4">
        <f t="shared" si="164"/>
        <v>-1.81</v>
      </c>
      <c r="J2681" s="2">
        <f t="shared" si="165"/>
        <v>7.59</v>
      </c>
      <c r="K2681" s="7">
        <f t="shared" si="166"/>
        <v>46174</v>
      </c>
      <c r="L2681" t="str">
        <f t="shared" si="167"/>
        <v>Q2-2026</v>
      </c>
    </row>
    <row r="2682" spans="1:12">
      <c r="A2682" s="6">
        <v>46182</v>
      </c>
      <c r="B2682" t="s">
        <v>28</v>
      </c>
      <c r="C2682" t="s">
        <v>29</v>
      </c>
      <c r="D2682" s="2">
        <v>1783.0269411279451</v>
      </c>
      <c r="E2682" s="2">
        <v>1791.903701065522</v>
      </c>
      <c r="F2682" s="2">
        <v>1761.483427423542</v>
      </c>
      <c r="G2682" s="2">
        <v>1774.349731445312</v>
      </c>
      <c r="H2682" s="3">
        <v>3756570</v>
      </c>
      <c r="I2682" s="4">
        <f t="shared" si="164"/>
        <v>-1.21</v>
      </c>
      <c r="J2682" s="2">
        <f t="shared" si="165"/>
        <v>17.55</v>
      </c>
      <c r="K2682" s="7">
        <f t="shared" si="166"/>
        <v>46174</v>
      </c>
      <c r="L2682" t="str">
        <f t="shared" si="167"/>
        <v>Q2-2026</v>
      </c>
    </row>
    <row r="2683" spans="1:12">
      <c r="A2683" s="6">
        <v>46182</v>
      </c>
      <c r="B2683" t="s">
        <v>30</v>
      </c>
      <c r="C2683" t="s">
        <v>31</v>
      </c>
      <c r="D2683" s="2">
        <v>2643.266894135656</v>
      </c>
      <c r="E2683" s="2">
        <v>2695.612788529204</v>
      </c>
      <c r="F2683" s="2">
        <v>2638.607369132209</v>
      </c>
      <c r="G2683" s="2">
        <v>2684.806640625</v>
      </c>
      <c r="H2683" s="3">
        <v>1416560</v>
      </c>
      <c r="I2683" s="4">
        <f t="shared" si="164"/>
        <v>-0.18</v>
      </c>
      <c r="J2683" s="2">
        <f t="shared" si="165"/>
        <v>10.81</v>
      </c>
      <c r="K2683" s="7">
        <f t="shared" si="166"/>
        <v>46174</v>
      </c>
      <c r="L2683" t="str">
        <f t="shared" si="167"/>
        <v>Q2-2026</v>
      </c>
    </row>
    <row r="2684" spans="1:12">
      <c r="A2684" s="6">
        <v>46182</v>
      </c>
      <c r="B2684" t="s">
        <v>32</v>
      </c>
      <c r="C2684" t="s">
        <v>33</v>
      </c>
      <c r="D2684" s="2">
        <v>2098.35651535226</v>
      </c>
      <c r="E2684" s="2">
        <v>2117.0663546833762</v>
      </c>
      <c r="F2684" s="2">
        <v>2088.8533235633449</v>
      </c>
      <c r="G2684" s="2">
        <v>2111.32470703125</v>
      </c>
      <c r="H2684" s="3">
        <v>1460636</v>
      </c>
      <c r="I2684" s="4">
        <f t="shared" si="164"/>
        <v>-0.45</v>
      </c>
      <c r="J2684" s="2">
        <f t="shared" si="165"/>
        <v>5.74</v>
      </c>
      <c r="K2684" s="7">
        <f t="shared" si="166"/>
        <v>46174</v>
      </c>
      <c r="L2684" t="str">
        <f t="shared" si="167"/>
        <v>Q2-2026</v>
      </c>
    </row>
    <row r="2685" spans="1:12">
      <c r="A2685" s="6">
        <v>46182</v>
      </c>
      <c r="B2685" t="s">
        <v>34</v>
      </c>
      <c r="C2685" t="s">
        <v>35</v>
      </c>
      <c r="D2685" s="2">
        <v>3924.89990234375</v>
      </c>
      <c r="E2685" s="2">
        <v>3924.89990234375</v>
      </c>
      <c r="F2685" s="2">
        <v>3885</v>
      </c>
      <c r="G2685" s="2">
        <v>3900.60009765625</v>
      </c>
      <c r="H2685" s="3">
        <v>1506501</v>
      </c>
      <c r="I2685" s="4">
        <f t="shared" si="164"/>
        <v>-1.02</v>
      </c>
      <c r="J2685" s="2">
        <f t="shared" si="165"/>
        <v>24.3</v>
      </c>
      <c r="K2685" s="7">
        <f t="shared" si="166"/>
        <v>46174</v>
      </c>
      <c r="L2685" t="str">
        <f t="shared" si="167"/>
        <v>Q2-2026</v>
      </c>
    </row>
    <row r="2686" spans="1:12">
      <c r="A2686" s="6">
        <v>46182</v>
      </c>
      <c r="B2686" t="s">
        <v>36</v>
      </c>
      <c r="C2686" t="s">
        <v>37</v>
      </c>
      <c r="D2686" s="2">
        <v>1274.9167682500081</v>
      </c>
      <c r="E2686" s="2">
        <v>1297.399428910508</v>
      </c>
      <c r="F2686" s="2">
        <v>1270.520134658929</v>
      </c>
      <c r="G2686" s="2">
        <v>1291.404052734375</v>
      </c>
      <c r="H2686" s="3">
        <v>7533504</v>
      </c>
      <c r="I2686" s="4">
        <f t="shared" si="164"/>
        <v>-0.34</v>
      </c>
      <c r="J2686" s="2">
        <f t="shared" si="165"/>
        <v>6</v>
      </c>
      <c r="K2686" s="7">
        <f t="shared" si="166"/>
        <v>46174</v>
      </c>
      <c r="L2686" t="str">
        <f t="shared" si="167"/>
        <v>Q2-2026</v>
      </c>
    </row>
    <row r="2687" spans="1:12">
      <c r="A2687" s="6">
        <v>46183</v>
      </c>
      <c r="B2687" t="s">
        <v>8</v>
      </c>
      <c r="C2687" t="s">
        <v>9</v>
      </c>
      <c r="D2687" s="2">
        <v>1275</v>
      </c>
      <c r="E2687" s="2">
        <v>1300.5</v>
      </c>
      <c r="F2687" s="2">
        <v>1254.400024414062</v>
      </c>
      <c r="G2687" s="2">
        <v>1258.800048828125</v>
      </c>
      <c r="H2687" s="3">
        <v>21012796</v>
      </c>
      <c r="I2687" s="4">
        <f t="shared" si="164"/>
        <v>-1.62</v>
      </c>
      <c r="J2687" s="2">
        <f t="shared" si="165"/>
        <v>41.7</v>
      </c>
      <c r="K2687" s="7">
        <f t="shared" si="166"/>
        <v>46174</v>
      </c>
      <c r="L2687" t="str">
        <f t="shared" si="167"/>
        <v>Q2-2026</v>
      </c>
    </row>
    <row r="2688" spans="1:12">
      <c r="A2688" s="6">
        <v>46183</v>
      </c>
      <c r="B2688" t="s">
        <v>10</v>
      </c>
      <c r="C2688" t="s">
        <v>11</v>
      </c>
      <c r="D2688" s="2">
        <v>2139.5688646764361</v>
      </c>
      <c r="E2688" s="2">
        <v>2168.9079991883032</v>
      </c>
      <c r="F2688" s="2">
        <v>2133.104309614499</v>
      </c>
      <c r="G2688" s="2">
        <v>2142.154541015625</v>
      </c>
      <c r="H2688" s="3">
        <v>2848650</v>
      </c>
      <c r="I2688" s="4">
        <f t="shared" si="164"/>
        <v>-0.3</v>
      </c>
      <c r="J2688" s="2">
        <f t="shared" si="165"/>
        <v>26.75</v>
      </c>
      <c r="K2688" s="7">
        <f t="shared" si="166"/>
        <v>46174</v>
      </c>
      <c r="L2688" t="str">
        <f t="shared" si="167"/>
        <v>Q2-2026</v>
      </c>
    </row>
    <row r="2689" spans="1:12">
      <c r="A2689" s="6">
        <v>46183</v>
      </c>
      <c r="B2689" t="s">
        <v>12</v>
      </c>
      <c r="C2689" t="s">
        <v>13</v>
      </c>
      <c r="D2689" s="2">
        <v>1160.099975585938</v>
      </c>
      <c r="E2689" s="2">
        <v>1171.400024414062</v>
      </c>
      <c r="F2689" s="2">
        <v>1143.300048828125</v>
      </c>
      <c r="G2689" s="2">
        <v>1145.300048828125</v>
      </c>
      <c r="H2689" s="3">
        <v>8887626</v>
      </c>
      <c r="I2689" s="4">
        <f t="shared" si="164"/>
        <v>-1.45</v>
      </c>
      <c r="J2689" s="2">
        <f t="shared" si="165"/>
        <v>26.1</v>
      </c>
      <c r="K2689" s="7">
        <f t="shared" si="166"/>
        <v>46174</v>
      </c>
      <c r="L2689" t="str">
        <f t="shared" si="167"/>
        <v>Q2-2026</v>
      </c>
    </row>
    <row r="2690" spans="1:12">
      <c r="A2690" s="6">
        <v>46183</v>
      </c>
      <c r="B2690" t="s">
        <v>14</v>
      </c>
      <c r="C2690" t="s">
        <v>15</v>
      </c>
      <c r="D2690" s="2">
        <v>724.51690817308042</v>
      </c>
      <c r="E2690" s="2">
        <v>743.65046242721075</v>
      </c>
      <c r="F2690" s="2">
        <v>724.41855922207401</v>
      </c>
      <c r="G2690" s="2">
        <v>734.698486328125</v>
      </c>
      <c r="H2690" s="3">
        <v>44458159</v>
      </c>
      <c r="I2690" s="4">
        <f t="shared" ref="I2690:I2753" si="168">ROUND(((F2690-D2690)/D2690)*100, 2)</f>
        <v>-0.01</v>
      </c>
      <c r="J2690" s="2">
        <f t="shared" ref="J2690:J2753" si="169">ROUND(E2690-G2690, 2)</f>
        <v>8.9499999999999993</v>
      </c>
      <c r="K2690" s="7">
        <f t="shared" ref="K2690:K2753" si="170">DATE(YEAR(A2690),MONTH(A2690),1)</f>
        <v>46174</v>
      </c>
      <c r="L2690" t="str">
        <f t="shared" ref="L2690:L2753" si="171">"Q"&amp;INT((MONTH(A2690)-1)/3)+1&amp;"-"&amp;YEAR(A2690)</f>
        <v>Q2-2026</v>
      </c>
    </row>
    <row r="2691" spans="1:12">
      <c r="A2691" s="6">
        <v>46183</v>
      </c>
      <c r="B2691" t="s">
        <v>16</v>
      </c>
      <c r="C2691" t="s">
        <v>17</v>
      </c>
      <c r="D2691" s="2">
        <v>1260.6719575059051</v>
      </c>
      <c r="E2691" s="2">
        <v>1295.081816460548</v>
      </c>
      <c r="F2691" s="2">
        <v>1260.6719575059051</v>
      </c>
      <c r="G2691" s="2">
        <v>1282.488037109375</v>
      </c>
      <c r="H2691" s="3">
        <v>25951584</v>
      </c>
      <c r="I2691" s="4">
        <f t="shared" si="168"/>
        <v>0</v>
      </c>
      <c r="J2691" s="2">
        <f t="shared" si="169"/>
        <v>12.59</v>
      </c>
      <c r="K2691" s="7">
        <f t="shared" si="170"/>
        <v>46174</v>
      </c>
      <c r="L2691" t="str">
        <f t="shared" si="171"/>
        <v>Q2-2026</v>
      </c>
    </row>
    <row r="2692" spans="1:12">
      <c r="A2692" s="6">
        <v>46183</v>
      </c>
      <c r="B2692" t="s">
        <v>18</v>
      </c>
      <c r="C2692" t="s">
        <v>19</v>
      </c>
      <c r="D2692" s="2">
        <v>180.0437640784416</v>
      </c>
      <c r="E2692" s="2">
        <v>180.23160595838979</v>
      </c>
      <c r="F2692" s="2">
        <v>176.48440862617511</v>
      </c>
      <c r="G2692" s="2">
        <v>176.9095458984375</v>
      </c>
      <c r="H2692" s="3">
        <v>16935979</v>
      </c>
      <c r="I2692" s="4">
        <f t="shared" si="168"/>
        <v>-1.98</v>
      </c>
      <c r="J2692" s="2">
        <f t="shared" si="169"/>
        <v>3.32</v>
      </c>
      <c r="K2692" s="7">
        <f t="shared" si="170"/>
        <v>46174</v>
      </c>
      <c r="L2692" t="str">
        <f t="shared" si="171"/>
        <v>Q2-2026</v>
      </c>
    </row>
    <row r="2693" spans="1:12">
      <c r="A2693" s="6">
        <v>46183</v>
      </c>
      <c r="B2693" t="s">
        <v>20</v>
      </c>
      <c r="C2693" t="s">
        <v>21</v>
      </c>
      <c r="D2693" s="2">
        <v>1129.271085559265</v>
      </c>
      <c r="E2693" s="2">
        <v>1140.3578496517689</v>
      </c>
      <c r="F2693" s="2">
        <v>1118.5801823841141</v>
      </c>
      <c r="G2693" s="2">
        <v>1120.658935546875</v>
      </c>
      <c r="H2693" s="3">
        <v>1600595</v>
      </c>
      <c r="I2693" s="4">
        <f t="shared" si="168"/>
        <v>-0.95</v>
      </c>
      <c r="J2693" s="2">
        <f t="shared" si="169"/>
        <v>19.7</v>
      </c>
      <c r="K2693" s="7">
        <f t="shared" si="170"/>
        <v>46174</v>
      </c>
      <c r="L2693" t="str">
        <f t="shared" si="171"/>
        <v>Q2-2026</v>
      </c>
    </row>
    <row r="2694" spans="1:12">
      <c r="A2694" s="6">
        <v>46183</v>
      </c>
      <c r="B2694" t="s">
        <v>22</v>
      </c>
      <c r="C2694" t="s">
        <v>23</v>
      </c>
      <c r="D2694" s="2">
        <v>884.66176733272346</v>
      </c>
      <c r="E2694" s="2">
        <v>889.23369929388684</v>
      </c>
      <c r="F2694" s="2">
        <v>874.7228639331322</v>
      </c>
      <c r="G2694" s="2">
        <v>878.69842529296875</v>
      </c>
      <c r="H2694" s="3">
        <v>6939714</v>
      </c>
      <c r="I2694" s="4">
        <f t="shared" si="168"/>
        <v>-1.1200000000000001</v>
      </c>
      <c r="J2694" s="2">
        <f t="shared" si="169"/>
        <v>10.54</v>
      </c>
      <c r="K2694" s="7">
        <f t="shared" si="170"/>
        <v>46174</v>
      </c>
      <c r="L2694" t="str">
        <f t="shared" si="171"/>
        <v>Q2-2026</v>
      </c>
    </row>
    <row r="2695" spans="1:12">
      <c r="A2695" s="6">
        <v>46183</v>
      </c>
      <c r="B2695" t="s">
        <v>24</v>
      </c>
      <c r="C2695" t="s">
        <v>25</v>
      </c>
      <c r="D2695" s="2">
        <v>12987.56525182509</v>
      </c>
      <c r="E2695" s="2">
        <v>13073.700194416089</v>
      </c>
      <c r="F2695" s="2">
        <v>12920.241388650509</v>
      </c>
      <c r="G2695" s="2">
        <v>12943.0126953125</v>
      </c>
      <c r="H2695" s="3">
        <v>203885</v>
      </c>
      <c r="I2695" s="4">
        <f t="shared" si="168"/>
        <v>-0.52</v>
      </c>
      <c r="J2695" s="2">
        <f t="shared" si="169"/>
        <v>130.69</v>
      </c>
      <c r="K2695" s="7">
        <f t="shared" si="170"/>
        <v>46174</v>
      </c>
      <c r="L2695" t="str">
        <f t="shared" si="171"/>
        <v>Q2-2026</v>
      </c>
    </row>
    <row r="2696" spans="1:12">
      <c r="A2696" s="6">
        <v>46183</v>
      </c>
      <c r="B2696" t="s">
        <v>26</v>
      </c>
      <c r="C2696" t="s">
        <v>27</v>
      </c>
      <c r="D2696" s="2">
        <v>384.80791996032241</v>
      </c>
      <c r="E2696" s="2">
        <v>385.6013262453892</v>
      </c>
      <c r="F2696" s="2">
        <v>376.87373604361471</v>
      </c>
      <c r="G2696" s="2">
        <v>377.86550903320313</v>
      </c>
      <c r="H2696" s="3">
        <v>7251442</v>
      </c>
      <c r="I2696" s="4">
        <f t="shared" si="168"/>
        <v>-2.06</v>
      </c>
      <c r="J2696" s="2">
        <f t="shared" si="169"/>
        <v>7.74</v>
      </c>
      <c r="K2696" s="7">
        <f t="shared" si="170"/>
        <v>46174</v>
      </c>
      <c r="L2696" t="str">
        <f t="shared" si="171"/>
        <v>Q2-2026</v>
      </c>
    </row>
    <row r="2697" spans="1:12">
      <c r="A2697" s="6">
        <v>46183</v>
      </c>
      <c r="B2697" t="s">
        <v>28</v>
      </c>
      <c r="C2697" t="s">
        <v>29</v>
      </c>
      <c r="D2697" s="2">
        <v>1774.948194891695</v>
      </c>
      <c r="E2697" s="2">
        <v>1792.9011438388491</v>
      </c>
      <c r="F2697" s="2">
        <v>1766.3706991894121</v>
      </c>
      <c r="G2697" s="2">
        <v>1781.73046875</v>
      </c>
      <c r="H2697" s="3">
        <v>1882009</v>
      </c>
      <c r="I2697" s="4">
        <f t="shared" si="168"/>
        <v>-0.48</v>
      </c>
      <c r="J2697" s="2">
        <f t="shared" si="169"/>
        <v>11.17</v>
      </c>
      <c r="K2697" s="7">
        <f t="shared" si="170"/>
        <v>46174</v>
      </c>
      <c r="L2697" t="str">
        <f t="shared" si="171"/>
        <v>Q2-2026</v>
      </c>
    </row>
    <row r="2698" spans="1:12">
      <c r="A2698" s="6">
        <v>46183</v>
      </c>
      <c r="B2698" t="s">
        <v>30</v>
      </c>
      <c r="C2698" t="s">
        <v>31</v>
      </c>
      <c r="D2698" s="2">
        <v>2687.7809874156342</v>
      </c>
      <c r="E2698" s="2">
        <v>2720.3979063128031</v>
      </c>
      <c r="F2698" s="2">
        <v>2676.776365541024</v>
      </c>
      <c r="G2698" s="2">
        <v>2691.74658203125</v>
      </c>
      <c r="H2698" s="3">
        <v>1395772</v>
      </c>
      <c r="I2698" s="4">
        <f t="shared" si="168"/>
        <v>-0.41</v>
      </c>
      <c r="J2698" s="2">
        <f t="shared" si="169"/>
        <v>28.65</v>
      </c>
      <c r="K2698" s="7">
        <f t="shared" si="170"/>
        <v>46174</v>
      </c>
      <c r="L2698" t="str">
        <f t="shared" si="171"/>
        <v>Q2-2026</v>
      </c>
    </row>
    <row r="2699" spans="1:12">
      <c r="A2699" s="6">
        <v>46183</v>
      </c>
      <c r="B2699" t="s">
        <v>32</v>
      </c>
      <c r="C2699" t="s">
        <v>33</v>
      </c>
      <c r="D2699" s="2">
        <v>2113.403324412981</v>
      </c>
      <c r="E2699" s="2">
        <v>2182.698485533414</v>
      </c>
      <c r="F2699" s="2">
        <v>2112.0175178635091</v>
      </c>
      <c r="G2699" s="2">
        <v>2147.655029296875</v>
      </c>
      <c r="H2699" s="3">
        <v>2325534</v>
      </c>
      <c r="I2699" s="4">
        <f t="shared" si="168"/>
        <v>-7.0000000000000007E-2</v>
      </c>
      <c r="J2699" s="2">
        <f t="shared" si="169"/>
        <v>35.04</v>
      </c>
      <c r="K2699" s="7">
        <f t="shared" si="170"/>
        <v>46174</v>
      </c>
      <c r="L2699" t="str">
        <f t="shared" si="171"/>
        <v>Q2-2026</v>
      </c>
    </row>
    <row r="2700" spans="1:12">
      <c r="A2700" s="6">
        <v>46183</v>
      </c>
      <c r="B2700" t="s">
        <v>34</v>
      </c>
      <c r="C2700" t="s">
        <v>35</v>
      </c>
      <c r="D2700" s="2">
        <v>3904</v>
      </c>
      <c r="E2700" s="2">
        <v>3962.800048828125</v>
      </c>
      <c r="F2700" s="2">
        <v>3900</v>
      </c>
      <c r="G2700" s="2">
        <v>3917.5</v>
      </c>
      <c r="H2700" s="3">
        <v>2033070</v>
      </c>
      <c r="I2700" s="4">
        <f t="shared" si="168"/>
        <v>-0.1</v>
      </c>
      <c r="J2700" s="2">
        <f t="shared" si="169"/>
        <v>45.3</v>
      </c>
      <c r="K2700" s="7">
        <f t="shared" si="170"/>
        <v>46174</v>
      </c>
      <c r="L2700" t="str">
        <f t="shared" si="171"/>
        <v>Q2-2026</v>
      </c>
    </row>
    <row r="2701" spans="1:12">
      <c r="A2701" s="6">
        <v>46183</v>
      </c>
      <c r="B2701" t="s">
        <v>36</v>
      </c>
      <c r="C2701" t="s">
        <v>37</v>
      </c>
      <c r="D2701" s="2">
        <v>1282.510948810889</v>
      </c>
      <c r="E2701" s="2">
        <v>1325.477813476934</v>
      </c>
      <c r="F2701" s="2">
        <v>1282.510948810889</v>
      </c>
      <c r="G2701" s="2">
        <v>1313.487060546875</v>
      </c>
      <c r="H2701" s="3">
        <v>12262606</v>
      </c>
      <c r="I2701" s="4">
        <f t="shared" si="168"/>
        <v>0</v>
      </c>
      <c r="J2701" s="2">
        <f t="shared" si="169"/>
        <v>11.99</v>
      </c>
      <c r="K2701" s="7">
        <f t="shared" si="170"/>
        <v>46174</v>
      </c>
      <c r="L2701" t="str">
        <f t="shared" si="171"/>
        <v>Q2-2026</v>
      </c>
    </row>
    <row r="2702" spans="1:12">
      <c r="A2702" s="6">
        <v>46184</v>
      </c>
      <c r="B2702" t="s">
        <v>8</v>
      </c>
      <c r="C2702" t="s">
        <v>9</v>
      </c>
      <c r="D2702" s="2">
        <v>1258</v>
      </c>
      <c r="E2702" s="2">
        <v>1276</v>
      </c>
      <c r="F2702" s="2">
        <v>1253.199951171875</v>
      </c>
      <c r="G2702" s="2">
        <v>1263</v>
      </c>
      <c r="H2702" s="3">
        <v>13117486</v>
      </c>
      <c r="I2702" s="4">
        <f t="shared" si="168"/>
        <v>-0.38</v>
      </c>
      <c r="J2702" s="2">
        <f t="shared" si="169"/>
        <v>13</v>
      </c>
      <c r="K2702" s="7">
        <f t="shared" si="170"/>
        <v>46174</v>
      </c>
      <c r="L2702" t="str">
        <f t="shared" si="171"/>
        <v>Q2-2026</v>
      </c>
    </row>
    <row r="2703" spans="1:12">
      <c r="A2703" s="6">
        <v>46184</v>
      </c>
      <c r="B2703" t="s">
        <v>10</v>
      </c>
      <c r="C2703" t="s">
        <v>11</v>
      </c>
      <c r="D2703" s="2">
        <v>2115.4013888441141</v>
      </c>
      <c r="E2703" s="2">
        <v>2142.8509821277362</v>
      </c>
      <c r="F2703" s="2">
        <v>2098.4940904847581</v>
      </c>
      <c r="G2703" s="2">
        <v>2123.95458984375</v>
      </c>
      <c r="H2703" s="3">
        <v>3079815</v>
      </c>
      <c r="I2703" s="4">
        <f t="shared" si="168"/>
        <v>-0.8</v>
      </c>
      <c r="J2703" s="2">
        <f t="shared" si="169"/>
        <v>18.899999999999999</v>
      </c>
      <c r="K2703" s="7">
        <f t="shared" si="170"/>
        <v>46174</v>
      </c>
      <c r="L2703" t="str">
        <f t="shared" si="171"/>
        <v>Q2-2026</v>
      </c>
    </row>
    <row r="2704" spans="1:12">
      <c r="A2704" s="6">
        <v>46184</v>
      </c>
      <c r="B2704" t="s">
        <v>12</v>
      </c>
      <c r="C2704" t="s">
        <v>13</v>
      </c>
      <c r="D2704" s="2">
        <v>1129.699951171875</v>
      </c>
      <c r="E2704" s="2">
        <v>1133.699951171875</v>
      </c>
      <c r="F2704" s="2">
        <v>1109</v>
      </c>
      <c r="G2704" s="2">
        <v>1114.599975585938</v>
      </c>
      <c r="H2704" s="3">
        <v>9372176</v>
      </c>
      <c r="I2704" s="4">
        <f t="shared" si="168"/>
        <v>-1.83</v>
      </c>
      <c r="J2704" s="2">
        <f t="shared" si="169"/>
        <v>19.100000000000001</v>
      </c>
      <c r="K2704" s="7">
        <f t="shared" si="170"/>
        <v>46174</v>
      </c>
      <c r="L2704" t="str">
        <f t="shared" si="171"/>
        <v>Q2-2026</v>
      </c>
    </row>
    <row r="2705" spans="1:12">
      <c r="A2705" s="6">
        <v>46184</v>
      </c>
      <c r="B2705" t="s">
        <v>14</v>
      </c>
      <c r="C2705" t="s">
        <v>15</v>
      </c>
      <c r="D2705" s="2">
        <v>730.9111639255492</v>
      </c>
      <c r="E2705" s="2">
        <v>743.69964997000704</v>
      </c>
      <c r="F2705" s="2">
        <v>728.0583237911012</v>
      </c>
      <c r="G2705" s="2">
        <v>732.485107421875</v>
      </c>
      <c r="H2705" s="3">
        <v>32632007</v>
      </c>
      <c r="I2705" s="4">
        <f t="shared" si="168"/>
        <v>-0.39</v>
      </c>
      <c r="J2705" s="2">
        <f t="shared" si="169"/>
        <v>11.21</v>
      </c>
      <c r="K2705" s="7">
        <f t="shared" si="170"/>
        <v>46174</v>
      </c>
      <c r="L2705" t="str">
        <f t="shared" si="171"/>
        <v>Q2-2026</v>
      </c>
    </row>
    <row r="2706" spans="1:12">
      <c r="A2706" s="6">
        <v>46184</v>
      </c>
      <c r="B2706" t="s">
        <v>16</v>
      </c>
      <c r="C2706" t="s">
        <v>17</v>
      </c>
      <c r="D2706" s="2">
        <v>1275.744848438168</v>
      </c>
      <c r="E2706" s="2">
        <v>1321.8561080202701</v>
      </c>
      <c r="F2706" s="2">
        <v>1275.744848438168</v>
      </c>
      <c r="G2706" s="2">
        <v>1305.989868164062</v>
      </c>
      <c r="H2706" s="3">
        <v>35919374</v>
      </c>
      <c r="I2706" s="4">
        <f t="shared" si="168"/>
        <v>0</v>
      </c>
      <c r="J2706" s="2">
        <f t="shared" si="169"/>
        <v>15.87</v>
      </c>
      <c r="K2706" s="7">
        <f t="shared" si="170"/>
        <v>46174</v>
      </c>
      <c r="L2706" t="str">
        <f t="shared" si="171"/>
        <v>Q2-2026</v>
      </c>
    </row>
    <row r="2707" spans="1:12">
      <c r="A2707" s="6">
        <v>46184</v>
      </c>
      <c r="B2707" t="s">
        <v>18</v>
      </c>
      <c r="C2707" t="s">
        <v>19</v>
      </c>
      <c r="D2707" s="2">
        <v>174.97169498760971</v>
      </c>
      <c r="E2707" s="2">
        <v>176.18780187459919</v>
      </c>
      <c r="F2707" s="2">
        <v>173.84456821970701</v>
      </c>
      <c r="G2707" s="2">
        <v>175.36717224121091</v>
      </c>
      <c r="H2707" s="3">
        <v>14468882</v>
      </c>
      <c r="I2707" s="4">
        <f t="shared" si="168"/>
        <v>-0.64</v>
      </c>
      <c r="J2707" s="2">
        <f t="shared" si="169"/>
        <v>0.82</v>
      </c>
      <c r="K2707" s="7">
        <f t="shared" si="170"/>
        <v>46174</v>
      </c>
      <c r="L2707" t="str">
        <f t="shared" si="171"/>
        <v>Q2-2026</v>
      </c>
    </row>
    <row r="2708" spans="1:12">
      <c r="A2708" s="6">
        <v>46184</v>
      </c>
      <c r="B2708" t="s">
        <v>20</v>
      </c>
      <c r="C2708" t="s">
        <v>21</v>
      </c>
      <c r="D2708" s="2">
        <v>1101.6530107998519</v>
      </c>
      <c r="E2708" s="2">
        <v>1102.741869987085</v>
      </c>
      <c r="F2708" s="2">
        <v>1078.489467999038</v>
      </c>
      <c r="G2708" s="2">
        <v>1098.980224609375</v>
      </c>
      <c r="H2708" s="3">
        <v>3435236</v>
      </c>
      <c r="I2708" s="4">
        <f t="shared" si="168"/>
        <v>-2.1</v>
      </c>
      <c r="J2708" s="2">
        <f t="shared" si="169"/>
        <v>3.76</v>
      </c>
      <c r="K2708" s="7">
        <f t="shared" si="170"/>
        <v>46174</v>
      </c>
      <c r="L2708" t="str">
        <f t="shared" si="171"/>
        <v>Q2-2026</v>
      </c>
    </row>
    <row r="2709" spans="1:12">
      <c r="A2709" s="6">
        <v>46184</v>
      </c>
      <c r="B2709" t="s">
        <v>22</v>
      </c>
      <c r="C2709" t="s">
        <v>23</v>
      </c>
      <c r="D2709" s="2">
        <v>874.62347677652758</v>
      </c>
      <c r="E2709" s="2">
        <v>881.53102659488331</v>
      </c>
      <c r="F2709" s="2">
        <v>863.19373815956169</v>
      </c>
      <c r="G2709" s="2">
        <v>865.231201171875</v>
      </c>
      <c r="H2709" s="3">
        <v>5191085</v>
      </c>
      <c r="I2709" s="4">
        <f t="shared" si="168"/>
        <v>-1.31</v>
      </c>
      <c r="J2709" s="2">
        <f t="shared" si="169"/>
        <v>16.3</v>
      </c>
      <c r="K2709" s="7">
        <f t="shared" si="170"/>
        <v>46174</v>
      </c>
      <c r="L2709" t="str">
        <f t="shared" si="171"/>
        <v>Q2-2026</v>
      </c>
    </row>
    <row r="2710" spans="1:12">
      <c r="A2710" s="6">
        <v>46184</v>
      </c>
      <c r="B2710" t="s">
        <v>24</v>
      </c>
      <c r="C2710" t="s">
        <v>25</v>
      </c>
      <c r="D2710" s="2">
        <v>12940.042082104619</v>
      </c>
      <c r="E2710" s="2">
        <v>13085.580428399129</v>
      </c>
      <c r="F2710" s="2">
        <v>12839.056290798209</v>
      </c>
      <c r="G2710" s="2">
        <v>12967.763671875</v>
      </c>
      <c r="H2710" s="3">
        <v>308710</v>
      </c>
      <c r="I2710" s="4">
        <f t="shared" si="168"/>
        <v>-0.78</v>
      </c>
      <c r="J2710" s="2">
        <f t="shared" si="169"/>
        <v>117.82</v>
      </c>
      <c r="K2710" s="7">
        <f t="shared" si="170"/>
        <v>46174</v>
      </c>
      <c r="L2710" t="str">
        <f t="shared" si="171"/>
        <v>Q2-2026</v>
      </c>
    </row>
    <row r="2711" spans="1:12">
      <c r="A2711" s="6">
        <v>46184</v>
      </c>
      <c r="B2711" t="s">
        <v>26</v>
      </c>
      <c r="C2711" t="s">
        <v>27</v>
      </c>
      <c r="D2711" s="2">
        <v>371.91484450851232</v>
      </c>
      <c r="E2711" s="2">
        <v>375.28686637875472</v>
      </c>
      <c r="F2711" s="2">
        <v>369.28665232728702</v>
      </c>
      <c r="G2711" s="2">
        <v>372.80743408203119</v>
      </c>
      <c r="H2711" s="3">
        <v>6508792</v>
      </c>
      <c r="I2711" s="4">
        <f t="shared" si="168"/>
        <v>-0.71</v>
      </c>
      <c r="J2711" s="2">
        <f t="shared" si="169"/>
        <v>2.48</v>
      </c>
      <c r="K2711" s="7">
        <f t="shared" si="170"/>
        <v>46174</v>
      </c>
      <c r="L2711" t="str">
        <f t="shared" si="171"/>
        <v>Q2-2026</v>
      </c>
    </row>
    <row r="2712" spans="1:12">
      <c r="A2712" s="6">
        <v>46184</v>
      </c>
      <c r="B2712" t="s">
        <v>28</v>
      </c>
      <c r="C2712" t="s">
        <v>29</v>
      </c>
      <c r="D2712" s="2">
        <v>1775.347176496314</v>
      </c>
      <c r="E2712" s="2">
        <v>1800.281827851599</v>
      </c>
      <c r="F2712" s="2">
        <v>1774.050525925348</v>
      </c>
      <c r="G2712" s="2">
        <v>1789.510009765625</v>
      </c>
      <c r="H2712" s="3">
        <v>1858093</v>
      </c>
      <c r="I2712" s="4">
        <f t="shared" si="168"/>
        <v>-7.0000000000000007E-2</v>
      </c>
      <c r="J2712" s="2">
        <f t="shared" si="169"/>
        <v>10.77</v>
      </c>
      <c r="K2712" s="7">
        <f t="shared" si="170"/>
        <v>46174</v>
      </c>
      <c r="L2712" t="str">
        <f t="shared" si="171"/>
        <v>Q2-2026</v>
      </c>
    </row>
    <row r="2713" spans="1:12">
      <c r="A2713" s="6">
        <v>46184</v>
      </c>
      <c r="B2713" t="s">
        <v>30</v>
      </c>
      <c r="C2713" t="s">
        <v>31</v>
      </c>
      <c r="D2713" s="2">
        <v>2670.728590329697</v>
      </c>
      <c r="E2713" s="2">
        <v>2683.418540811208</v>
      </c>
      <c r="F2713" s="2">
        <v>2648.025659217818</v>
      </c>
      <c r="G2713" s="2">
        <v>2667.75439453125</v>
      </c>
      <c r="H2713" s="3">
        <v>771558</v>
      </c>
      <c r="I2713" s="4">
        <f t="shared" si="168"/>
        <v>-0.85</v>
      </c>
      <c r="J2713" s="2">
        <f t="shared" si="169"/>
        <v>15.66</v>
      </c>
      <c r="K2713" s="7">
        <f t="shared" si="170"/>
        <v>46174</v>
      </c>
      <c r="L2713" t="str">
        <f t="shared" si="171"/>
        <v>Q2-2026</v>
      </c>
    </row>
    <row r="2714" spans="1:12">
      <c r="A2714" s="6">
        <v>46184</v>
      </c>
      <c r="B2714" t="s">
        <v>32</v>
      </c>
      <c r="C2714" t="s">
        <v>33</v>
      </c>
      <c r="D2714" s="2">
        <v>2142.210429407045</v>
      </c>
      <c r="E2714" s="2">
        <v>2143.200360289396</v>
      </c>
      <c r="F2714" s="2">
        <v>2113.799461420047</v>
      </c>
      <c r="G2714" s="2">
        <v>2118.254150390625</v>
      </c>
      <c r="H2714" s="3">
        <v>1178896</v>
      </c>
      <c r="I2714" s="4">
        <f t="shared" si="168"/>
        <v>-1.33</v>
      </c>
      <c r="J2714" s="2">
        <f t="shared" si="169"/>
        <v>24.95</v>
      </c>
      <c r="K2714" s="7">
        <f t="shared" si="170"/>
        <v>46174</v>
      </c>
      <c r="L2714" t="str">
        <f t="shared" si="171"/>
        <v>Q2-2026</v>
      </c>
    </row>
    <row r="2715" spans="1:12">
      <c r="A2715" s="6">
        <v>46184</v>
      </c>
      <c r="B2715" t="s">
        <v>34</v>
      </c>
      <c r="C2715" t="s">
        <v>35</v>
      </c>
      <c r="D2715" s="2">
        <v>3900</v>
      </c>
      <c r="E2715" s="2">
        <v>3909.800048828125</v>
      </c>
      <c r="F2715" s="2">
        <v>3854.39990234375</v>
      </c>
      <c r="G2715" s="2">
        <v>3862</v>
      </c>
      <c r="H2715" s="3">
        <v>2224659</v>
      </c>
      <c r="I2715" s="4">
        <f t="shared" si="168"/>
        <v>-1.17</v>
      </c>
      <c r="J2715" s="2">
        <f t="shared" si="169"/>
        <v>47.8</v>
      </c>
      <c r="K2715" s="7">
        <f t="shared" si="170"/>
        <v>46174</v>
      </c>
      <c r="L2715" t="str">
        <f t="shared" si="171"/>
        <v>Q2-2026</v>
      </c>
    </row>
    <row r="2716" spans="1:12">
      <c r="A2716" s="6">
        <v>46184</v>
      </c>
      <c r="B2716" t="s">
        <v>36</v>
      </c>
      <c r="C2716" t="s">
        <v>37</v>
      </c>
      <c r="D2716" s="2">
        <v>1307.7914623726331</v>
      </c>
      <c r="E2716" s="2">
        <v>1338.467755572487</v>
      </c>
      <c r="F2716" s="2">
        <v>1306.2926183014431</v>
      </c>
      <c r="G2716" s="2">
        <v>1316.284912109375</v>
      </c>
      <c r="H2716" s="3">
        <v>8196686</v>
      </c>
      <c r="I2716" s="4">
        <f t="shared" si="168"/>
        <v>-0.11</v>
      </c>
      <c r="J2716" s="2">
        <f t="shared" si="169"/>
        <v>22.18</v>
      </c>
      <c r="K2716" s="7">
        <f t="shared" si="170"/>
        <v>46174</v>
      </c>
      <c r="L2716" t="str">
        <f t="shared" si="171"/>
        <v>Q2-2026</v>
      </c>
    </row>
    <row r="2717" spans="1:12">
      <c r="A2717" s="6">
        <v>46185</v>
      </c>
      <c r="B2717" t="s">
        <v>8</v>
      </c>
      <c r="C2717" t="s">
        <v>9</v>
      </c>
      <c r="D2717" s="2">
        <v>1277</v>
      </c>
      <c r="E2717" s="2">
        <v>1297</v>
      </c>
      <c r="F2717" s="2">
        <v>1262.5</v>
      </c>
      <c r="G2717" s="2">
        <v>1293</v>
      </c>
      <c r="H2717" s="3">
        <v>11988785</v>
      </c>
      <c r="I2717" s="4">
        <f t="shared" si="168"/>
        <v>-1.1399999999999999</v>
      </c>
      <c r="J2717" s="2">
        <f t="shared" si="169"/>
        <v>4</v>
      </c>
      <c r="K2717" s="7">
        <f t="shared" si="170"/>
        <v>46174</v>
      </c>
      <c r="L2717" t="str">
        <f t="shared" si="171"/>
        <v>Q2-2026</v>
      </c>
    </row>
    <row r="2718" spans="1:12">
      <c r="A2718" s="6">
        <v>46185</v>
      </c>
      <c r="B2718" t="s">
        <v>10</v>
      </c>
      <c r="C2718" t="s">
        <v>11</v>
      </c>
      <c r="D2718" s="2">
        <v>2138.2760309559571</v>
      </c>
      <c r="E2718" s="2">
        <v>2156.1778767965188</v>
      </c>
      <c r="F2718" s="2">
        <v>2126.3414670622501</v>
      </c>
      <c r="G2718" s="2">
        <v>2149.61376953125</v>
      </c>
      <c r="H2718" s="3">
        <v>2124656</v>
      </c>
      <c r="I2718" s="4">
        <f t="shared" si="168"/>
        <v>-0.56000000000000005</v>
      </c>
      <c r="J2718" s="2">
        <f t="shared" si="169"/>
        <v>6.56</v>
      </c>
      <c r="K2718" s="7">
        <f t="shared" si="170"/>
        <v>46174</v>
      </c>
      <c r="L2718" t="str">
        <f t="shared" si="171"/>
        <v>Q2-2026</v>
      </c>
    </row>
    <row r="2719" spans="1:12">
      <c r="A2719" s="6">
        <v>46185</v>
      </c>
      <c r="B2719" t="s">
        <v>12</v>
      </c>
      <c r="C2719" t="s">
        <v>13</v>
      </c>
      <c r="D2719" s="2">
        <v>1120</v>
      </c>
      <c r="E2719" s="2">
        <v>1123.300048828125</v>
      </c>
      <c r="F2719" s="2">
        <v>1111.5</v>
      </c>
      <c r="G2719" s="2">
        <v>1116.400024414062</v>
      </c>
      <c r="H2719" s="3">
        <v>8075333</v>
      </c>
      <c r="I2719" s="4">
        <f t="shared" si="168"/>
        <v>-0.76</v>
      </c>
      <c r="J2719" s="2">
        <f t="shared" si="169"/>
        <v>6.9</v>
      </c>
      <c r="K2719" s="7">
        <f t="shared" si="170"/>
        <v>46174</v>
      </c>
      <c r="L2719" t="str">
        <f t="shared" si="171"/>
        <v>Q2-2026</v>
      </c>
    </row>
    <row r="2720" spans="1:12">
      <c r="A2720" s="6">
        <v>46185</v>
      </c>
      <c r="B2720" t="s">
        <v>14</v>
      </c>
      <c r="C2720" t="s">
        <v>15</v>
      </c>
      <c r="D2720" s="2">
        <v>742.42075722913523</v>
      </c>
      <c r="E2720" s="2">
        <v>761.84941725048031</v>
      </c>
      <c r="F2720" s="2">
        <v>740.84675380974625</v>
      </c>
      <c r="G2720" s="2">
        <v>759.8819580078125</v>
      </c>
      <c r="H2720" s="3">
        <v>36088159</v>
      </c>
      <c r="I2720" s="4">
        <f t="shared" si="168"/>
        <v>-0.21</v>
      </c>
      <c r="J2720" s="2">
        <f t="shared" si="169"/>
        <v>1.97</v>
      </c>
      <c r="K2720" s="7">
        <f t="shared" si="170"/>
        <v>46174</v>
      </c>
      <c r="L2720" t="str">
        <f t="shared" si="171"/>
        <v>Q2-2026</v>
      </c>
    </row>
    <row r="2721" spans="1:12">
      <c r="A2721" s="6">
        <v>46185</v>
      </c>
      <c r="B2721" t="s">
        <v>16</v>
      </c>
      <c r="C2721" t="s">
        <v>17</v>
      </c>
      <c r="D2721" s="2">
        <v>1318.8811821081781</v>
      </c>
      <c r="E2721" s="2">
        <v>1333.0616823357291</v>
      </c>
      <c r="F2721" s="2">
        <v>1307.67560184027</v>
      </c>
      <c r="G2721" s="2">
        <v>1329.590942382812</v>
      </c>
      <c r="H2721" s="3">
        <v>18339846</v>
      </c>
      <c r="I2721" s="4">
        <f t="shared" si="168"/>
        <v>-0.85</v>
      </c>
      <c r="J2721" s="2">
        <f t="shared" si="169"/>
        <v>3.47</v>
      </c>
      <c r="K2721" s="7">
        <f t="shared" si="170"/>
        <v>46174</v>
      </c>
      <c r="L2721" t="str">
        <f t="shared" si="171"/>
        <v>Q2-2026</v>
      </c>
    </row>
    <row r="2722" spans="1:12">
      <c r="A2722" s="6">
        <v>46185</v>
      </c>
      <c r="B2722" t="s">
        <v>18</v>
      </c>
      <c r="C2722" t="s">
        <v>19</v>
      </c>
      <c r="D2722" s="2">
        <v>176.63271533495109</v>
      </c>
      <c r="E2722" s="2">
        <v>178.4123931267533</v>
      </c>
      <c r="F2722" s="2">
        <v>175.56492374635971</v>
      </c>
      <c r="G2722" s="2">
        <v>178.10589599609381</v>
      </c>
      <c r="H2722" s="3">
        <v>13850153</v>
      </c>
      <c r="I2722" s="4">
        <f t="shared" si="168"/>
        <v>-0.6</v>
      </c>
      <c r="J2722" s="2">
        <f t="shared" si="169"/>
        <v>0.31</v>
      </c>
      <c r="K2722" s="7">
        <f t="shared" si="170"/>
        <v>46174</v>
      </c>
      <c r="L2722" t="str">
        <f t="shared" si="171"/>
        <v>Q2-2026</v>
      </c>
    </row>
    <row r="2723" spans="1:12">
      <c r="A2723" s="6">
        <v>46185</v>
      </c>
      <c r="B2723" t="s">
        <v>20</v>
      </c>
      <c r="C2723" t="s">
        <v>21</v>
      </c>
      <c r="D2723" s="2">
        <v>1108.6811510385819</v>
      </c>
      <c r="E2723" s="2">
        <v>1111.1558857507221</v>
      </c>
      <c r="F2723" s="2">
        <v>1089.3782202838929</v>
      </c>
      <c r="G2723" s="2">
        <v>1098.38623046875</v>
      </c>
      <c r="H2723" s="3">
        <v>2203987</v>
      </c>
      <c r="I2723" s="4">
        <f t="shared" si="168"/>
        <v>-1.74</v>
      </c>
      <c r="J2723" s="2">
        <f t="shared" si="169"/>
        <v>12.77</v>
      </c>
      <c r="K2723" s="7">
        <f t="shared" si="170"/>
        <v>46174</v>
      </c>
      <c r="L2723" t="str">
        <f t="shared" si="171"/>
        <v>Q2-2026</v>
      </c>
    </row>
    <row r="2724" spans="1:12">
      <c r="A2724" s="6">
        <v>46185</v>
      </c>
      <c r="B2724" t="s">
        <v>22</v>
      </c>
      <c r="C2724" t="s">
        <v>23</v>
      </c>
      <c r="D2724" s="2">
        <v>875.81620571738529</v>
      </c>
      <c r="E2724" s="2">
        <v>915.37303029020052</v>
      </c>
      <c r="F2724" s="2">
        <v>875.71678028308497</v>
      </c>
      <c r="G2724" s="2">
        <v>912.68951416015625</v>
      </c>
      <c r="H2724" s="3">
        <v>11729668</v>
      </c>
      <c r="I2724" s="4">
        <f t="shared" si="168"/>
        <v>-0.01</v>
      </c>
      <c r="J2724" s="2">
        <f t="shared" si="169"/>
        <v>2.68</v>
      </c>
      <c r="K2724" s="7">
        <f t="shared" si="170"/>
        <v>46174</v>
      </c>
      <c r="L2724" t="str">
        <f t="shared" si="171"/>
        <v>Q2-2026</v>
      </c>
    </row>
    <row r="2725" spans="1:12">
      <c r="A2725" s="6">
        <v>46185</v>
      </c>
      <c r="B2725" t="s">
        <v>24</v>
      </c>
      <c r="C2725" t="s">
        <v>25</v>
      </c>
      <c r="D2725" s="2">
        <v>13100.431993958549</v>
      </c>
      <c r="E2725" s="2">
        <v>13284.58256461123</v>
      </c>
      <c r="F2725" s="2">
        <v>12999.44619714902</v>
      </c>
      <c r="G2725" s="2">
        <v>13233.099609375</v>
      </c>
      <c r="H2725" s="3">
        <v>559038</v>
      </c>
      <c r="I2725" s="4">
        <f t="shared" si="168"/>
        <v>-0.77</v>
      </c>
      <c r="J2725" s="2">
        <f t="shared" si="169"/>
        <v>51.48</v>
      </c>
      <c r="K2725" s="7">
        <f t="shared" si="170"/>
        <v>46174</v>
      </c>
      <c r="L2725" t="str">
        <f t="shared" si="171"/>
        <v>Q2-2026</v>
      </c>
    </row>
    <row r="2726" spans="1:12">
      <c r="A2726" s="6">
        <v>46185</v>
      </c>
      <c r="B2726" t="s">
        <v>26</v>
      </c>
      <c r="C2726" t="s">
        <v>27</v>
      </c>
      <c r="D2726" s="2">
        <v>377.12165679931638</v>
      </c>
      <c r="E2726" s="2">
        <v>389.71718512249112</v>
      </c>
      <c r="F2726" s="2">
        <v>375.88194063626798</v>
      </c>
      <c r="G2726" s="2">
        <v>386.79144287109381</v>
      </c>
      <c r="H2726" s="3">
        <v>7787586</v>
      </c>
      <c r="I2726" s="4">
        <f t="shared" si="168"/>
        <v>-0.33</v>
      </c>
      <c r="J2726" s="2">
        <f t="shared" si="169"/>
        <v>2.93</v>
      </c>
      <c r="K2726" s="7">
        <f t="shared" si="170"/>
        <v>46174</v>
      </c>
      <c r="L2726" t="str">
        <f t="shared" si="171"/>
        <v>Q2-2026</v>
      </c>
    </row>
    <row r="2727" spans="1:12">
      <c r="A2727" s="6">
        <v>46185</v>
      </c>
      <c r="B2727" t="s">
        <v>28</v>
      </c>
      <c r="C2727" t="s">
        <v>29</v>
      </c>
      <c r="D2727" s="2">
        <v>1802.2766099040041</v>
      </c>
      <c r="E2727" s="2">
        <v>1809.7570053518621</v>
      </c>
      <c r="F2727" s="2">
        <v>1787.8145120381439</v>
      </c>
      <c r="G2727" s="2">
        <v>1802.974731445312</v>
      </c>
      <c r="H2727" s="3">
        <v>1243362</v>
      </c>
      <c r="I2727" s="4">
        <f t="shared" si="168"/>
        <v>-0.8</v>
      </c>
      <c r="J2727" s="2">
        <f t="shared" si="169"/>
        <v>6.78</v>
      </c>
      <c r="K2727" s="7">
        <f t="shared" si="170"/>
        <v>46174</v>
      </c>
      <c r="L2727" t="str">
        <f t="shared" si="171"/>
        <v>Q2-2026</v>
      </c>
    </row>
    <row r="2728" spans="1:12">
      <c r="A2728" s="6">
        <v>46185</v>
      </c>
      <c r="B2728" t="s">
        <v>30</v>
      </c>
      <c r="C2728" t="s">
        <v>31</v>
      </c>
      <c r="D2728" s="2">
        <v>2702.2552523867371</v>
      </c>
      <c r="E2728" s="2">
        <v>2729.3204839447808</v>
      </c>
      <c r="F2728" s="2">
        <v>2686.09540598067</v>
      </c>
      <c r="G2728" s="2">
        <v>2723.7685546875</v>
      </c>
      <c r="H2728" s="3">
        <v>1078025</v>
      </c>
      <c r="I2728" s="4">
        <f t="shared" si="168"/>
        <v>-0.6</v>
      </c>
      <c r="J2728" s="2">
        <f t="shared" si="169"/>
        <v>5.55</v>
      </c>
      <c r="K2728" s="7">
        <f t="shared" si="170"/>
        <v>46174</v>
      </c>
      <c r="L2728" t="str">
        <f t="shared" si="171"/>
        <v>Q2-2026</v>
      </c>
    </row>
    <row r="2729" spans="1:12">
      <c r="A2729" s="6">
        <v>46185</v>
      </c>
      <c r="B2729" t="s">
        <v>32</v>
      </c>
      <c r="C2729" t="s">
        <v>33</v>
      </c>
      <c r="D2729" s="2">
        <v>2129.539277901612</v>
      </c>
      <c r="E2729" s="2">
        <v>2157.4552806063821</v>
      </c>
      <c r="F2729" s="2">
        <v>2123.4017547325602</v>
      </c>
      <c r="G2729" s="2">
        <v>2146.962158203125</v>
      </c>
      <c r="H2729" s="3">
        <v>1156153</v>
      </c>
      <c r="I2729" s="4">
        <f t="shared" si="168"/>
        <v>-0.28999999999999998</v>
      </c>
      <c r="J2729" s="2">
        <f t="shared" si="169"/>
        <v>10.49</v>
      </c>
      <c r="K2729" s="7">
        <f t="shared" si="170"/>
        <v>46174</v>
      </c>
      <c r="L2729" t="str">
        <f t="shared" si="171"/>
        <v>Q2-2026</v>
      </c>
    </row>
    <row r="2730" spans="1:12">
      <c r="A2730" s="6">
        <v>46185</v>
      </c>
      <c r="B2730" t="s">
        <v>34</v>
      </c>
      <c r="C2730" t="s">
        <v>35</v>
      </c>
      <c r="D2730" s="2">
        <v>3930</v>
      </c>
      <c r="E2730" s="2">
        <v>4059.800048828125</v>
      </c>
      <c r="F2730" s="2">
        <v>3921</v>
      </c>
      <c r="G2730" s="2">
        <v>4049.300048828125</v>
      </c>
      <c r="H2730" s="3">
        <v>3065790</v>
      </c>
      <c r="I2730" s="4">
        <f t="shared" si="168"/>
        <v>-0.23</v>
      </c>
      <c r="J2730" s="2">
        <f t="shared" si="169"/>
        <v>10.5</v>
      </c>
      <c r="K2730" s="7">
        <f t="shared" si="170"/>
        <v>46174</v>
      </c>
      <c r="L2730" t="str">
        <f t="shared" si="171"/>
        <v>Q2-2026</v>
      </c>
    </row>
    <row r="2731" spans="1:12">
      <c r="A2731" s="6">
        <v>46185</v>
      </c>
      <c r="B2731" t="s">
        <v>36</v>
      </c>
      <c r="C2731" t="s">
        <v>37</v>
      </c>
      <c r="D2731" s="2">
        <v>1330.9735596234659</v>
      </c>
      <c r="E2731" s="2">
        <v>1357.4531387000591</v>
      </c>
      <c r="F2731" s="2">
        <v>1317.4839627353899</v>
      </c>
      <c r="G2731" s="2">
        <v>1355.2548828125</v>
      </c>
      <c r="H2731" s="3">
        <v>8535670</v>
      </c>
      <c r="I2731" s="4">
        <f t="shared" si="168"/>
        <v>-1.01</v>
      </c>
      <c r="J2731" s="2">
        <f t="shared" si="169"/>
        <v>2.2000000000000002</v>
      </c>
      <c r="K2731" s="7">
        <f t="shared" si="170"/>
        <v>46174</v>
      </c>
      <c r="L2731" t="str">
        <f t="shared" si="171"/>
        <v>Q2-2026</v>
      </c>
    </row>
    <row r="2732" spans="1:12">
      <c r="A2732" s="6">
        <v>46188</v>
      </c>
      <c r="B2732" t="s">
        <v>8</v>
      </c>
      <c r="C2732" t="s">
        <v>9</v>
      </c>
      <c r="D2732" s="2">
        <v>1315.300048828125</v>
      </c>
      <c r="E2732" s="2">
        <v>1325</v>
      </c>
      <c r="F2732" s="2">
        <v>1303.300048828125</v>
      </c>
      <c r="G2732" s="2">
        <v>1307</v>
      </c>
      <c r="H2732" s="3">
        <v>18633321</v>
      </c>
      <c r="I2732" s="4">
        <f t="shared" si="168"/>
        <v>-0.91</v>
      </c>
      <c r="J2732" s="2">
        <f t="shared" si="169"/>
        <v>18</v>
      </c>
      <c r="K2732" s="7">
        <f t="shared" si="170"/>
        <v>46174</v>
      </c>
      <c r="L2732" t="str">
        <f t="shared" si="171"/>
        <v>Q2-2026</v>
      </c>
    </row>
    <row r="2733" spans="1:12">
      <c r="A2733" s="6">
        <v>46188</v>
      </c>
      <c r="B2733" t="s">
        <v>10</v>
      </c>
      <c r="C2733" t="s">
        <v>11</v>
      </c>
      <c r="D2733" s="2">
        <v>2180.0468569322388</v>
      </c>
      <c r="E2733" s="2">
        <v>2180.0468569322388</v>
      </c>
      <c r="F2733" s="2">
        <v>2147.5252210863978</v>
      </c>
      <c r="G2733" s="2">
        <v>2150.21044921875</v>
      </c>
      <c r="H2733" s="3">
        <v>3337083</v>
      </c>
      <c r="I2733" s="4">
        <f t="shared" si="168"/>
        <v>-1.49</v>
      </c>
      <c r="J2733" s="2">
        <f t="shared" si="169"/>
        <v>29.84</v>
      </c>
      <c r="K2733" s="7">
        <f t="shared" si="170"/>
        <v>46174</v>
      </c>
      <c r="L2733" t="str">
        <f t="shared" si="171"/>
        <v>Q2-2026</v>
      </c>
    </row>
    <row r="2734" spans="1:12">
      <c r="A2734" s="6">
        <v>46188</v>
      </c>
      <c r="B2734" t="s">
        <v>12</v>
      </c>
      <c r="C2734" t="s">
        <v>13</v>
      </c>
      <c r="D2734" s="2">
        <v>1130</v>
      </c>
      <c r="E2734" s="2">
        <v>1151</v>
      </c>
      <c r="F2734" s="2">
        <v>1123</v>
      </c>
      <c r="G2734" s="2">
        <v>1134.900024414062</v>
      </c>
      <c r="H2734" s="3">
        <v>7856192</v>
      </c>
      <c r="I2734" s="4">
        <f t="shared" si="168"/>
        <v>-0.62</v>
      </c>
      <c r="J2734" s="2">
        <f t="shared" si="169"/>
        <v>16.100000000000001</v>
      </c>
      <c r="K2734" s="7">
        <f t="shared" si="170"/>
        <v>46174</v>
      </c>
      <c r="L2734" t="str">
        <f t="shared" si="171"/>
        <v>Q2-2026</v>
      </c>
    </row>
    <row r="2735" spans="1:12">
      <c r="A2735" s="6">
        <v>46188</v>
      </c>
      <c r="B2735" t="s">
        <v>14</v>
      </c>
      <c r="C2735" t="s">
        <v>15</v>
      </c>
      <c r="D2735" s="2">
        <v>777.14641340026958</v>
      </c>
      <c r="E2735" s="2">
        <v>780.58946713052387</v>
      </c>
      <c r="F2735" s="2">
        <v>762.98068260752905</v>
      </c>
      <c r="G2735" s="2">
        <v>764.70220947265625</v>
      </c>
      <c r="H2735" s="3">
        <v>39990334</v>
      </c>
      <c r="I2735" s="4">
        <f t="shared" si="168"/>
        <v>-1.82</v>
      </c>
      <c r="J2735" s="2">
        <f t="shared" si="169"/>
        <v>15.89</v>
      </c>
      <c r="K2735" s="7">
        <f t="shared" si="170"/>
        <v>46174</v>
      </c>
      <c r="L2735" t="str">
        <f t="shared" si="171"/>
        <v>Q2-2026</v>
      </c>
    </row>
    <row r="2736" spans="1:12">
      <c r="A2736" s="6">
        <v>46188</v>
      </c>
      <c r="B2736" t="s">
        <v>16</v>
      </c>
      <c r="C2736" t="s">
        <v>17</v>
      </c>
      <c r="D2736" s="2">
        <v>1343.2755003149459</v>
      </c>
      <c r="E2736" s="2">
        <v>1351.307759988531</v>
      </c>
      <c r="F2736" s="2">
        <v>1314.2205213660741</v>
      </c>
      <c r="G2736" s="2">
        <v>1316.501220703125</v>
      </c>
      <c r="H2736" s="3">
        <v>16172921</v>
      </c>
      <c r="I2736" s="4">
        <f t="shared" si="168"/>
        <v>-2.16</v>
      </c>
      <c r="J2736" s="2">
        <f t="shared" si="169"/>
        <v>34.81</v>
      </c>
      <c r="K2736" s="7">
        <f t="shared" si="170"/>
        <v>46174</v>
      </c>
      <c r="L2736" t="str">
        <f t="shared" si="171"/>
        <v>Q2-2026</v>
      </c>
    </row>
    <row r="2737" spans="1:12">
      <c r="A2737" s="6">
        <v>46188</v>
      </c>
      <c r="B2737" t="s">
        <v>18</v>
      </c>
      <c r="C2737" t="s">
        <v>19</v>
      </c>
      <c r="D2737" s="2">
        <v>180.9335963395059</v>
      </c>
      <c r="E2737" s="2">
        <v>180.9335963395059</v>
      </c>
      <c r="F2737" s="2">
        <v>178.8671998709215</v>
      </c>
      <c r="G2737" s="2">
        <v>179.33189392089841</v>
      </c>
      <c r="H2737" s="3">
        <v>13870660</v>
      </c>
      <c r="I2737" s="4">
        <f t="shared" si="168"/>
        <v>-1.1399999999999999</v>
      </c>
      <c r="J2737" s="2">
        <f t="shared" si="169"/>
        <v>1.6</v>
      </c>
      <c r="K2737" s="7">
        <f t="shared" si="170"/>
        <v>46174</v>
      </c>
      <c r="L2737" t="str">
        <f t="shared" si="171"/>
        <v>Q2-2026</v>
      </c>
    </row>
    <row r="2738" spans="1:12">
      <c r="A2738" s="6">
        <v>46188</v>
      </c>
      <c r="B2738" t="s">
        <v>20</v>
      </c>
      <c r="C2738" t="s">
        <v>21</v>
      </c>
      <c r="D2738" s="2">
        <v>1112.145787260235</v>
      </c>
      <c r="E2738" s="2">
        <v>1116.6003097726259</v>
      </c>
      <c r="F2738" s="2">
        <v>1101.75190139799</v>
      </c>
      <c r="G2738" s="2">
        <v>1107.98828125</v>
      </c>
      <c r="H2738" s="3">
        <v>2361006</v>
      </c>
      <c r="I2738" s="4">
        <f t="shared" si="168"/>
        <v>-0.93</v>
      </c>
      <c r="J2738" s="2">
        <f t="shared" si="169"/>
        <v>8.61</v>
      </c>
      <c r="K2738" s="7">
        <f t="shared" si="170"/>
        <v>46174</v>
      </c>
      <c r="L2738" t="str">
        <f t="shared" si="171"/>
        <v>Q2-2026</v>
      </c>
    </row>
    <row r="2739" spans="1:12">
      <c r="A2739" s="6">
        <v>46188</v>
      </c>
      <c r="B2739" t="s">
        <v>22</v>
      </c>
      <c r="C2739" t="s">
        <v>23</v>
      </c>
      <c r="D2739" s="2">
        <v>936.24469171286626</v>
      </c>
      <c r="E2739" s="2">
        <v>953.14082733825762</v>
      </c>
      <c r="F2739" s="2">
        <v>933.26302072015005</v>
      </c>
      <c r="G2739" s="2">
        <v>936.5428466796875</v>
      </c>
      <c r="H2739" s="3">
        <v>11989428</v>
      </c>
      <c r="I2739" s="4">
        <f t="shared" si="168"/>
        <v>-0.32</v>
      </c>
      <c r="J2739" s="2">
        <f t="shared" si="169"/>
        <v>16.600000000000001</v>
      </c>
      <c r="K2739" s="7">
        <f t="shared" si="170"/>
        <v>46174</v>
      </c>
      <c r="L2739" t="str">
        <f t="shared" si="171"/>
        <v>Q2-2026</v>
      </c>
    </row>
    <row r="2740" spans="1:12">
      <c r="A2740" s="6">
        <v>46188</v>
      </c>
      <c r="B2740" t="s">
        <v>24</v>
      </c>
      <c r="C2740" t="s">
        <v>25</v>
      </c>
      <c r="D2740" s="2">
        <v>13415.26988636364</v>
      </c>
      <c r="E2740" s="2">
        <v>13822.18323863636</v>
      </c>
      <c r="F2740" s="2">
        <v>13385.56818181818</v>
      </c>
      <c r="G2740" s="2">
        <v>13667.734375</v>
      </c>
      <c r="H2740" s="3">
        <v>613280</v>
      </c>
      <c r="I2740" s="4">
        <f t="shared" si="168"/>
        <v>-0.22</v>
      </c>
      <c r="J2740" s="2">
        <f t="shared" si="169"/>
        <v>154.44999999999999</v>
      </c>
      <c r="K2740" s="7">
        <f t="shared" si="170"/>
        <v>46174</v>
      </c>
      <c r="L2740" t="str">
        <f t="shared" si="171"/>
        <v>Q2-2026</v>
      </c>
    </row>
    <row r="2741" spans="1:12">
      <c r="A2741" s="6">
        <v>46188</v>
      </c>
      <c r="B2741" t="s">
        <v>26</v>
      </c>
      <c r="C2741" t="s">
        <v>27</v>
      </c>
      <c r="D2741" s="2">
        <v>394.92400342710852</v>
      </c>
      <c r="E2741" s="2">
        <v>404.44499959731911</v>
      </c>
      <c r="F2741" s="2">
        <v>391.99826109851728</v>
      </c>
      <c r="G2741" s="2">
        <v>393.1387939453125</v>
      </c>
      <c r="H2741" s="3">
        <v>11097635</v>
      </c>
      <c r="I2741" s="4">
        <f t="shared" si="168"/>
        <v>-0.74</v>
      </c>
      <c r="J2741" s="2">
        <f t="shared" si="169"/>
        <v>11.31</v>
      </c>
      <c r="K2741" s="7">
        <f t="shared" si="170"/>
        <v>46174</v>
      </c>
      <c r="L2741" t="str">
        <f t="shared" si="171"/>
        <v>Q2-2026</v>
      </c>
    </row>
    <row r="2742" spans="1:12">
      <c r="A2742" s="6">
        <v>46188</v>
      </c>
      <c r="B2742" t="s">
        <v>28</v>
      </c>
      <c r="C2742" t="s">
        <v>29</v>
      </c>
      <c r="D2742" s="2">
        <v>1813.247807195416</v>
      </c>
      <c r="E2742" s="2">
        <v>1813.247807195416</v>
      </c>
      <c r="F2742" s="2">
        <v>1793.10065803818</v>
      </c>
      <c r="G2742" s="2">
        <v>1801.279174804688</v>
      </c>
      <c r="H2742" s="3">
        <v>2188933</v>
      </c>
      <c r="I2742" s="4">
        <f t="shared" si="168"/>
        <v>-1.1100000000000001</v>
      </c>
      <c r="J2742" s="2">
        <f t="shared" si="169"/>
        <v>11.97</v>
      </c>
      <c r="K2742" s="7">
        <f t="shared" si="170"/>
        <v>46174</v>
      </c>
      <c r="L2742" t="str">
        <f t="shared" si="171"/>
        <v>Q2-2026</v>
      </c>
    </row>
    <row r="2743" spans="1:12">
      <c r="A2743" s="6">
        <v>46188</v>
      </c>
      <c r="B2743" t="s">
        <v>30</v>
      </c>
      <c r="C2743" t="s">
        <v>31</v>
      </c>
      <c r="D2743" s="2">
        <v>2796.0415692652559</v>
      </c>
      <c r="E2743" s="2">
        <v>2808.3348153056409</v>
      </c>
      <c r="F2743" s="2">
        <v>2706.5182256993721</v>
      </c>
      <c r="G2743" s="2">
        <v>2715.73828125</v>
      </c>
      <c r="H2743" s="3">
        <v>2752021</v>
      </c>
      <c r="I2743" s="4">
        <f t="shared" si="168"/>
        <v>-3.2</v>
      </c>
      <c r="J2743" s="2">
        <f t="shared" si="169"/>
        <v>92.6</v>
      </c>
      <c r="K2743" s="7">
        <f t="shared" si="170"/>
        <v>46174</v>
      </c>
      <c r="L2743" t="str">
        <f t="shared" si="171"/>
        <v>Q2-2026</v>
      </c>
    </row>
    <row r="2744" spans="1:12">
      <c r="A2744" s="6">
        <v>46188</v>
      </c>
      <c r="B2744" t="s">
        <v>32</v>
      </c>
      <c r="C2744" t="s">
        <v>33</v>
      </c>
      <c r="D2744" s="2">
        <v>2177.8480070965079</v>
      </c>
      <c r="E2744" s="2">
        <v>2188.73724713199</v>
      </c>
      <c r="F2744" s="2">
        <v>2128.3514614806782</v>
      </c>
      <c r="G2744" s="2">
        <v>2134.39013671875</v>
      </c>
      <c r="H2744" s="3">
        <v>1439449</v>
      </c>
      <c r="I2744" s="4">
        <f t="shared" si="168"/>
        <v>-2.27</v>
      </c>
      <c r="J2744" s="2">
        <f t="shared" si="169"/>
        <v>54.35</v>
      </c>
      <c r="K2744" s="7">
        <f t="shared" si="170"/>
        <v>46174</v>
      </c>
      <c r="L2744" t="str">
        <f t="shared" si="171"/>
        <v>Q2-2026</v>
      </c>
    </row>
    <row r="2745" spans="1:12">
      <c r="A2745" s="6">
        <v>46188</v>
      </c>
      <c r="B2745" t="s">
        <v>34</v>
      </c>
      <c r="C2745" t="s">
        <v>35</v>
      </c>
      <c r="D2745" s="2">
        <v>4130</v>
      </c>
      <c r="E2745" s="2">
        <v>4214.89990234375</v>
      </c>
      <c r="F2745" s="2">
        <v>4130</v>
      </c>
      <c r="G2745" s="2">
        <v>4169.7998046875</v>
      </c>
      <c r="H2745" s="3">
        <v>3978153</v>
      </c>
      <c r="I2745" s="4">
        <f t="shared" si="168"/>
        <v>0</v>
      </c>
      <c r="J2745" s="2">
        <f t="shared" si="169"/>
        <v>45.1</v>
      </c>
      <c r="K2745" s="7">
        <f t="shared" si="170"/>
        <v>46174</v>
      </c>
      <c r="L2745" t="str">
        <f t="shared" si="171"/>
        <v>Q2-2026</v>
      </c>
    </row>
    <row r="2746" spans="1:12">
      <c r="A2746" s="6">
        <v>46188</v>
      </c>
      <c r="B2746" t="s">
        <v>36</v>
      </c>
      <c r="C2746" t="s">
        <v>37</v>
      </c>
      <c r="D2746" s="2">
        <v>1370.9427053735019</v>
      </c>
      <c r="E2746" s="2">
        <v>1376.938081636069</v>
      </c>
      <c r="F2746" s="2">
        <v>1359.5514660793781</v>
      </c>
      <c r="G2746" s="2">
        <v>1367.24560546875</v>
      </c>
      <c r="H2746" s="3">
        <v>7522828</v>
      </c>
      <c r="I2746" s="4">
        <f t="shared" si="168"/>
        <v>-0.83</v>
      </c>
      <c r="J2746" s="2">
        <f t="shared" si="169"/>
        <v>9.69</v>
      </c>
      <c r="K2746" s="7">
        <f t="shared" si="170"/>
        <v>46174</v>
      </c>
      <c r="L2746" t="str">
        <f t="shared" si="171"/>
        <v>Q2-2026</v>
      </c>
    </row>
    <row r="2747" spans="1:12">
      <c r="A2747" s="6">
        <v>46189</v>
      </c>
      <c r="B2747" t="s">
        <v>8</v>
      </c>
      <c r="C2747" t="s">
        <v>9</v>
      </c>
      <c r="D2747" s="2">
        <v>1313.400024414062</v>
      </c>
      <c r="E2747" s="2">
        <v>1333.400024414062</v>
      </c>
      <c r="F2747" s="2">
        <v>1306.400024414062</v>
      </c>
      <c r="G2747" s="2">
        <v>1328.800048828125</v>
      </c>
      <c r="H2747" s="3">
        <v>18513223</v>
      </c>
      <c r="I2747" s="4">
        <f t="shared" si="168"/>
        <v>-0.53</v>
      </c>
      <c r="J2747" s="2">
        <f t="shared" si="169"/>
        <v>4.5999999999999996</v>
      </c>
      <c r="K2747" s="7">
        <f t="shared" si="170"/>
        <v>46174</v>
      </c>
      <c r="L2747" t="str">
        <f t="shared" si="171"/>
        <v>Q2-2026</v>
      </c>
    </row>
    <row r="2748" spans="1:12">
      <c r="A2748" s="6">
        <v>46189</v>
      </c>
      <c r="B2748" t="s">
        <v>10</v>
      </c>
      <c r="C2748" t="s">
        <v>11</v>
      </c>
      <c r="D2748" s="2">
        <v>2155.1832859929232</v>
      </c>
      <c r="E2748" s="2">
        <v>2196.9542587717428</v>
      </c>
      <c r="F2748" s="2">
        <v>2148.8182825027352</v>
      </c>
      <c r="G2748" s="2">
        <v>2187.0087890625</v>
      </c>
      <c r="H2748" s="3">
        <v>3079898</v>
      </c>
      <c r="I2748" s="4">
        <f t="shared" si="168"/>
        <v>-0.3</v>
      </c>
      <c r="J2748" s="2">
        <f t="shared" si="169"/>
        <v>9.9499999999999993</v>
      </c>
      <c r="K2748" s="7">
        <f t="shared" si="170"/>
        <v>46174</v>
      </c>
      <c r="L2748" t="str">
        <f t="shared" si="171"/>
        <v>Q2-2026</v>
      </c>
    </row>
    <row r="2749" spans="1:12">
      <c r="A2749" s="6">
        <v>46189</v>
      </c>
      <c r="B2749" t="s">
        <v>12</v>
      </c>
      <c r="C2749" t="s">
        <v>13</v>
      </c>
      <c r="D2749" s="2">
        <v>1136.900024414062</v>
      </c>
      <c r="E2749" s="2">
        <v>1153.800048828125</v>
      </c>
      <c r="F2749" s="2">
        <v>1123.199951171875</v>
      </c>
      <c r="G2749" s="2">
        <v>1143.599975585938</v>
      </c>
      <c r="H2749" s="3">
        <v>10456090</v>
      </c>
      <c r="I2749" s="4">
        <f t="shared" si="168"/>
        <v>-1.21</v>
      </c>
      <c r="J2749" s="2">
        <f t="shared" si="169"/>
        <v>10.199999999999999</v>
      </c>
      <c r="K2749" s="7">
        <f t="shared" si="170"/>
        <v>46174</v>
      </c>
      <c r="L2749" t="str">
        <f t="shared" si="171"/>
        <v>Q2-2026</v>
      </c>
    </row>
    <row r="2750" spans="1:12">
      <c r="A2750" s="6">
        <v>46189</v>
      </c>
      <c r="B2750" t="s">
        <v>14</v>
      </c>
      <c r="C2750" t="s">
        <v>15</v>
      </c>
      <c r="D2750" s="2">
        <v>767.80102092551658</v>
      </c>
      <c r="E2750" s="2">
        <v>774.88388668238372</v>
      </c>
      <c r="F2750" s="2">
        <v>766.76811676228692</v>
      </c>
      <c r="G2750" s="2">
        <v>772.12945556640625</v>
      </c>
      <c r="H2750" s="3">
        <v>27820970</v>
      </c>
      <c r="I2750" s="4">
        <f t="shared" si="168"/>
        <v>-0.13</v>
      </c>
      <c r="J2750" s="2">
        <f t="shared" si="169"/>
        <v>2.75</v>
      </c>
      <c r="K2750" s="7">
        <f t="shared" si="170"/>
        <v>46174</v>
      </c>
      <c r="L2750" t="str">
        <f t="shared" si="171"/>
        <v>Q2-2026</v>
      </c>
    </row>
    <row r="2751" spans="1:12">
      <c r="A2751" s="6">
        <v>46189</v>
      </c>
      <c r="B2751" t="s">
        <v>16</v>
      </c>
      <c r="C2751" t="s">
        <v>17</v>
      </c>
      <c r="D2751" s="2">
        <v>1320.765303528013</v>
      </c>
      <c r="E2751" s="2">
        <v>1326.1201835892521</v>
      </c>
      <c r="F2751" s="2">
        <v>1315.212143892204</v>
      </c>
      <c r="G2751" s="2">
        <v>1323.145263671875</v>
      </c>
      <c r="H2751" s="3">
        <v>13069159</v>
      </c>
      <c r="I2751" s="4">
        <f t="shared" si="168"/>
        <v>-0.42</v>
      </c>
      <c r="J2751" s="2">
        <f t="shared" si="169"/>
        <v>2.97</v>
      </c>
      <c r="K2751" s="7">
        <f t="shared" si="170"/>
        <v>46174</v>
      </c>
      <c r="L2751" t="str">
        <f t="shared" si="171"/>
        <v>Q2-2026</v>
      </c>
    </row>
    <row r="2752" spans="1:12">
      <c r="A2752" s="6">
        <v>46189</v>
      </c>
      <c r="B2752" t="s">
        <v>18</v>
      </c>
      <c r="C2752" t="s">
        <v>19</v>
      </c>
      <c r="D2752" s="2">
        <v>180.33049322515501</v>
      </c>
      <c r="E2752" s="2">
        <v>181.30931980268289</v>
      </c>
      <c r="F2752" s="2">
        <v>179.579080402496</v>
      </c>
      <c r="G2752" s="2">
        <v>180.6073303222656</v>
      </c>
      <c r="H2752" s="3">
        <v>11706020</v>
      </c>
      <c r="I2752" s="4">
        <f t="shared" si="168"/>
        <v>-0.42</v>
      </c>
      <c r="J2752" s="2">
        <f t="shared" si="169"/>
        <v>0.7</v>
      </c>
      <c r="K2752" s="7">
        <f t="shared" si="170"/>
        <v>46174</v>
      </c>
      <c r="L2752" t="str">
        <f t="shared" si="171"/>
        <v>Q2-2026</v>
      </c>
    </row>
    <row r="2753" spans="1:12">
      <c r="A2753" s="6">
        <v>46189</v>
      </c>
      <c r="B2753" t="s">
        <v>20</v>
      </c>
      <c r="C2753" t="s">
        <v>21</v>
      </c>
      <c r="D2753" s="2">
        <v>1129.4688977693261</v>
      </c>
      <c r="E2753" s="2">
        <v>1150.157703674937</v>
      </c>
      <c r="F2753" s="2">
        <v>1126.0042692485611</v>
      </c>
      <c r="G2753" s="2">
        <v>1147.286987304688</v>
      </c>
      <c r="H2753" s="3">
        <v>8343470</v>
      </c>
      <c r="I2753" s="4">
        <f t="shared" si="168"/>
        <v>-0.31</v>
      </c>
      <c r="J2753" s="2">
        <f t="shared" si="169"/>
        <v>2.87</v>
      </c>
      <c r="K2753" s="7">
        <f t="shared" si="170"/>
        <v>46174</v>
      </c>
      <c r="L2753" t="str">
        <f t="shared" si="171"/>
        <v>Q2-2026</v>
      </c>
    </row>
    <row r="2754" spans="1:12">
      <c r="A2754" s="6">
        <v>46189</v>
      </c>
      <c r="B2754" t="s">
        <v>22</v>
      </c>
      <c r="C2754" t="s">
        <v>23</v>
      </c>
      <c r="D2754" s="2">
        <v>940.2202381671683</v>
      </c>
      <c r="E2754" s="2">
        <v>958.010899073921</v>
      </c>
      <c r="F2754" s="2">
        <v>940.2202381671683</v>
      </c>
      <c r="G2754" s="2">
        <v>953.786865234375</v>
      </c>
      <c r="H2754" s="3">
        <v>9335988</v>
      </c>
      <c r="I2754" s="4">
        <f t="shared" ref="I2754:I2817" si="172">ROUND(((F2754-D2754)/D2754)*100, 2)</f>
        <v>0</v>
      </c>
      <c r="J2754" s="2">
        <f t="shared" ref="J2754:J2817" si="173">ROUND(E2754-G2754, 2)</f>
        <v>4.22</v>
      </c>
      <c r="K2754" s="7">
        <f t="shared" ref="K2754:K2817" si="174">DATE(YEAR(A2754),MONTH(A2754),1)</f>
        <v>46174</v>
      </c>
      <c r="L2754" t="str">
        <f t="shared" ref="L2754:L2817" si="175">"Q"&amp;INT((MONTH(A2754)-1)/3)+1&amp;"-"&amp;YEAR(A2754)</f>
        <v>Q2-2026</v>
      </c>
    </row>
    <row r="2755" spans="1:12">
      <c r="A2755" s="6">
        <v>46189</v>
      </c>
      <c r="B2755" t="s">
        <v>24</v>
      </c>
      <c r="C2755" t="s">
        <v>25</v>
      </c>
      <c r="D2755" s="2">
        <v>13723.177826460471</v>
      </c>
      <c r="E2755" s="2">
        <v>13736.048565349731</v>
      </c>
      <c r="F2755" s="2">
        <v>13525.16645893345</v>
      </c>
      <c r="G2755" s="2">
        <v>13554.8681640625</v>
      </c>
      <c r="H2755" s="3">
        <v>280511</v>
      </c>
      <c r="I2755" s="4">
        <f t="shared" si="172"/>
        <v>-1.44</v>
      </c>
      <c r="J2755" s="2">
        <f t="shared" si="173"/>
        <v>181.18</v>
      </c>
      <c r="K2755" s="7">
        <f t="shared" si="174"/>
        <v>46174</v>
      </c>
      <c r="L2755" t="str">
        <f t="shared" si="175"/>
        <v>Q2-2026</v>
      </c>
    </row>
    <row r="2756" spans="1:12">
      <c r="A2756" s="6">
        <v>46189</v>
      </c>
      <c r="B2756" t="s">
        <v>26</v>
      </c>
      <c r="C2756" t="s">
        <v>27</v>
      </c>
      <c r="D2756" s="2">
        <v>395.02316172147209</v>
      </c>
      <c r="E2756" s="2">
        <v>395.37028831416598</v>
      </c>
      <c r="F2756" s="2">
        <v>384.36160229728978</v>
      </c>
      <c r="G2756" s="2">
        <v>390.36184692382813</v>
      </c>
      <c r="H2756" s="3">
        <v>6432360</v>
      </c>
      <c r="I2756" s="4">
        <f t="shared" si="172"/>
        <v>-2.7</v>
      </c>
      <c r="J2756" s="2">
        <f t="shared" si="173"/>
        <v>5.01</v>
      </c>
      <c r="K2756" s="7">
        <f t="shared" si="174"/>
        <v>46174</v>
      </c>
      <c r="L2756" t="str">
        <f t="shared" si="175"/>
        <v>Q2-2026</v>
      </c>
    </row>
    <row r="2757" spans="1:12">
      <c r="A2757" s="6">
        <v>46189</v>
      </c>
      <c r="B2757" t="s">
        <v>28</v>
      </c>
      <c r="C2757" t="s">
        <v>29</v>
      </c>
      <c r="D2757" s="2">
        <v>1803.2740089811541</v>
      </c>
      <c r="E2757" s="2">
        <v>1805.169066858537</v>
      </c>
      <c r="F2757" s="2">
        <v>1787.9142392004269</v>
      </c>
      <c r="G2757" s="2">
        <v>1795.993041992188</v>
      </c>
      <c r="H2757" s="3">
        <v>1373638</v>
      </c>
      <c r="I2757" s="4">
        <f t="shared" si="172"/>
        <v>-0.85</v>
      </c>
      <c r="J2757" s="2">
        <f t="shared" si="173"/>
        <v>9.18</v>
      </c>
      <c r="K2757" s="7">
        <f t="shared" si="174"/>
        <v>46174</v>
      </c>
      <c r="L2757" t="str">
        <f t="shared" si="175"/>
        <v>Q2-2026</v>
      </c>
    </row>
    <row r="2758" spans="1:12">
      <c r="A2758" s="6">
        <v>46189</v>
      </c>
      <c r="B2758" t="s">
        <v>30</v>
      </c>
      <c r="C2758" t="s">
        <v>31</v>
      </c>
      <c r="D2758" s="2">
        <v>2717.423619460817</v>
      </c>
      <c r="E2758" s="2">
        <v>2747.1655780831529</v>
      </c>
      <c r="F2758" s="2">
        <v>2711.47522773635</v>
      </c>
      <c r="G2758" s="2">
        <v>2724.462646484375</v>
      </c>
      <c r="H2758" s="3">
        <v>962931</v>
      </c>
      <c r="I2758" s="4">
        <f t="shared" si="172"/>
        <v>-0.22</v>
      </c>
      <c r="J2758" s="2">
        <f t="shared" si="173"/>
        <v>22.7</v>
      </c>
      <c r="K2758" s="7">
        <f t="shared" si="174"/>
        <v>46174</v>
      </c>
      <c r="L2758" t="str">
        <f t="shared" si="175"/>
        <v>Q2-2026</v>
      </c>
    </row>
    <row r="2759" spans="1:12">
      <c r="A2759" s="6">
        <v>46189</v>
      </c>
      <c r="B2759" t="s">
        <v>32</v>
      </c>
      <c r="C2759" t="s">
        <v>33</v>
      </c>
      <c r="D2759" s="2">
        <v>2139.2405659215228</v>
      </c>
      <c r="E2759" s="2">
        <v>2186.7572467008999</v>
      </c>
      <c r="F2759" s="2">
        <v>2138.349724829844</v>
      </c>
      <c r="G2759" s="2">
        <v>2177.748779296875</v>
      </c>
      <c r="H2759" s="3">
        <v>1337309</v>
      </c>
      <c r="I2759" s="4">
        <f t="shared" si="172"/>
        <v>-0.04</v>
      </c>
      <c r="J2759" s="2">
        <f t="shared" si="173"/>
        <v>9.01</v>
      </c>
      <c r="K2759" s="7">
        <f t="shared" si="174"/>
        <v>46174</v>
      </c>
      <c r="L2759" t="str">
        <f t="shared" si="175"/>
        <v>Q2-2026</v>
      </c>
    </row>
    <row r="2760" spans="1:12">
      <c r="A2760" s="6">
        <v>46189</v>
      </c>
      <c r="B2760" t="s">
        <v>34</v>
      </c>
      <c r="C2760" t="s">
        <v>35</v>
      </c>
      <c r="D2760" s="2">
        <v>4205</v>
      </c>
      <c r="E2760" s="2">
        <v>4235.39990234375</v>
      </c>
      <c r="F2760" s="2">
        <v>4177.10009765625</v>
      </c>
      <c r="G2760" s="2">
        <v>4186.39990234375</v>
      </c>
      <c r="H2760" s="3">
        <v>2647549</v>
      </c>
      <c r="I2760" s="4">
        <f t="shared" si="172"/>
        <v>-0.66</v>
      </c>
      <c r="J2760" s="2">
        <f t="shared" si="173"/>
        <v>49</v>
      </c>
      <c r="K2760" s="7">
        <f t="shared" si="174"/>
        <v>46174</v>
      </c>
      <c r="L2760" t="str">
        <f t="shared" si="175"/>
        <v>Q2-2026</v>
      </c>
    </row>
    <row r="2761" spans="1:12">
      <c r="A2761" s="6">
        <v>46189</v>
      </c>
      <c r="B2761" t="s">
        <v>36</v>
      </c>
      <c r="C2761" t="s">
        <v>37</v>
      </c>
      <c r="D2761" s="2">
        <v>1362.44920517985</v>
      </c>
      <c r="E2761" s="2">
        <v>1370.443039900377</v>
      </c>
      <c r="F2761" s="2">
        <v>1348.1601768264129</v>
      </c>
      <c r="G2761" s="2">
        <v>1364.6474609375</v>
      </c>
      <c r="H2761" s="3">
        <v>7709061</v>
      </c>
      <c r="I2761" s="4">
        <f t="shared" si="172"/>
        <v>-1.05</v>
      </c>
      <c r="J2761" s="2">
        <f t="shared" si="173"/>
        <v>5.8</v>
      </c>
      <c r="K2761" s="7">
        <f t="shared" si="174"/>
        <v>46174</v>
      </c>
      <c r="L2761" t="str">
        <f t="shared" si="175"/>
        <v>Q2-2026</v>
      </c>
    </row>
    <row r="2762" spans="1:12">
      <c r="A2762" s="6">
        <v>46190</v>
      </c>
      <c r="B2762" t="s">
        <v>8</v>
      </c>
      <c r="C2762" t="s">
        <v>9</v>
      </c>
      <c r="D2762" s="2">
        <v>1333</v>
      </c>
      <c r="E2762" s="2">
        <v>1334</v>
      </c>
      <c r="F2762" s="2">
        <v>1317</v>
      </c>
      <c r="G2762" s="2">
        <v>1332.699951171875</v>
      </c>
      <c r="H2762" s="3">
        <v>10029170</v>
      </c>
      <c r="I2762" s="4">
        <f t="shared" si="172"/>
        <v>-1.2</v>
      </c>
      <c r="J2762" s="2">
        <f t="shared" si="173"/>
        <v>1.3</v>
      </c>
      <c r="K2762" s="7">
        <f t="shared" si="174"/>
        <v>46174</v>
      </c>
      <c r="L2762" t="str">
        <f t="shared" si="175"/>
        <v>Q2-2026</v>
      </c>
    </row>
    <row r="2763" spans="1:12">
      <c r="A2763" s="6">
        <v>46190</v>
      </c>
      <c r="B2763" t="s">
        <v>10</v>
      </c>
      <c r="C2763" t="s">
        <v>11</v>
      </c>
      <c r="D2763" s="2">
        <v>2196.954272010656</v>
      </c>
      <c r="E2763" s="2">
        <v>2218.834305502839</v>
      </c>
      <c r="F2763" s="2">
        <v>2188.6994835403771</v>
      </c>
      <c r="G2763" s="2">
        <v>2210.8779296875</v>
      </c>
      <c r="H2763" s="3">
        <v>2865010</v>
      </c>
      <c r="I2763" s="4">
        <f t="shared" si="172"/>
        <v>-0.38</v>
      </c>
      <c r="J2763" s="2">
        <f t="shared" si="173"/>
        <v>7.96</v>
      </c>
      <c r="K2763" s="7">
        <f t="shared" si="174"/>
        <v>46174</v>
      </c>
      <c r="L2763" t="str">
        <f t="shared" si="175"/>
        <v>Q2-2026</v>
      </c>
    </row>
    <row r="2764" spans="1:12">
      <c r="A2764" s="6">
        <v>46190</v>
      </c>
      <c r="B2764" t="s">
        <v>12</v>
      </c>
      <c r="C2764" t="s">
        <v>13</v>
      </c>
      <c r="D2764" s="2">
        <v>1149</v>
      </c>
      <c r="E2764" s="2">
        <v>1162.5</v>
      </c>
      <c r="F2764" s="2">
        <v>1148</v>
      </c>
      <c r="G2764" s="2">
        <v>1157.699951171875</v>
      </c>
      <c r="H2764" s="3">
        <v>5995119</v>
      </c>
      <c r="I2764" s="4">
        <f t="shared" si="172"/>
        <v>-0.09</v>
      </c>
      <c r="J2764" s="2">
        <f t="shared" si="173"/>
        <v>4.8</v>
      </c>
      <c r="K2764" s="7">
        <f t="shared" si="174"/>
        <v>46174</v>
      </c>
      <c r="L2764" t="str">
        <f t="shared" si="175"/>
        <v>Q2-2026</v>
      </c>
    </row>
    <row r="2765" spans="1:12">
      <c r="A2765" s="6">
        <v>46190</v>
      </c>
      <c r="B2765" t="s">
        <v>14</v>
      </c>
      <c r="C2765" t="s">
        <v>15</v>
      </c>
      <c r="D2765" s="2">
        <v>774.83467843966434</v>
      </c>
      <c r="E2765" s="2">
        <v>781.37644454976305</v>
      </c>
      <c r="F2765" s="2">
        <v>770.35866052390577</v>
      </c>
      <c r="G2765" s="2">
        <v>774.2935791015625</v>
      </c>
      <c r="H2765" s="3">
        <v>32405604</v>
      </c>
      <c r="I2765" s="4">
        <f t="shared" si="172"/>
        <v>-0.57999999999999996</v>
      </c>
      <c r="J2765" s="2">
        <f t="shared" si="173"/>
        <v>7.08</v>
      </c>
      <c r="K2765" s="7">
        <f t="shared" si="174"/>
        <v>46174</v>
      </c>
      <c r="L2765" t="str">
        <f t="shared" si="175"/>
        <v>Q2-2026</v>
      </c>
    </row>
    <row r="2766" spans="1:12">
      <c r="A2766" s="6">
        <v>46190</v>
      </c>
      <c r="B2766" t="s">
        <v>16</v>
      </c>
      <c r="C2766" t="s">
        <v>17</v>
      </c>
      <c r="D2766" s="2">
        <v>1330.780869186616</v>
      </c>
      <c r="E2766" s="2">
        <v>1334.7474291543861</v>
      </c>
      <c r="F2766" s="2">
        <v>1322.2527894658731</v>
      </c>
      <c r="G2766" s="2">
        <v>1325.624389648438</v>
      </c>
      <c r="H2766" s="3">
        <v>8026424</v>
      </c>
      <c r="I2766" s="4">
        <f t="shared" si="172"/>
        <v>-0.64</v>
      </c>
      <c r="J2766" s="2">
        <f t="shared" si="173"/>
        <v>9.1199999999999992</v>
      </c>
      <c r="K2766" s="7">
        <f t="shared" si="174"/>
        <v>46174</v>
      </c>
      <c r="L2766" t="str">
        <f t="shared" si="175"/>
        <v>Q2-2026</v>
      </c>
    </row>
    <row r="2767" spans="1:12">
      <c r="A2767" s="6">
        <v>46190</v>
      </c>
      <c r="B2767" t="s">
        <v>18</v>
      </c>
      <c r="C2767" t="s">
        <v>19</v>
      </c>
      <c r="D2767" s="2">
        <v>181.92231459128001</v>
      </c>
      <c r="E2767" s="2">
        <v>183.15819988062299</v>
      </c>
      <c r="F2767" s="2">
        <v>181.50705894443959</v>
      </c>
      <c r="G2767" s="2">
        <v>182.38700866699219</v>
      </c>
      <c r="H2767" s="3">
        <v>16131548</v>
      </c>
      <c r="I2767" s="4">
        <f t="shared" si="172"/>
        <v>-0.23</v>
      </c>
      <c r="J2767" s="2">
        <f t="shared" si="173"/>
        <v>0.77</v>
      </c>
      <c r="K2767" s="7">
        <f t="shared" si="174"/>
        <v>46174</v>
      </c>
      <c r="L2767" t="str">
        <f t="shared" si="175"/>
        <v>Q2-2026</v>
      </c>
    </row>
    <row r="2768" spans="1:12">
      <c r="A2768" s="6">
        <v>46190</v>
      </c>
      <c r="B2768" t="s">
        <v>20</v>
      </c>
      <c r="C2768" t="s">
        <v>21</v>
      </c>
      <c r="D2768" s="2">
        <v>1157.1860191207211</v>
      </c>
      <c r="E2768" s="2">
        <v>1161.7395070902201</v>
      </c>
      <c r="F2768" s="2">
        <v>1147.58409621033</v>
      </c>
      <c r="G2768" s="2">
        <v>1155.00830078125</v>
      </c>
      <c r="H2768" s="3">
        <v>2263670</v>
      </c>
      <c r="I2768" s="4">
        <f t="shared" si="172"/>
        <v>-0.83</v>
      </c>
      <c r="J2768" s="2">
        <f t="shared" si="173"/>
        <v>6.73</v>
      </c>
      <c r="K2768" s="7">
        <f t="shared" si="174"/>
        <v>46174</v>
      </c>
      <c r="L2768" t="str">
        <f t="shared" si="175"/>
        <v>Q2-2026</v>
      </c>
    </row>
    <row r="2769" spans="1:12">
      <c r="A2769" s="6">
        <v>46190</v>
      </c>
      <c r="B2769" t="s">
        <v>22</v>
      </c>
      <c r="C2769" t="s">
        <v>23</v>
      </c>
      <c r="D2769" s="2">
        <v>949.26466891053508</v>
      </c>
      <c r="E2769" s="2">
        <v>955.92374652751676</v>
      </c>
      <c r="F2769" s="2">
        <v>945.73637022655532</v>
      </c>
      <c r="G2769" s="2">
        <v>952.5445556640625</v>
      </c>
      <c r="H2769" s="3">
        <v>5682977</v>
      </c>
      <c r="I2769" s="4">
        <f t="shared" si="172"/>
        <v>-0.37</v>
      </c>
      <c r="J2769" s="2">
        <f t="shared" si="173"/>
        <v>3.38</v>
      </c>
      <c r="K2769" s="7">
        <f t="shared" si="174"/>
        <v>46174</v>
      </c>
      <c r="L2769" t="str">
        <f t="shared" si="175"/>
        <v>Q2-2026</v>
      </c>
    </row>
    <row r="2770" spans="1:12">
      <c r="A2770" s="6">
        <v>46190</v>
      </c>
      <c r="B2770" t="s">
        <v>24</v>
      </c>
      <c r="C2770" t="s">
        <v>25</v>
      </c>
      <c r="D2770" s="2">
        <v>13563.778587559609</v>
      </c>
      <c r="E2770" s="2">
        <v>13603.38086080796</v>
      </c>
      <c r="F2770" s="2">
        <v>13425.170631190391</v>
      </c>
      <c r="G2770" s="2">
        <v>13494.474609375</v>
      </c>
      <c r="H2770" s="3">
        <v>241534</v>
      </c>
      <c r="I2770" s="4">
        <f t="shared" si="172"/>
        <v>-1.02</v>
      </c>
      <c r="J2770" s="2">
        <f t="shared" si="173"/>
        <v>108.91</v>
      </c>
      <c r="K2770" s="7">
        <f t="shared" si="174"/>
        <v>46174</v>
      </c>
      <c r="L2770" t="str">
        <f t="shared" si="175"/>
        <v>Q2-2026</v>
      </c>
    </row>
    <row r="2771" spans="1:12">
      <c r="A2771" s="6">
        <v>46190</v>
      </c>
      <c r="B2771" t="s">
        <v>26</v>
      </c>
      <c r="C2771" t="s">
        <v>27</v>
      </c>
      <c r="D2771" s="2">
        <v>392.24621305572299</v>
      </c>
      <c r="E2771" s="2">
        <v>392.34539640688979</v>
      </c>
      <c r="F2771" s="2">
        <v>352.07940742043411</v>
      </c>
      <c r="G2771" s="2">
        <v>357.98046875</v>
      </c>
      <c r="H2771" s="3">
        <v>51987488</v>
      </c>
      <c r="I2771" s="4">
        <f t="shared" si="172"/>
        <v>-10.24</v>
      </c>
      <c r="J2771" s="2">
        <f t="shared" si="173"/>
        <v>34.36</v>
      </c>
      <c r="K2771" s="7">
        <f t="shared" si="174"/>
        <v>46174</v>
      </c>
      <c r="L2771" t="str">
        <f t="shared" si="175"/>
        <v>Q2-2026</v>
      </c>
    </row>
    <row r="2772" spans="1:12">
      <c r="A2772" s="6">
        <v>46190</v>
      </c>
      <c r="B2772" t="s">
        <v>28</v>
      </c>
      <c r="C2772" t="s">
        <v>29</v>
      </c>
      <c r="D2772" s="2">
        <v>1809.258306450796</v>
      </c>
      <c r="E2772" s="2">
        <v>1818.633759731933</v>
      </c>
      <c r="F2772" s="2">
        <v>1797.888081056703</v>
      </c>
      <c r="G2772" s="2">
        <v>1815.6416015625</v>
      </c>
      <c r="H2772" s="3">
        <v>1771990</v>
      </c>
      <c r="I2772" s="4">
        <f t="shared" si="172"/>
        <v>-0.63</v>
      </c>
      <c r="J2772" s="2">
        <f t="shared" si="173"/>
        <v>2.99</v>
      </c>
      <c r="K2772" s="7">
        <f t="shared" si="174"/>
        <v>46174</v>
      </c>
      <c r="L2772" t="str">
        <f t="shared" si="175"/>
        <v>Q2-2026</v>
      </c>
    </row>
    <row r="2773" spans="1:12">
      <c r="A2773" s="6">
        <v>46190</v>
      </c>
      <c r="B2773" t="s">
        <v>30</v>
      </c>
      <c r="C2773" t="s">
        <v>31</v>
      </c>
      <c r="D2773" s="2">
        <v>2740.2258274031001</v>
      </c>
      <c r="E2773" s="2">
        <v>2745.0835838987932</v>
      </c>
      <c r="F2773" s="2">
        <v>2708.9967703976022</v>
      </c>
      <c r="G2773" s="2">
        <v>2714.449462890625</v>
      </c>
      <c r="H2773" s="3">
        <v>557209</v>
      </c>
      <c r="I2773" s="4">
        <f t="shared" si="172"/>
        <v>-1.1399999999999999</v>
      </c>
      <c r="J2773" s="2">
        <f t="shared" si="173"/>
        <v>30.63</v>
      </c>
      <c r="K2773" s="7">
        <f t="shared" si="174"/>
        <v>46174</v>
      </c>
      <c r="L2773" t="str">
        <f t="shared" si="175"/>
        <v>Q2-2026</v>
      </c>
    </row>
    <row r="2774" spans="1:12">
      <c r="A2774" s="6">
        <v>46190</v>
      </c>
      <c r="B2774" t="s">
        <v>32</v>
      </c>
      <c r="C2774" t="s">
        <v>33</v>
      </c>
      <c r="D2774" s="2">
        <v>2178.9369260000281</v>
      </c>
      <c r="E2774" s="2">
        <v>2202.2003013528911</v>
      </c>
      <c r="F2774" s="2">
        <v>2161.0190806510559</v>
      </c>
      <c r="G2774" s="2">
        <v>2175.47216796875</v>
      </c>
      <c r="H2774" s="3">
        <v>1511401</v>
      </c>
      <c r="I2774" s="4">
        <f t="shared" si="172"/>
        <v>-0.82</v>
      </c>
      <c r="J2774" s="2">
        <f t="shared" si="173"/>
        <v>26.73</v>
      </c>
      <c r="K2774" s="7">
        <f t="shared" si="174"/>
        <v>46174</v>
      </c>
      <c r="L2774" t="str">
        <f t="shared" si="175"/>
        <v>Q2-2026</v>
      </c>
    </row>
    <row r="2775" spans="1:12">
      <c r="A2775" s="6">
        <v>46190</v>
      </c>
      <c r="B2775" t="s">
        <v>34</v>
      </c>
      <c r="C2775" t="s">
        <v>35</v>
      </c>
      <c r="D2775" s="2">
        <v>4200.10009765625</v>
      </c>
      <c r="E2775" s="2">
        <v>4214.7001953125</v>
      </c>
      <c r="F2775" s="2">
        <v>4172</v>
      </c>
      <c r="G2775" s="2">
        <v>4207.7001953125</v>
      </c>
      <c r="H2775" s="3">
        <v>1312925</v>
      </c>
      <c r="I2775" s="4">
        <f t="shared" si="172"/>
        <v>-0.67</v>
      </c>
      <c r="J2775" s="2">
        <f t="shared" si="173"/>
        <v>7</v>
      </c>
      <c r="K2775" s="7">
        <f t="shared" si="174"/>
        <v>46174</v>
      </c>
      <c r="L2775" t="str">
        <f t="shared" si="175"/>
        <v>Q2-2026</v>
      </c>
    </row>
    <row r="2776" spans="1:12">
      <c r="A2776" s="6">
        <v>46190</v>
      </c>
      <c r="B2776" t="s">
        <v>36</v>
      </c>
      <c r="C2776" t="s">
        <v>37</v>
      </c>
      <c r="D2776" s="2">
        <v>1363.048787960663</v>
      </c>
      <c r="E2776" s="2">
        <v>1364.6475305911231</v>
      </c>
      <c r="F2776" s="2">
        <v>1348.260266158602</v>
      </c>
      <c r="G2776" s="2">
        <v>1349.859008789062</v>
      </c>
      <c r="H2776" s="3">
        <v>4761917</v>
      </c>
      <c r="I2776" s="4">
        <f t="shared" si="172"/>
        <v>-1.08</v>
      </c>
      <c r="J2776" s="2">
        <f t="shared" si="173"/>
        <v>14.79</v>
      </c>
      <c r="K2776" s="7">
        <f t="shared" si="174"/>
        <v>46174</v>
      </c>
      <c r="L2776" t="str">
        <f t="shared" si="175"/>
        <v>Q2-2026</v>
      </c>
    </row>
    <row r="2777" spans="1:12">
      <c r="A2777" s="6">
        <v>46191</v>
      </c>
      <c r="B2777" t="s">
        <v>8</v>
      </c>
      <c r="C2777" t="s">
        <v>9</v>
      </c>
      <c r="D2777" s="2">
        <v>1330</v>
      </c>
      <c r="E2777" s="2">
        <v>1333.900024414062</v>
      </c>
      <c r="F2777" s="2">
        <v>1322</v>
      </c>
      <c r="G2777" s="2">
        <v>1328.099975585938</v>
      </c>
      <c r="H2777" s="3">
        <v>15494549</v>
      </c>
      <c r="I2777" s="4">
        <f t="shared" si="172"/>
        <v>-0.6</v>
      </c>
      <c r="J2777" s="2">
        <f t="shared" si="173"/>
        <v>5.8</v>
      </c>
      <c r="K2777" s="7">
        <f t="shared" si="174"/>
        <v>46174</v>
      </c>
      <c r="L2777" t="str">
        <f t="shared" si="175"/>
        <v>Q2-2026</v>
      </c>
    </row>
    <row r="2778" spans="1:12">
      <c r="A2778" s="6">
        <v>46191</v>
      </c>
      <c r="B2778" t="s">
        <v>10</v>
      </c>
      <c r="C2778" t="s">
        <v>11</v>
      </c>
      <c r="D2778" s="2">
        <v>2196.9542695909472</v>
      </c>
      <c r="E2778" s="2">
        <v>2201.927004470057</v>
      </c>
      <c r="F2778" s="2">
        <v>2170.101501243751</v>
      </c>
      <c r="G2778" s="2">
        <v>2191.285400390625</v>
      </c>
      <c r="H2778" s="3">
        <v>3735188</v>
      </c>
      <c r="I2778" s="4">
        <f t="shared" si="172"/>
        <v>-1.22</v>
      </c>
      <c r="J2778" s="2">
        <f t="shared" si="173"/>
        <v>10.64</v>
      </c>
      <c r="K2778" s="7">
        <f t="shared" si="174"/>
        <v>46174</v>
      </c>
      <c r="L2778" t="str">
        <f t="shared" si="175"/>
        <v>Q2-2026</v>
      </c>
    </row>
    <row r="2779" spans="1:12">
      <c r="A2779" s="6">
        <v>46191</v>
      </c>
      <c r="B2779" t="s">
        <v>12</v>
      </c>
      <c r="C2779" t="s">
        <v>13</v>
      </c>
      <c r="D2779" s="2">
        <v>1142.900024414062</v>
      </c>
      <c r="E2779" s="2">
        <v>1142.900024414062</v>
      </c>
      <c r="F2779" s="2">
        <v>1125.300048828125</v>
      </c>
      <c r="G2779" s="2">
        <v>1127.5</v>
      </c>
      <c r="H2779" s="3">
        <v>16781447</v>
      </c>
      <c r="I2779" s="4">
        <f t="shared" si="172"/>
        <v>-1.54</v>
      </c>
      <c r="J2779" s="2">
        <f t="shared" si="173"/>
        <v>15.4</v>
      </c>
      <c r="K2779" s="7">
        <f t="shared" si="174"/>
        <v>46174</v>
      </c>
      <c r="L2779" t="str">
        <f t="shared" si="175"/>
        <v>Q2-2026</v>
      </c>
    </row>
    <row r="2780" spans="1:12">
      <c r="A2780" s="6">
        <v>46191</v>
      </c>
      <c r="B2780" t="s">
        <v>14</v>
      </c>
      <c r="C2780" t="s">
        <v>15</v>
      </c>
      <c r="D2780" s="2">
        <v>773.70337922403007</v>
      </c>
      <c r="E2780" s="2">
        <v>789.88574417362531</v>
      </c>
      <c r="F2780" s="2">
        <v>773.40827233382549</v>
      </c>
      <c r="G2780" s="2">
        <v>786</v>
      </c>
      <c r="H2780" s="3">
        <v>41492071</v>
      </c>
      <c r="I2780" s="4">
        <f t="shared" si="172"/>
        <v>-0.04</v>
      </c>
      <c r="J2780" s="2">
        <f t="shared" si="173"/>
        <v>3.89</v>
      </c>
      <c r="K2780" s="7">
        <f t="shared" si="174"/>
        <v>46174</v>
      </c>
      <c r="L2780" t="str">
        <f t="shared" si="175"/>
        <v>Q2-2026</v>
      </c>
    </row>
    <row r="2781" spans="1:12">
      <c r="A2781" s="6">
        <v>46191</v>
      </c>
      <c r="B2781" t="s">
        <v>16</v>
      </c>
      <c r="C2781" t="s">
        <v>17</v>
      </c>
      <c r="D2781" s="2">
        <v>1322.451028843107</v>
      </c>
      <c r="E2781" s="2">
        <v>1335.6398887549331</v>
      </c>
      <c r="F2781" s="2">
        <v>1320.269469347073</v>
      </c>
      <c r="G2781" s="2">
        <v>1331.078369140625</v>
      </c>
      <c r="H2781" s="3">
        <v>13467985</v>
      </c>
      <c r="I2781" s="4">
        <f t="shared" si="172"/>
        <v>-0.16</v>
      </c>
      <c r="J2781" s="2">
        <f t="shared" si="173"/>
        <v>4.5599999999999996</v>
      </c>
      <c r="K2781" s="7">
        <f t="shared" si="174"/>
        <v>46174</v>
      </c>
      <c r="L2781" t="str">
        <f t="shared" si="175"/>
        <v>Q2-2026</v>
      </c>
    </row>
    <row r="2782" spans="1:12">
      <c r="A2782" s="6">
        <v>46191</v>
      </c>
      <c r="B2782" t="s">
        <v>18</v>
      </c>
      <c r="C2782" t="s">
        <v>19</v>
      </c>
      <c r="D2782" s="2">
        <v>182.38700509722619</v>
      </c>
      <c r="E2782" s="2">
        <v>182.67372384068619</v>
      </c>
      <c r="F2782" s="2">
        <v>179.65817586290339</v>
      </c>
      <c r="G2782" s="2">
        <v>180.77540588378909</v>
      </c>
      <c r="H2782" s="3">
        <v>18165845</v>
      </c>
      <c r="I2782" s="4">
        <f t="shared" si="172"/>
        <v>-1.5</v>
      </c>
      <c r="J2782" s="2">
        <f t="shared" si="173"/>
        <v>1.9</v>
      </c>
      <c r="K2782" s="7">
        <f t="shared" si="174"/>
        <v>46174</v>
      </c>
      <c r="L2782" t="str">
        <f t="shared" si="175"/>
        <v>Q2-2026</v>
      </c>
    </row>
    <row r="2783" spans="1:12">
      <c r="A2783" s="6">
        <v>46191</v>
      </c>
      <c r="B2783" t="s">
        <v>20</v>
      </c>
      <c r="C2783" t="s">
        <v>21</v>
      </c>
      <c r="D2783" s="2">
        <v>1140.3578288590679</v>
      </c>
      <c r="E2783" s="2">
        <v>1156.9880955312619</v>
      </c>
      <c r="F2783" s="2">
        <v>1124.618490908003</v>
      </c>
      <c r="G2783" s="2">
        <v>1150.058837890625</v>
      </c>
      <c r="H2783" s="3">
        <v>3368037</v>
      </c>
      <c r="I2783" s="4">
        <f t="shared" si="172"/>
        <v>-1.38</v>
      </c>
      <c r="J2783" s="2">
        <f t="shared" si="173"/>
        <v>6.93</v>
      </c>
      <c r="K2783" s="7">
        <f t="shared" si="174"/>
        <v>46174</v>
      </c>
      <c r="L2783" t="str">
        <f t="shared" si="175"/>
        <v>Q2-2026</v>
      </c>
    </row>
    <row r="2784" spans="1:12">
      <c r="A2784" s="6">
        <v>46191</v>
      </c>
      <c r="B2784" t="s">
        <v>22</v>
      </c>
      <c r="C2784" t="s">
        <v>23</v>
      </c>
      <c r="D2784" s="2">
        <v>952.49481506721452</v>
      </c>
      <c r="E2784" s="2">
        <v>955.07896643536424</v>
      </c>
      <c r="F2784" s="2">
        <v>942.20807396759653</v>
      </c>
      <c r="G2784" s="2">
        <v>952.99176025390625</v>
      </c>
      <c r="H2784" s="3">
        <v>5750456</v>
      </c>
      <c r="I2784" s="4">
        <f t="shared" si="172"/>
        <v>-1.08</v>
      </c>
      <c r="J2784" s="2">
        <f t="shared" si="173"/>
        <v>2.09</v>
      </c>
      <c r="K2784" s="7">
        <f t="shared" si="174"/>
        <v>46174</v>
      </c>
      <c r="L2784" t="str">
        <f t="shared" si="175"/>
        <v>Q2-2026</v>
      </c>
    </row>
    <row r="2785" spans="1:12">
      <c r="A2785" s="6">
        <v>46191</v>
      </c>
      <c r="B2785" t="s">
        <v>24</v>
      </c>
      <c r="C2785" t="s">
        <v>25</v>
      </c>
      <c r="D2785" s="2">
        <v>13510.314981529031</v>
      </c>
      <c r="E2785" s="2">
        <v>13577.63884337456</v>
      </c>
      <c r="F2785" s="2">
        <v>13299.432884865861</v>
      </c>
      <c r="G2785" s="2">
        <v>13349.92578125</v>
      </c>
      <c r="H2785" s="3">
        <v>373512</v>
      </c>
      <c r="I2785" s="4">
        <f t="shared" si="172"/>
        <v>-1.56</v>
      </c>
      <c r="J2785" s="2">
        <f t="shared" si="173"/>
        <v>227.71</v>
      </c>
      <c r="K2785" s="7">
        <f t="shared" si="174"/>
        <v>46174</v>
      </c>
      <c r="L2785" t="str">
        <f t="shared" si="175"/>
        <v>Q2-2026</v>
      </c>
    </row>
    <row r="2786" spans="1:12">
      <c r="A2786" s="6">
        <v>46191</v>
      </c>
      <c r="B2786" t="s">
        <v>26</v>
      </c>
      <c r="C2786" t="s">
        <v>27</v>
      </c>
      <c r="D2786" s="2">
        <v>360.90616419687558</v>
      </c>
      <c r="E2786" s="2">
        <v>363.23683664228469</v>
      </c>
      <c r="F2786" s="2">
        <v>356.19524276601999</v>
      </c>
      <c r="G2786" s="2">
        <v>361.64999389648438</v>
      </c>
      <c r="H2786" s="3">
        <v>22656468</v>
      </c>
      <c r="I2786" s="4">
        <f t="shared" si="172"/>
        <v>-1.31</v>
      </c>
      <c r="J2786" s="2">
        <f t="shared" si="173"/>
        <v>1.59</v>
      </c>
      <c r="K2786" s="7">
        <f t="shared" si="174"/>
        <v>46174</v>
      </c>
      <c r="L2786" t="str">
        <f t="shared" si="175"/>
        <v>Q2-2026</v>
      </c>
    </row>
    <row r="2787" spans="1:12">
      <c r="A2787" s="6">
        <v>46191</v>
      </c>
      <c r="B2787" t="s">
        <v>28</v>
      </c>
      <c r="C2787" t="s">
        <v>29</v>
      </c>
      <c r="D2787" s="2">
        <v>1812.7491843471721</v>
      </c>
      <c r="E2787" s="2">
        <v>1825.2165102367669</v>
      </c>
      <c r="F2787" s="2">
        <v>1807.7622539913341</v>
      </c>
      <c r="G2787" s="2">
        <v>1820.030151367188</v>
      </c>
      <c r="H2787" s="3">
        <v>2054738</v>
      </c>
      <c r="I2787" s="4">
        <f t="shared" si="172"/>
        <v>-0.28000000000000003</v>
      </c>
      <c r="J2787" s="2">
        <f t="shared" si="173"/>
        <v>5.19</v>
      </c>
      <c r="K2787" s="7">
        <f t="shared" si="174"/>
        <v>46174</v>
      </c>
      <c r="L2787" t="str">
        <f t="shared" si="175"/>
        <v>Q2-2026</v>
      </c>
    </row>
    <row r="2788" spans="1:12">
      <c r="A2788" s="6">
        <v>46191</v>
      </c>
      <c r="B2788" t="s">
        <v>30</v>
      </c>
      <c r="C2788" t="s">
        <v>31</v>
      </c>
      <c r="D2788" s="2">
        <v>2721.3892363671171</v>
      </c>
      <c r="E2788" s="2">
        <v>2741.2172089453829</v>
      </c>
      <c r="F2788" s="2">
        <v>2704.733690993236</v>
      </c>
      <c r="G2788" s="2">
        <v>2731.30322265625</v>
      </c>
      <c r="H2788" s="3">
        <v>600888</v>
      </c>
      <c r="I2788" s="4">
        <f t="shared" si="172"/>
        <v>-0.61</v>
      </c>
      <c r="J2788" s="2">
        <f t="shared" si="173"/>
        <v>9.91</v>
      </c>
      <c r="K2788" s="7">
        <f t="shared" si="174"/>
        <v>46174</v>
      </c>
      <c r="L2788" t="str">
        <f t="shared" si="175"/>
        <v>Q2-2026</v>
      </c>
    </row>
    <row r="2789" spans="1:12">
      <c r="A2789" s="6">
        <v>46191</v>
      </c>
      <c r="B2789" t="s">
        <v>32</v>
      </c>
      <c r="C2789" t="s">
        <v>33</v>
      </c>
      <c r="D2789" s="2">
        <v>2186.4602502931311</v>
      </c>
      <c r="E2789" s="2">
        <v>2199.230503444121</v>
      </c>
      <c r="F2789" s="2">
        <v>2174.6801696881698</v>
      </c>
      <c r="G2789" s="2">
        <v>2196.16162109375</v>
      </c>
      <c r="H2789" s="3">
        <v>1120482</v>
      </c>
      <c r="I2789" s="4">
        <f t="shared" si="172"/>
        <v>-0.54</v>
      </c>
      <c r="J2789" s="2">
        <f t="shared" si="173"/>
        <v>3.07</v>
      </c>
      <c r="K2789" s="7">
        <f t="shared" si="174"/>
        <v>46174</v>
      </c>
      <c r="L2789" t="str">
        <f t="shared" si="175"/>
        <v>Q2-2026</v>
      </c>
    </row>
    <row r="2790" spans="1:12">
      <c r="A2790" s="6">
        <v>46191</v>
      </c>
      <c r="B2790" t="s">
        <v>34</v>
      </c>
      <c r="C2790" t="s">
        <v>35</v>
      </c>
      <c r="D2790" s="2">
        <v>4207.7001953125</v>
      </c>
      <c r="E2790" s="2">
        <v>4244.89990234375</v>
      </c>
      <c r="F2790" s="2">
        <v>4165.60009765625</v>
      </c>
      <c r="G2790" s="2">
        <v>4190</v>
      </c>
      <c r="H2790" s="3">
        <v>1485427</v>
      </c>
      <c r="I2790" s="4">
        <f t="shared" si="172"/>
        <v>-1</v>
      </c>
      <c r="J2790" s="2">
        <f t="shared" si="173"/>
        <v>54.9</v>
      </c>
      <c r="K2790" s="7">
        <f t="shared" si="174"/>
        <v>46174</v>
      </c>
      <c r="L2790" t="str">
        <f t="shared" si="175"/>
        <v>Q2-2026</v>
      </c>
    </row>
    <row r="2791" spans="1:12">
      <c r="A2791" s="6">
        <v>46191</v>
      </c>
      <c r="B2791" t="s">
        <v>36</v>
      </c>
      <c r="C2791" t="s">
        <v>37</v>
      </c>
      <c r="D2791" s="2">
        <v>1346.561512407277</v>
      </c>
      <c r="E2791" s="2">
        <v>1364.847459181959</v>
      </c>
      <c r="F2791" s="2">
        <v>1343.963540367615</v>
      </c>
      <c r="G2791" s="2">
        <v>1359.051879882812</v>
      </c>
      <c r="H2791" s="3">
        <v>5186573</v>
      </c>
      <c r="I2791" s="4">
        <f t="shared" si="172"/>
        <v>-0.19</v>
      </c>
      <c r="J2791" s="2">
        <f t="shared" si="173"/>
        <v>5.8</v>
      </c>
      <c r="K2791" s="7">
        <f t="shared" si="174"/>
        <v>46174</v>
      </c>
      <c r="L2791" t="str">
        <f t="shared" si="175"/>
        <v>Q2-2026</v>
      </c>
    </row>
    <row r="2792" spans="1:12">
      <c r="A2792" s="6">
        <v>46192</v>
      </c>
      <c r="B2792" t="s">
        <v>8</v>
      </c>
      <c r="C2792" t="s">
        <v>9</v>
      </c>
      <c r="D2792" s="2">
        <v>1328</v>
      </c>
      <c r="E2792" s="2">
        <v>1338.199951171875</v>
      </c>
      <c r="F2792" s="2">
        <v>1305.300048828125</v>
      </c>
      <c r="G2792" s="2">
        <v>1309.5</v>
      </c>
      <c r="H2792" s="3">
        <v>24887034</v>
      </c>
      <c r="I2792" s="4">
        <f t="shared" si="172"/>
        <v>-1.71</v>
      </c>
      <c r="J2792" s="2">
        <f t="shared" si="173"/>
        <v>28.7</v>
      </c>
      <c r="K2792" s="7">
        <f t="shared" si="174"/>
        <v>46174</v>
      </c>
      <c r="L2792" t="str">
        <f t="shared" si="175"/>
        <v>Q2-2026</v>
      </c>
    </row>
    <row r="2793" spans="1:12">
      <c r="A2793" s="6">
        <v>46192</v>
      </c>
      <c r="B2793" t="s">
        <v>10</v>
      </c>
      <c r="C2793" t="s">
        <v>11</v>
      </c>
      <c r="D2793" s="2">
        <v>2093.5214137178309</v>
      </c>
      <c r="E2793" s="2">
        <v>2126.3414643841911</v>
      </c>
      <c r="F2793" s="2">
        <v>2048.6672473500762</v>
      </c>
      <c r="G2793" s="2">
        <v>2113.412353515625</v>
      </c>
      <c r="H2793" s="3">
        <v>13286502</v>
      </c>
      <c r="I2793" s="4">
        <f t="shared" si="172"/>
        <v>-2.14</v>
      </c>
      <c r="J2793" s="2">
        <f t="shared" si="173"/>
        <v>12.93</v>
      </c>
      <c r="K2793" s="7">
        <f t="shared" si="174"/>
        <v>46174</v>
      </c>
      <c r="L2793" t="str">
        <f t="shared" si="175"/>
        <v>Q2-2026</v>
      </c>
    </row>
    <row r="2794" spans="1:12">
      <c r="A2794" s="6">
        <v>46192</v>
      </c>
      <c r="B2794" t="s">
        <v>12</v>
      </c>
      <c r="C2794" t="s">
        <v>13</v>
      </c>
      <c r="D2794" s="2">
        <v>1062.300048828125</v>
      </c>
      <c r="E2794" s="2">
        <v>1066</v>
      </c>
      <c r="F2794" s="2">
        <v>1030</v>
      </c>
      <c r="G2794" s="2">
        <v>1051.400024414062</v>
      </c>
      <c r="H2794" s="3">
        <v>45665442</v>
      </c>
      <c r="I2794" s="4">
        <f t="shared" si="172"/>
        <v>-3.04</v>
      </c>
      <c r="J2794" s="2">
        <f t="shared" si="173"/>
        <v>14.6</v>
      </c>
      <c r="K2794" s="7">
        <f t="shared" si="174"/>
        <v>46174</v>
      </c>
      <c r="L2794" t="str">
        <f t="shared" si="175"/>
        <v>Q2-2026</v>
      </c>
    </row>
    <row r="2795" spans="1:12">
      <c r="A2795" s="6">
        <v>46192</v>
      </c>
      <c r="B2795" t="s">
        <v>14</v>
      </c>
      <c r="C2795" t="s">
        <v>15</v>
      </c>
      <c r="D2795" s="2">
        <v>788.70001220703125</v>
      </c>
      <c r="E2795" s="2">
        <v>789.04998779296875</v>
      </c>
      <c r="F2795" s="2">
        <v>776.20001220703125</v>
      </c>
      <c r="G2795" s="2">
        <v>779.79998779296875</v>
      </c>
      <c r="H2795" s="3">
        <v>33798761</v>
      </c>
      <c r="I2795" s="4">
        <f t="shared" si="172"/>
        <v>-1.58</v>
      </c>
      <c r="J2795" s="2">
        <f t="shared" si="173"/>
        <v>9.25</v>
      </c>
      <c r="K2795" s="7">
        <f t="shared" si="174"/>
        <v>46174</v>
      </c>
      <c r="L2795" t="str">
        <f t="shared" si="175"/>
        <v>Q2-2026</v>
      </c>
    </row>
    <row r="2796" spans="1:12">
      <c r="A2796" s="6">
        <v>46192</v>
      </c>
      <c r="B2796" t="s">
        <v>16</v>
      </c>
      <c r="C2796" t="s">
        <v>17</v>
      </c>
      <c r="D2796" s="2">
        <v>1329.2933244899971</v>
      </c>
      <c r="E2796" s="2">
        <v>1340.9947240691711</v>
      </c>
      <c r="F2796" s="2">
        <v>1320.864385095618</v>
      </c>
      <c r="G2796" s="2">
        <v>1335.2431640625</v>
      </c>
      <c r="H2796" s="3">
        <v>9057322</v>
      </c>
      <c r="I2796" s="4">
        <f t="shared" si="172"/>
        <v>-0.63</v>
      </c>
      <c r="J2796" s="2">
        <f t="shared" si="173"/>
        <v>5.75</v>
      </c>
      <c r="K2796" s="7">
        <f t="shared" si="174"/>
        <v>46174</v>
      </c>
      <c r="L2796" t="str">
        <f t="shared" si="175"/>
        <v>Q2-2026</v>
      </c>
    </row>
    <row r="2797" spans="1:12">
      <c r="A2797" s="6">
        <v>46192</v>
      </c>
      <c r="B2797" t="s">
        <v>18</v>
      </c>
      <c r="C2797" t="s">
        <v>19</v>
      </c>
      <c r="D2797" s="2">
        <v>174.76404870076749</v>
      </c>
      <c r="E2797" s="2">
        <v>179.43075241675311</v>
      </c>
      <c r="F2797" s="2">
        <v>172.9151692716741</v>
      </c>
      <c r="G2797" s="2">
        <v>178.75843811035159</v>
      </c>
      <c r="H2797" s="3">
        <v>37469436</v>
      </c>
      <c r="I2797" s="4">
        <f t="shared" si="172"/>
        <v>-1.06</v>
      </c>
      <c r="J2797" s="2">
        <f t="shared" si="173"/>
        <v>0.67</v>
      </c>
      <c r="K2797" s="7">
        <f t="shared" si="174"/>
        <v>46174</v>
      </c>
      <c r="L2797" t="str">
        <f t="shared" si="175"/>
        <v>Q2-2026</v>
      </c>
    </row>
    <row r="2798" spans="1:12">
      <c r="A2798" s="6">
        <v>46192</v>
      </c>
      <c r="B2798" t="s">
        <v>20</v>
      </c>
      <c r="C2798" t="s">
        <v>21</v>
      </c>
      <c r="D2798" s="2">
        <v>1098.7822889851091</v>
      </c>
      <c r="E2798" s="2">
        <v>1124.519531790166</v>
      </c>
      <c r="F2798" s="2">
        <v>1080.370285607286</v>
      </c>
      <c r="G2798" s="2">
        <v>1120.262939453125</v>
      </c>
      <c r="H2798" s="3">
        <v>10014063</v>
      </c>
      <c r="I2798" s="4">
        <f t="shared" si="172"/>
        <v>-1.68</v>
      </c>
      <c r="J2798" s="2">
        <f t="shared" si="173"/>
        <v>4.26</v>
      </c>
      <c r="K2798" s="7">
        <f t="shared" si="174"/>
        <v>46174</v>
      </c>
      <c r="L2798" t="str">
        <f t="shared" si="175"/>
        <v>Q2-2026</v>
      </c>
    </row>
    <row r="2799" spans="1:12">
      <c r="A2799" s="6">
        <v>46192</v>
      </c>
      <c r="B2799" t="s">
        <v>22</v>
      </c>
      <c r="C2799" t="s">
        <v>23</v>
      </c>
      <c r="D2799" s="2">
        <v>948.22105600691225</v>
      </c>
      <c r="E2799" s="2">
        <v>965.7632445741657</v>
      </c>
      <c r="F2799" s="2">
        <v>947.4259558763664</v>
      </c>
      <c r="G2799" s="2">
        <v>955.9237060546875</v>
      </c>
      <c r="H2799" s="3">
        <v>12941776</v>
      </c>
      <c r="I2799" s="4">
        <f t="shared" si="172"/>
        <v>-0.08</v>
      </c>
      <c r="J2799" s="2">
        <f t="shared" si="173"/>
        <v>9.84</v>
      </c>
      <c r="K2799" s="7">
        <f t="shared" si="174"/>
        <v>46174</v>
      </c>
      <c r="L2799" t="str">
        <f t="shared" si="175"/>
        <v>Q2-2026</v>
      </c>
    </row>
    <row r="2800" spans="1:12">
      <c r="A2800" s="6">
        <v>46192</v>
      </c>
      <c r="B2800" t="s">
        <v>24</v>
      </c>
      <c r="C2800" t="s">
        <v>25</v>
      </c>
      <c r="D2800" s="2">
        <v>13349.925600153971</v>
      </c>
      <c r="E2800" s="2">
        <v>13372.69690605753</v>
      </c>
      <c r="F2800" s="2">
        <v>13220.228162181549</v>
      </c>
      <c r="G2800" s="2">
        <v>13261.810546875</v>
      </c>
      <c r="H2800" s="3">
        <v>719756</v>
      </c>
      <c r="I2800" s="4">
        <f t="shared" si="172"/>
        <v>-0.97</v>
      </c>
      <c r="J2800" s="2">
        <f t="shared" si="173"/>
        <v>110.89</v>
      </c>
      <c r="K2800" s="7">
        <f t="shared" si="174"/>
        <v>46174</v>
      </c>
      <c r="L2800" t="str">
        <f t="shared" si="175"/>
        <v>Q2-2026</v>
      </c>
    </row>
    <row r="2801" spans="1:12">
      <c r="A2801" s="6">
        <v>46192</v>
      </c>
      <c r="B2801" t="s">
        <v>26</v>
      </c>
      <c r="C2801" t="s">
        <v>27</v>
      </c>
      <c r="D2801" s="2">
        <v>363.75</v>
      </c>
      <c r="E2801" s="2">
        <v>363.75</v>
      </c>
      <c r="F2801" s="2">
        <v>356.5</v>
      </c>
      <c r="G2801" s="2">
        <v>359.5</v>
      </c>
      <c r="H2801" s="3">
        <v>11928855</v>
      </c>
      <c r="I2801" s="4">
        <f t="shared" si="172"/>
        <v>-1.99</v>
      </c>
      <c r="J2801" s="2">
        <f t="shared" si="173"/>
        <v>4.25</v>
      </c>
      <c r="K2801" s="7">
        <f t="shared" si="174"/>
        <v>46174</v>
      </c>
      <c r="L2801" t="str">
        <f t="shared" si="175"/>
        <v>Q2-2026</v>
      </c>
    </row>
    <row r="2802" spans="1:12">
      <c r="A2802" s="6">
        <v>46192</v>
      </c>
      <c r="B2802" t="s">
        <v>28</v>
      </c>
      <c r="C2802" t="s">
        <v>29</v>
      </c>
      <c r="D2802" s="2">
        <v>1819.23208233235</v>
      </c>
      <c r="E2802" s="2">
        <v>1837.883152019808</v>
      </c>
      <c r="F2802" s="2">
        <v>1816.140210051437</v>
      </c>
      <c r="G2802" s="2">
        <v>1833.494750976562</v>
      </c>
      <c r="H2802" s="3">
        <v>2126703</v>
      </c>
      <c r="I2802" s="4">
        <f t="shared" si="172"/>
        <v>-0.17</v>
      </c>
      <c r="J2802" s="2">
        <f t="shared" si="173"/>
        <v>4.3899999999999997</v>
      </c>
      <c r="K2802" s="7">
        <f t="shared" si="174"/>
        <v>46174</v>
      </c>
      <c r="L2802" t="str">
        <f t="shared" si="175"/>
        <v>Q2-2026</v>
      </c>
    </row>
    <row r="2803" spans="1:12">
      <c r="A2803" s="6">
        <v>46192</v>
      </c>
      <c r="B2803" t="s">
        <v>30</v>
      </c>
      <c r="C2803" t="s">
        <v>31</v>
      </c>
      <c r="D2803" s="2">
        <v>2729.2212838160258</v>
      </c>
      <c r="E2803" s="2">
        <v>2729.2212838160258</v>
      </c>
      <c r="F2803" s="2">
        <v>2695.4147346165369</v>
      </c>
      <c r="G2803" s="2">
        <v>2709.393310546875</v>
      </c>
      <c r="H2803" s="3">
        <v>838991</v>
      </c>
      <c r="I2803" s="4">
        <f t="shared" si="172"/>
        <v>-1.24</v>
      </c>
      <c r="J2803" s="2">
        <f t="shared" si="173"/>
        <v>19.829999999999998</v>
      </c>
      <c r="K2803" s="7">
        <f t="shared" si="174"/>
        <v>46174</v>
      </c>
      <c r="L2803" t="str">
        <f t="shared" si="175"/>
        <v>Q2-2026</v>
      </c>
    </row>
    <row r="2804" spans="1:12">
      <c r="A2804" s="6">
        <v>46192</v>
      </c>
      <c r="B2804" t="s">
        <v>32</v>
      </c>
      <c r="C2804" t="s">
        <v>33</v>
      </c>
      <c r="D2804" s="2">
        <v>2187.35140484879</v>
      </c>
      <c r="E2804" s="2">
        <v>2188.3413357449599</v>
      </c>
      <c r="F2804" s="2">
        <v>2157.950263886682</v>
      </c>
      <c r="G2804" s="2">
        <v>2172.50244140625</v>
      </c>
      <c r="H2804" s="3">
        <v>1508994</v>
      </c>
      <c r="I2804" s="4">
        <f t="shared" si="172"/>
        <v>-1.34</v>
      </c>
      <c r="J2804" s="2">
        <f t="shared" si="173"/>
        <v>15.84</v>
      </c>
      <c r="K2804" s="7">
        <f t="shared" si="174"/>
        <v>46174</v>
      </c>
      <c r="L2804" t="str">
        <f t="shared" si="175"/>
        <v>Q2-2026</v>
      </c>
    </row>
    <row r="2805" spans="1:12">
      <c r="A2805" s="6">
        <v>46192</v>
      </c>
      <c r="B2805" t="s">
        <v>34</v>
      </c>
      <c r="C2805" t="s">
        <v>35</v>
      </c>
      <c r="D2805" s="2">
        <v>4190</v>
      </c>
      <c r="E2805" s="2">
        <v>4217.5</v>
      </c>
      <c r="F2805" s="2">
        <v>4161.60009765625</v>
      </c>
      <c r="G2805" s="2">
        <v>4209.39990234375</v>
      </c>
      <c r="H2805" s="3">
        <v>1397746</v>
      </c>
      <c r="I2805" s="4">
        <f t="shared" si="172"/>
        <v>-0.68</v>
      </c>
      <c r="J2805" s="2">
        <f t="shared" si="173"/>
        <v>8.1</v>
      </c>
      <c r="K2805" s="7">
        <f t="shared" si="174"/>
        <v>46174</v>
      </c>
      <c r="L2805" t="str">
        <f t="shared" si="175"/>
        <v>Q2-2026</v>
      </c>
    </row>
    <row r="2806" spans="1:12">
      <c r="A2806" s="6">
        <v>46192</v>
      </c>
      <c r="B2806" t="s">
        <v>36</v>
      </c>
      <c r="C2806" t="s">
        <v>37</v>
      </c>
      <c r="D2806" s="2">
        <v>1355.754509741618</v>
      </c>
      <c r="E2806" s="2">
        <v>1361.949683281528</v>
      </c>
      <c r="F2806" s="2">
        <v>1349.459315679899</v>
      </c>
      <c r="G2806" s="2">
        <v>1356.853637695312</v>
      </c>
      <c r="H2806" s="3">
        <v>4640277</v>
      </c>
      <c r="I2806" s="4">
        <f t="shared" si="172"/>
        <v>-0.46</v>
      </c>
      <c r="J2806" s="2">
        <f t="shared" si="173"/>
        <v>5.0999999999999996</v>
      </c>
      <c r="K2806" s="7">
        <f t="shared" si="174"/>
        <v>46174</v>
      </c>
      <c r="L2806" t="str">
        <f t="shared" si="175"/>
        <v>Q2-2026</v>
      </c>
    </row>
    <row r="2807" spans="1:12">
      <c r="A2807" s="6">
        <v>46195</v>
      </c>
      <c r="B2807" t="s">
        <v>8</v>
      </c>
      <c r="C2807" t="s">
        <v>9</v>
      </c>
      <c r="D2807" s="2">
        <v>1316.699951171875</v>
      </c>
      <c r="E2807" s="2">
        <v>1344.900024414062</v>
      </c>
      <c r="F2807" s="2">
        <v>1314.099975585938</v>
      </c>
      <c r="G2807" s="2">
        <v>1326.5</v>
      </c>
      <c r="H2807" s="3">
        <v>12931213</v>
      </c>
      <c r="I2807" s="4">
        <f t="shared" si="172"/>
        <v>-0.2</v>
      </c>
      <c r="J2807" s="2">
        <f t="shared" si="173"/>
        <v>18.399999999999999</v>
      </c>
      <c r="K2807" s="7">
        <f t="shared" si="174"/>
        <v>46174</v>
      </c>
      <c r="L2807" t="str">
        <f t="shared" si="175"/>
        <v>Q2-2026</v>
      </c>
    </row>
    <row r="2808" spans="1:12">
      <c r="A2808" s="6">
        <v>46195</v>
      </c>
      <c r="B2808" t="s">
        <v>10</v>
      </c>
      <c r="C2808" t="s">
        <v>11</v>
      </c>
      <c r="D2808" s="2">
        <v>2120.5729308842242</v>
      </c>
      <c r="E2808" s="2">
        <v>2145.2377434880441</v>
      </c>
      <c r="F2808" s="2">
        <v>2109.4340537497178</v>
      </c>
      <c r="G2808" s="2">
        <v>2116.197021484375</v>
      </c>
      <c r="H2808" s="3">
        <v>4566101</v>
      </c>
      <c r="I2808" s="4">
        <f t="shared" si="172"/>
        <v>-0.53</v>
      </c>
      <c r="J2808" s="2">
        <f t="shared" si="173"/>
        <v>29.04</v>
      </c>
      <c r="K2808" s="7">
        <f t="shared" si="174"/>
        <v>46174</v>
      </c>
      <c r="L2808" t="str">
        <f t="shared" si="175"/>
        <v>Q2-2026</v>
      </c>
    </row>
    <row r="2809" spans="1:12">
      <c r="A2809" s="6">
        <v>46195</v>
      </c>
      <c r="B2809" t="s">
        <v>12</v>
      </c>
      <c r="C2809" t="s">
        <v>13</v>
      </c>
      <c r="D2809" s="2">
        <v>1055</v>
      </c>
      <c r="E2809" s="2">
        <v>1080.300048828125</v>
      </c>
      <c r="F2809" s="2">
        <v>1055</v>
      </c>
      <c r="G2809" s="2">
        <v>1065.400024414062</v>
      </c>
      <c r="H2809" s="3">
        <v>10178505</v>
      </c>
      <c r="I2809" s="4">
        <f t="shared" si="172"/>
        <v>0</v>
      </c>
      <c r="J2809" s="2">
        <f t="shared" si="173"/>
        <v>14.9</v>
      </c>
      <c r="K2809" s="7">
        <f t="shared" si="174"/>
        <v>46174</v>
      </c>
      <c r="L2809" t="str">
        <f t="shared" si="175"/>
        <v>Q2-2026</v>
      </c>
    </row>
    <row r="2810" spans="1:12">
      <c r="A2810" s="6">
        <v>46195</v>
      </c>
      <c r="B2810" t="s">
        <v>14</v>
      </c>
      <c r="C2810" t="s">
        <v>15</v>
      </c>
      <c r="D2810" s="2">
        <v>789.9000244140625</v>
      </c>
      <c r="E2810" s="2">
        <v>789.9000244140625</v>
      </c>
      <c r="F2810" s="2">
        <v>783.0999755859375</v>
      </c>
      <c r="G2810" s="2">
        <v>786.4000244140625</v>
      </c>
      <c r="H2810" s="3">
        <v>25194765</v>
      </c>
      <c r="I2810" s="4">
        <f t="shared" si="172"/>
        <v>-0.86</v>
      </c>
      <c r="J2810" s="2">
        <f t="shared" si="173"/>
        <v>3.5</v>
      </c>
      <c r="K2810" s="7">
        <f t="shared" si="174"/>
        <v>46174</v>
      </c>
      <c r="L2810" t="str">
        <f t="shared" si="175"/>
        <v>Q2-2026</v>
      </c>
    </row>
    <row r="2811" spans="1:12">
      <c r="A2811" s="6">
        <v>46195</v>
      </c>
      <c r="B2811" t="s">
        <v>16</v>
      </c>
      <c r="C2811" t="s">
        <v>17</v>
      </c>
      <c r="D2811" s="2">
        <v>1341.68883182125</v>
      </c>
      <c r="E2811" s="2">
        <v>1351.307690769155</v>
      </c>
      <c r="F2811" s="2">
        <v>1337.1273123310041</v>
      </c>
      <c r="G2811" s="2">
        <v>1341.093872070312</v>
      </c>
      <c r="H2811" s="3">
        <v>4814845</v>
      </c>
      <c r="I2811" s="4">
        <f t="shared" si="172"/>
        <v>-0.34</v>
      </c>
      <c r="J2811" s="2">
        <f t="shared" si="173"/>
        <v>10.210000000000001</v>
      </c>
      <c r="K2811" s="7">
        <f t="shared" si="174"/>
        <v>46174</v>
      </c>
      <c r="L2811" t="str">
        <f t="shared" si="175"/>
        <v>Q2-2026</v>
      </c>
    </row>
    <row r="2812" spans="1:12">
      <c r="A2812" s="6">
        <v>46195</v>
      </c>
      <c r="B2812" t="s">
        <v>18</v>
      </c>
      <c r="C2812" t="s">
        <v>19</v>
      </c>
      <c r="D2812" s="2">
        <v>178.79798253403769</v>
      </c>
      <c r="E2812" s="2">
        <v>180.34036487136879</v>
      </c>
      <c r="F2812" s="2">
        <v>177.96747128878081</v>
      </c>
      <c r="G2812" s="2">
        <v>178.14543151855469</v>
      </c>
      <c r="H2812" s="3">
        <v>10368112</v>
      </c>
      <c r="I2812" s="4">
        <f t="shared" si="172"/>
        <v>-0.46</v>
      </c>
      <c r="J2812" s="2">
        <f t="shared" si="173"/>
        <v>2.19</v>
      </c>
      <c r="K2812" s="7">
        <f t="shared" si="174"/>
        <v>46174</v>
      </c>
      <c r="L2812" t="str">
        <f t="shared" si="175"/>
        <v>Q2-2026</v>
      </c>
    </row>
    <row r="2813" spans="1:12">
      <c r="A2813" s="6">
        <v>46195</v>
      </c>
      <c r="B2813" t="s">
        <v>20</v>
      </c>
      <c r="C2813" t="s">
        <v>21</v>
      </c>
      <c r="D2813" s="2">
        <v>1124.5194897860461</v>
      </c>
      <c r="E2813" s="2">
        <v>1137.0910941981101</v>
      </c>
      <c r="F2813" s="2">
        <v>1115.610444532459</v>
      </c>
      <c r="G2813" s="2">
        <v>1119.075073242188</v>
      </c>
      <c r="H2813" s="3">
        <v>2312385</v>
      </c>
      <c r="I2813" s="4">
        <f t="shared" si="172"/>
        <v>-0.79</v>
      </c>
      <c r="J2813" s="2">
        <f t="shared" si="173"/>
        <v>18.02</v>
      </c>
      <c r="K2813" s="7">
        <f t="shared" si="174"/>
        <v>46174</v>
      </c>
      <c r="L2813" t="str">
        <f t="shared" si="175"/>
        <v>Q2-2026</v>
      </c>
    </row>
    <row r="2814" spans="1:12">
      <c r="A2814" s="6">
        <v>46195</v>
      </c>
      <c r="B2814" t="s">
        <v>22</v>
      </c>
      <c r="C2814" t="s">
        <v>23</v>
      </c>
      <c r="D2814" s="2">
        <v>960.14777987047501</v>
      </c>
      <c r="E2814" s="2">
        <v>967.00564768883669</v>
      </c>
      <c r="F2814" s="2">
        <v>955.6752732051749</v>
      </c>
      <c r="G2814" s="2">
        <v>962.384033203125</v>
      </c>
      <c r="H2814" s="3">
        <v>5680845</v>
      </c>
      <c r="I2814" s="4">
        <f t="shared" si="172"/>
        <v>-0.47</v>
      </c>
      <c r="J2814" s="2">
        <f t="shared" si="173"/>
        <v>4.62</v>
      </c>
      <c r="K2814" s="7">
        <f t="shared" si="174"/>
        <v>46174</v>
      </c>
      <c r="L2814" t="str">
        <f t="shared" si="175"/>
        <v>Q2-2026</v>
      </c>
    </row>
    <row r="2815" spans="1:12">
      <c r="A2815" s="6">
        <v>46195</v>
      </c>
      <c r="B2815" t="s">
        <v>24</v>
      </c>
      <c r="C2815" t="s">
        <v>25</v>
      </c>
      <c r="D2815" s="2">
        <v>13316.264382485941</v>
      </c>
      <c r="E2815" s="2">
        <v>13360.81693989946</v>
      </c>
      <c r="F2815" s="2">
        <v>13246.96040428712</v>
      </c>
      <c r="G2815" s="2">
        <v>13287.552734375</v>
      </c>
      <c r="H2815" s="3">
        <v>254533</v>
      </c>
      <c r="I2815" s="4">
        <f t="shared" si="172"/>
        <v>-0.52</v>
      </c>
      <c r="J2815" s="2">
        <f t="shared" si="173"/>
        <v>73.260000000000005</v>
      </c>
      <c r="K2815" s="7">
        <f t="shared" si="174"/>
        <v>46174</v>
      </c>
      <c r="L2815" t="str">
        <f t="shared" si="175"/>
        <v>Q2-2026</v>
      </c>
    </row>
    <row r="2816" spans="1:12">
      <c r="A2816" s="6">
        <v>46195</v>
      </c>
      <c r="B2816" t="s">
        <v>26</v>
      </c>
      <c r="C2816" t="s">
        <v>27</v>
      </c>
      <c r="D2816" s="2">
        <v>362</v>
      </c>
      <c r="E2816" s="2">
        <v>370.5</v>
      </c>
      <c r="F2816" s="2">
        <v>360</v>
      </c>
      <c r="G2816" s="2">
        <v>361.5</v>
      </c>
      <c r="H2816" s="3">
        <v>15447905</v>
      </c>
      <c r="I2816" s="4">
        <f t="shared" si="172"/>
        <v>-0.55000000000000004</v>
      </c>
      <c r="J2816" s="2">
        <f t="shared" si="173"/>
        <v>9</v>
      </c>
      <c r="K2816" s="7">
        <f t="shared" si="174"/>
        <v>46174</v>
      </c>
      <c r="L2816" t="str">
        <f t="shared" si="175"/>
        <v>Q2-2026</v>
      </c>
    </row>
    <row r="2817" spans="1:12">
      <c r="A2817" s="6">
        <v>46195</v>
      </c>
      <c r="B2817" t="s">
        <v>28</v>
      </c>
      <c r="C2817" t="s">
        <v>29</v>
      </c>
      <c r="D2817" s="2">
        <v>1840.177282734144</v>
      </c>
      <c r="E2817" s="2">
        <v>1860.324432467924</v>
      </c>
      <c r="F2817" s="2">
        <v>1829.2060360620169</v>
      </c>
      <c r="G2817" s="2">
        <v>1858.030517578125</v>
      </c>
      <c r="H2817" s="3">
        <v>1588758</v>
      </c>
      <c r="I2817" s="4">
        <f t="shared" si="172"/>
        <v>-0.6</v>
      </c>
      <c r="J2817" s="2">
        <f t="shared" si="173"/>
        <v>2.29</v>
      </c>
      <c r="K2817" s="7">
        <f t="shared" si="174"/>
        <v>46174</v>
      </c>
      <c r="L2817" t="str">
        <f t="shared" si="175"/>
        <v>Q2-2026</v>
      </c>
    </row>
    <row r="2818" spans="1:12">
      <c r="A2818" s="6">
        <v>46195</v>
      </c>
      <c r="B2818" t="s">
        <v>30</v>
      </c>
      <c r="C2818" t="s">
        <v>31</v>
      </c>
      <c r="D2818" s="2">
        <v>2719.1090391012121</v>
      </c>
      <c r="E2818" s="2">
        <v>2732.7903889304412</v>
      </c>
      <c r="F2818" s="2">
        <v>2647.0344053851909</v>
      </c>
      <c r="G2818" s="2">
        <v>2651</v>
      </c>
      <c r="H2818" s="3">
        <v>1033475</v>
      </c>
      <c r="I2818" s="4">
        <f t="shared" ref="I2818:I2881" si="176">ROUND(((F2818-D2818)/D2818)*100, 2)</f>
        <v>-2.65</v>
      </c>
      <c r="J2818" s="2">
        <f t="shared" ref="J2818:J2881" si="177">ROUND(E2818-G2818, 2)</f>
        <v>81.790000000000006</v>
      </c>
      <c r="K2818" s="7">
        <f t="shared" ref="K2818:K2881" si="178">DATE(YEAR(A2818),MONTH(A2818),1)</f>
        <v>46174</v>
      </c>
      <c r="L2818" t="str">
        <f t="shared" ref="L2818:L2881" si="179">"Q"&amp;INT((MONTH(A2818)-1)/3)+1&amp;"-"&amp;YEAR(A2818)</f>
        <v>Q2-2026</v>
      </c>
    </row>
    <row r="2819" spans="1:12">
      <c r="A2819" s="6">
        <v>46195</v>
      </c>
      <c r="B2819" t="s">
        <v>32</v>
      </c>
      <c r="C2819" t="s">
        <v>33</v>
      </c>
      <c r="D2819" s="2">
        <v>2181.510651390327</v>
      </c>
      <c r="E2819" s="2">
        <v>2185.965340390087</v>
      </c>
      <c r="F2819" s="2">
        <v>2160.5241648834831</v>
      </c>
      <c r="G2819" s="2">
        <v>2162.89990234375</v>
      </c>
      <c r="H2819" s="3">
        <v>765860</v>
      </c>
      <c r="I2819" s="4">
        <f t="shared" si="176"/>
        <v>-0.96</v>
      </c>
      <c r="J2819" s="2">
        <f t="shared" si="177"/>
        <v>23.07</v>
      </c>
      <c r="K2819" s="7">
        <f t="shared" si="178"/>
        <v>46174</v>
      </c>
      <c r="L2819" t="str">
        <f t="shared" si="179"/>
        <v>Q2-2026</v>
      </c>
    </row>
    <row r="2820" spans="1:12">
      <c r="A2820" s="6">
        <v>46195</v>
      </c>
      <c r="B2820" t="s">
        <v>34</v>
      </c>
      <c r="C2820" t="s">
        <v>35</v>
      </c>
      <c r="D2820" s="2">
        <v>4228</v>
      </c>
      <c r="E2820" s="2">
        <v>4235.39990234375</v>
      </c>
      <c r="F2820" s="2">
        <v>4190</v>
      </c>
      <c r="G2820" s="2">
        <v>4201.2998046875</v>
      </c>
      <c r="H2820" s="3">
        <v>1169466</v>
      </c>
      <c r="I2820" s="4">
        <f t="shared" si="176"/>
        <v>-0.9</v>
      </c>
      <c r="J2820" s="2">
        <f t="shared" si="177"/>
        <v>34.1</v>
      </c>
      <c r="K2820" s="7">
        <f t="shared" si="178"/>
        <v>46174</v>
      </c>
      <c r="L2820" t="str">
        <f t="shared" si="179"/>
        <v>Q2-2026</v>
      </c>
    </row>
    <row r="2821" spans="1:12">
      <c r="A2821" s="6">
        <v>46195</v>
      </c>
      <c r="B2821" t="s">
        <v>36</v>
      </c>
      <c r="C2821" t="s">
        <v>37</v>
      </c>
      <c r="D2821" s="2">
        <v>1359.951153365007</v>
      </c>
      <c r="E2821" s="2">
        <v>1365.0471986847931</v>
      </c>
      <c r="F2821" s="2">
        <v>1354.155574310354</v>
      </c>
      <c r="G2821" s="2">
        <v>1357.552978515625</v>
      </c>
      <c r="H2821" s="3">
        <v>3153284</v>
      </c>
      <c r="I2821" s="4">
        <f t="shared" si="176"/>
        <v>-0.43</v>
      </c>
      <c r="J2821" s="2">
        <f t="shared" si="177"/>
        <v>7.49</v>
      </c>
      <c r="K2821" s="7">
        <f t="shared" si="178"/>
        <v>46174</v>
      </c>
      <c r="L2821" t="str">
        <f t="shared" si="179"/>
        <v>Q2-2026</v>
      </c>
    </row>
    <row r="2822" spans="1:12">
      <c r="A2822" s="6">
        <v>46196</v>
      </c>
      <c r="B2822" t="s">
        <v>8</v>
      </c>
      <c r="C2822" t="s">
        <v>9</v>
      </c>
      <c r="D2822" s="2">
        <v>1328.900024414062</v>
      </c>
      <c r="E2822" s="2">
        <v>1333</v>
      </c>
      <c r="F2822" s="2">
        <v>1304</v>
      </c>
      <c r="G2822" s="2">
        <v>1309.5</v>
      </c>
      <c r="H2822" s="3">
        <v>15400184</v>
      </c>
      <c r="I2822" s="4">
        <f t="shared" si="176"/>
        <v>-1.87</v>
      </c>
      <c r="J2822" s="2">
        <f t="shared" si="177"/>
        <v>23.5</v>
      </c>
      <c r="K2822" s="7">
        <f t="shared" si="178"/>
        <v>46174</v>
      </c>
      <c r="L2822" t="str">
        <f t="shared" si="179"/>
        <v>Q2-2026</v>
      </c>
    </row>
    <row r="2823" spans="1:12">
      <c r="A2823" s="6">
        <v>46196</v>
      </c>
      <c r="B2823" t="s">
        <v>10</v>
      </c>
      <c r="C2823" t="s">
        <v>11</v>
      </c>
      <c r="D2823" s="2">
        <v>2099.48851012349</v>
      </c>
      <c r="E2823" s="2">
        <v>2102.472150829492</v>
      </c>
      <c r="F2823" s="2">
        <v>2043.7938836114511</v>
      </c>
      <c r="G2823" s="2">
        <v>2048.368896484375</v>
      </c>
      <c r="H2823" s="3">
        <v>6392736</v>
      </c>
      <c r="I2823" s="4">
        <f t="shared" si="176"/>
        <v>-2.65</v>
      </c>
      <c r="J2823" s="2">
        <f t="shared" si="177"/>
        <v>54.1</v>
      </c>
      <c r="K2823" s="7">
        <f t="shared" si="178"/>
        <v>46174</v>
      </c>
      <c r="L2823" t="str">
        <f t="shared" si="179"/>
        <v>Q2-2026</v>
      </c>
    </row>
    <row r="2824" spans="1:12">
      <c r="A2824" s="6">
        <v>46196</v>
      </c>
      <c r="B2824" t="s">
        <v>12</v>
      </c>
      <c r="C2824" t="s">
        <v>13</v>
      </c>
      <c r="D2824" s="2">
        <v>1053.800048828125</v>
      </c>
      <c r="E2824" s="2">
        <v>1055.300048828125</v>
      </c>
      <c r="F2824" s="2">
        <v>1026</v>
      </c>
      <c r="G2824" s="2">
        <v>1029.300048828125</v>
      </c>
      <c r="H2824" s="3">
        <v>19323064</v>
      </c>
      <c r="I2824" s="4">
        <f t="shared" si="176"/>
        <v>-2.64</v>
      </c>
      <c r="J2824" s="2">
        <f t="shared" si="177"/>
        <v>26</v>
      </c>
      <c r="K2824" s="7">
        <f t="shared" si="178"/>
        <v>46174</v>
      </c>
      <c r="L2824" t="str">
        <f t="shared" si="179"/>
        <v>Q2-2026</v>
      </c>
    </row>
    <row r="2825" spans="1:12">
      <c r="A2825" s="6">
        <v>46196</v>
      </c>
      <c r="B2825" t="s">
        <v>14</v>
      </c>
      <c r="C2825" t="s">
        <v>15</v>
      </c>
      <c r="D2825" s="2">
        <v>783.04998779296875</v>
      </c>
      <c r="E2825" s="2">
        <v>790.9000244140625</v>
      </c>
      <c r="F2825" s="2">
        <v>772.54998779296875</v>
      </c>
      <c r="G2825" s="2">
        <v>774.6500244140625</v>
      </c>
      <c r="H2825" s="3">
        <v>28289062</v>
      </c>
      <c r="I2825" s="4">
        <f t="shared" si="176"/>
        <v>-1.34</v>
      </c>
      <c r="J2825" s="2">
        <f t="shared" si="177"/>
        <v>16.25</v>
      </c>
      <c r="K2825" s="7">
        <f t="shared" si="178"/>
        <v>46174</v>
      </c>
      <c r="L2825" t="str">
        <f t="shared" si="179"/>
        <v>Q2-2026</v>
      </c>
    </row>
    <row r="2826" spans="1:12">
      <c r="A2826" s="6">
        <v>46196</v>
      </c>
      <c r="B2826" t="s">
        <v>16</v>
      </c>
      <c r="C2826" t="s">
        <v>17</v>
      </c>
      <c r="D2826" s="2">
        <v>1346.647075338441</v>
      </c>
      <c r="E2826" s="2">
        <v>1357.6542547634269</v>
      </c>
      <c r="F2826" s="2">
        <v>1320.3686162099659</v>
      </c>
      <c r="G2826" s="2">
        <v>1327.11181640625</v>
      </c>
      <c r="H2826" s="3">
        <v>11884879</v>
      </c>
      <c r="I2826" s="4">
        <f t="shared" si="176"/>
        <v>-1.95</v>
      </c>
      <c r="J2826" s="2">
        <f t="shared" si="177"/>
        <v>30.54</v>
      </c>
      <c r="K2826" s="7">
        <f t="shared" si="178"/>
        <v>46174</v>
      </c>
      <c r="L2826" t="str">
        <f t="shared" si="179"/>
        <v>Q2-2026</v>
      </c>
    </row>
    <row r="2827" spans="1:12">
      <c r="A2827" s="6">
        <v>46196</v>
      </c>
      <c r="B2827" t="s">
        <v>18</v>
      </c>
      <c r="C2827" t="s">
        <v>19</v>
      </c>
      <c r="D2827" s="2">
        <v>177.47312174316599</v>
      </c>
      <c r="E2827" s="2">
        <v>177.47312174316599</v>
      </c>
      <c r="F2827" s="2">
        <v>172.03522664797151</v>
      </c>
      <c r="G2827" s="2">
        <v>172.51969909667969</v>
      </c>
      <c r="H2827" s="3">
        <v>23954730</v>
      </c>
      <c r="I2827" s="4">
        <f t="shared" si="176"/>
        <v>-3.06</v>
      </c>
      <c r="J2827" s="2">
        <f t="shared" si="177"/>
        <v>4.95</v>
      </c>
      <c r="K2827" s="7">
        <f t="shared" si="178"/>
        <v>46174</v>
      </c>
      <c r="L2827" t="str">
        <f t="shared" si="179"/>
        <v>Q2-2026</v>
      </c>
    </row>
    <row r="2828" spans="1:12">
      <c r="A2828" s="6">
        <v>46196</v>
      </c>
      <c r="B2828" t="s">
        <v>20</v>
      </c>
      <c r="C2828" t="s">
        <v>21</v>
      </c>
      <c r="D2828" s="2">
        <v>1110.2650463176831</v>
      </c>
      <c r="E2828" s="2">
        <v>1114.422673470214</v>
      </c>
      <c r="F2828" s="2">
        <v>1094.327777657975</v>
      </c>
      <c r="G2828" s="2">
        <v>1098.287353515625</v>
      </c>
      <c r="H2828" s="3">
        <v>3235632</v>
      </c>
      <c r="I2828" s="4">
        <f t="shared" si="176"/>
        <v>-1.44</v>
      </c>
      <c r="J2828" s="2">
        <f t="shared" si="177"/>
        <v>16.14</v>
      </c>
      <c r="K2828" s="7">
        <f t="shared" si="178"/>
        <v>46174</v>
      </c>
      <c r="L2828" t="str">
        <f t="shared" si="179"/>
        <v>Q2-2026</v>
      </c>
    </row>
    <row r="2829" spans="1:12">
      <c r="A2829" s="6">
        <v>46196</v>
      </c>
      <c r="B2829" t="s">
        <v>22</v>
      </c>
      <c r="C2829" t="s">
        <v>23</v>
      </c>
      <c r="D2829" s="2">
        <v>962.38399713266585</v>
      </c>
      <c r="E2829" s="2">
        <v>971.72659052603092</v>
      </c>
      <c r="F2829" s="2">
        <v>954.63166466915641</v>
      </c>
      <c r="G2829" s="2">
        <v>956.52008056640625</v>
      </c>
      <c r="H2829" s="3">
        <v>8202516</v>
      </c>
      <c r="I2829" s="4">
        <f t="shared" si="176"/>
        <v>-0.81</v>
      </c>
      <c r="J2829" s="2">
        <f t="shared" si="177"/>
        <v>15.21</v>
      </c>
      <c r="K2829" s="7">
        <f t="shared" si="178"/>
        <v>46174</v>
      </c>
      <c r="L2829" t="str">
        <f t="shared" si="179"/>
        <v>Q2-2026</v>
      </c>
    </row>
    <row r="2830" spans="1:12">
      <c r="A2830" s="6">
        <v>46196</v>
      </c>
      <c r="B2830" t="s">
        <v>24</v>
      </c>
      <c r="C2830" t="s">
        <v>25</v>
      </c>
      <c r="D2830" s="2">
        <v>13286.56214570478</v>
      </c>
      <c r="E2830" s="2">
        <v>13414.279471844569</v>
      </c>
      <c r="F2830" s="2">
        <v>13104.39169601703</v>
      </c>
      <c r="G2830" s="2">
        <v>13317.25390625</v>
      </c>
      <c r="H2830" s="3">
        <v>398558</v>
      </c>
      <c r="I2830" s="4">
        <f t="shared" si="176"/>
        <v>-1.37</v>
      </c>
      <c r="J2830" s="2">
        <f t="shared" si="177"/>
        <v>97.03</v>
      </c>
      <c r="K2830" s="7">
        <f t="shared" si="178"/>
        <v>46174</v>
      </c>
      <c r="L2830" t="str">
        <f t="shared" si="179"/>
        <v>Q2-2026</v>
      </c>
    </row>
    <row r="2831" spans="1:12">
      <c r="A2831" s="6">
        <v>46196</v>
      </c>
      <c r="B2831" t="s">
        <v>26</v>
      </c>
      <c r="C2831" t="s">
        <v>27</v>
      </c>
      <c r="D2831" s="2">
        <v>361.5</v>
      </c>
      <c r="E2831" s="2">
        <v>361.89999389648438</v>
      </c>
      <c r="F2831" s="2">
        <v>350.10000610351563</v>
      </c>
      <c r="G2831" s="2">
        <v>354.54998779296881</v>
      </c>
      <c r="H2831" s="3">
        <v>16257406</v>
      </c>
      <c r="I2831" s="4">
        <f t="shared" si="176"/>
        <v>-3.15</v>
      </c>
      <c r="J2831" s="2">
        <f t="shared" si="177"/>
        <v>7.35</v>
      </c>
      <c r="K2831" s="7">
        <f t="shared" si="178"/>
        <v>46174</v>
      </c>
      <c r="L2831" t="str">
        <f t="shared" si="179"/>
        <v>Q2-2026</v>
      </c>
    </row>
    <row r="2832" spans="1:12">
      <c r="A2832" s="6">
        <v>46196</v>
      </c>
      <c r="B2832" t="s">
        <v>28</v>
      </c>
      <c r="C2832" t="s">
        <v>29</v>
      </c>
      <c r="D2832" s="2">
        <v>1865.111837448349</v>
      </c>
      <c r="E2832" s="2">
        <v>1897.4271685009071</v>
      </c>
      <c r="F2832" s="2">
        <v>1856.33479186575</v>
      </c>
      <c r="G2832" s="2">
        <v>1863.117065429688</v>
      </c>
      <c r="H2832" s="3">
        <v>2812236</v>
      </c>
      <c r="I2832" s="4">
        <f t="shared" si="176"/>
        <v>-0.47</v>
      </c>
      <c r="J2832" s="2">
        <f t="shared" si="177"/>
        <v>34.31</v>
      </c>
      <c r="K2832" s="7">
        <f t="shared" si="178"/>
        <v>46174</v>
      </c>
      <c r="L2832" t="str">
        <f t="shared" si="179"/>
        <v>Q2-2026</v>
      </c>
    </row>
    <row r="2833" spans="1:12">
      <c r="A2833" s="6">
        <v>46196</v>
      </c>
      <c r="B2833" t="s">
        <v>30</v>
      </c>
      <c r="C2833" t="s">
        <v>31</v>
      </c>
      <c r="D2833" s="2">
        <v>2669</v>
      </c>
      <c r="E2833" s="2">
        <v>2695.39990234375</v>
      </c>
      <c r="F2833" s="2">
        <v>2650.10009765625</v>
      </c>
      <c r="G2833" s="2">
        <v>2661.199951171875</v>
      </c>
      <c r="H2833" s="3">
        <v>1182151</v>
      </c>
      <c r="I2833" s="4">
        <f t="shared" si="176"/>
        <v>-0.71</v>
      </c>
      <c r="J2833" s="2">
        <f t="shared" si="177"/>
        <v>34.200000000000003</v>
      </c>
      <c r="K2833" s="7">
        <f t="shared" si="178"/>
        <v>46174</v>
      </c>
      <c r="L2833" t="str">
        <f t="shared" si="179"/>
        <v>Q2-2026</v>
      </c>
    </row>
    <row r="2834" spans="1:12">
      <c r="A2834" s="6">
        <v>46196</v>
      </c>
      <c r="B2834" t="s">
        <v>32</v>
      </c>
      <c r="C2834" t="s">
        <v>33</v>
      </c>
      <c r="D2834" s="2">
        <v>2160.10009765625</v>
      </c>
      <c r="E2834" s="2">
        <v>2179.699951171875</v>
      </c>
      <c r="F2834" s="2">
        <v>2156</v>
      </c>
      <c r="G2834" s="2">
        <v>2160.10009765625</v>
      </c>
      <c r="H2834" s="3">
        <v>710082</v>
      </c>
      <c r="I2834" s="4">
        <f t="shared" si="176"/>
        <v>-0.19</v>
      </c>
      <c r="J2834" s="2">
        <f t="shared" si="177"/>
        <v>19.600000000000001</v>
      </c>
      <c r="K2834" s="7">
        <f t="shared" si="178"/>
        <v>46174</v>
      </c>
      <c r="L2834" t="str">
        <f t="shared" si="179"/>
        <v>Q2-2026</v>
      </c>
    </row>
    <row r="2835" spans="1:12">
      <c r="A2835" s="6">
        <v>46196</v>
      </c>
      <c r="B2835" t="s">
        <v>34</v>
      </c>
      <c r="C2835" t="s">
        <v>35</v>
      </c>
      <c r="D2835" s="2">
        <v>4210</v>
      </c>
      <c r="E2835" s="2">
        <v>4242.39990234375</v>
      </c>
      <c r="F2835" s="2">
        <v>4166</v>
      </c>
      <c r="G2835" s="2">
        <v>4179.39990234375</v>
      </c>
      <c r="H2835" s="3">
        <v>2198497</v>
      </c>
      <c r="I2835" s="4">
        <f t="shared" si="176"/>
        <v>-1.05</v>
      </c>
      <c r="J2835" s="2">
        <f t="shared" si="177"/>
        <v>63</v>
      </c>
      <c r="K2835" s="7">
        <f t="shared" si="178"/>
        <v>46174</v>
      </c>
      <c r="L2835" t="str">
        <f t="shared" si="179"/>
        <v>Q2-2026</v>
      </c>
    </row>
    <row r="2836" spans="1:12">
      <c r="A2836" s="6">
        <v>46196</v>
      </c>
      <c r="B2836" t="s">
        <v>36</v>
      </c>
      <c r="C2836" t="s">
        <v>37</v>
      </c>
      <c r="D2836" s="2">
        <v>1357.5529705396621</v>
      </c>
      <c r="E2836" s="2">
        <v>1370.8427696854019</v>
      </c>
      <c r="F2836" s="2">
        <v>1355.054897164616</v>
      </c>
      <c r="G2836" s="2">
        <v>1362.44921875</v>
      </c>
      <c r="H2836" s="3">
        <v>5745853</v>
      </c>
      <c r="I2836" s="4">
        <f t="shared" si="176"/>
        <v>-0.18</v>
      </c>
      <c r="J2836" s="2">
        <f t="shared" si="177"/>
        <v>8.39</v>
      </c>
      <c r="K2836" s="7">
        <f t="shared" si="178"/>
        <v>46174</v>
      </c>
      <c r="L2836" t="str">
        <f t="shared" si="179"/>
        <v>Q2-2026</v>
      </c>
    </row>
    <row r="2837" spans="1:12">
      <c r="A2837" s="6">
        <v>46197</v>
      </c>
      <c r="B2837" t="s">
        <v>8</v>
      </c>
      <c r="C2837" t="s">
        <v>9</v>
      </c>
      <c r="D2837" s="2">
        <v>1305.699951171875</v>
      </c>
      <c r="E2837" s="2">
        <v>1322</v>
      </c>
      <c r="F2837" s="2">
        <v>1297.5</v>
      </c>
      <c r="G2837" s="2">
        <v>1313.599975585938</v>
      </c>
      <c r="H2837" s="3">
        <v>11030917</v>
      </c>
      <c r="I2837" s="4">
        <f t="shared" si="176"/>
        <v>-0.63</v>
      </c>
      <c r="J2837" s="2">
        <f t="shared" si="177"/>
        <v>8.4</v>
      </c>
      <c r="K2837" s="7">
        <f t="shared" si="178"/>
        <v>46174</v>
      </c>
      <c r="L2837" t="str">
        <f t="shared" si="179"/>
        <v>Q2-2026</v>
      </c>
    </row>
    <row r="2838" spans="1:12">
      <c r="A2838" s="6">
        <v>46197</v>
      </c>
      <c r="B2838" t="s">
        <v>10</v>
      </c>
      <c r="C2838" t="s">
        <v>11</v>
      </c>
      <c r="D2838" s="2">
        <v>2049.7612582514671</v>
      </c>
      <c r="E2838" s="2">
        <v>2109.135662439538</v>
      </c>
      <c r="F2838" s="2">
        <v>2049.7612582514671</v>
      </c>
      <c r="G2838" s="2">
        <v>2097.49951171875</v>
      </c>
      <c r="H2838" s="3">
        <v>4747277</v>
      </c>
      <c r="I2838" s="4">
        <f t="shared" si="176"/>
        <v>0</v>
      </c>
      <c r="J2838" s="2">
        <f t="shared" si="177"/>
        <v>11.64</v>
      </c>
      <c r="K2838" s="7">
        <f t="shared" si="178"/>
        <v>46174</v>
      </c>
      <c r="L2838" t="str">
        <f t="shared" si="179"/>
        <v>Q2-2026</v>
      </c>
    </row>
    <row r="2839" spans="1:12">
      <c r="A2839" s="6">
        <v>46197</v>
      </c>
      <c r="B2839" t="s">
        <v>12</v>
      </c>
      <c r="C2839" t="s">
        <v>13</v>
      </c>
      <c r="D2839" s="2">
        <v>1040.900024414062</v>
      </c>
      <c r="E2839" s="2">
        <v>1065.5</v>
      </c>
      <c r="F2839" s="2">
        <v>1037.699951171875</v>
      </c>
      <c r="G2839" s="2">
        <v>1056.599975585938</v>
      </c>
      <c r="H2839" s="3">
        <v>12346266</v>
      </c>
      <c r="I2839" s="4">
        <f t="shared" si="176"/>
        <v>-0.31</v>
      </c>
      <c r="J2839" s="2">
        <f t="shared" si="177"/>
        <v>8.9</v>
      </c>
      <c r="K2839" s="7">
        <f t="shared" si="178"/>
        <v>46174</v>
      </c>
      <c r="L2839" t="str">
        <f t="shared" si="179"/>
        <v>Q2-2026</v>
      </c>
    </row>
    <row r="2840" spans="1:12">
      <c r="A2840" s="6">
        <v>46197</v>
      </c>
      <c r="B2840" t="s">
        <v>14</v>
      </c>
      <c r="C2840" t="s">
        <v>15</v>
      </c>
      <c r="D2840" s="2">
        <v>773</v>
      </c>
      <c r="E2840" s="2">
        <v>794.9000244140625</v>
      </c>
      <c r="F2840" s="2">
        <v>772.6500244140625</v>
      </c>
      <c r="G2840" s="2">
        <v>793.20001220703125</v>
      </c>
      <c r="H2840" s="3">
        <v>34701292</v>
      </c>
      <c r="I2840" s="4">
        <f t="shared" si="176"/>
        <v>-0.05</v>
      </c>
      <c r="J2840" s="2">
        <f t="shared" si="177"/>
        <v>1.7</v>
      </c>
      <c r="K2840" s="7">
        <f t="shared" si="178"/>
        <v>46174</v>
      </c>
      <c r="L2840" t="str">
        <f t="shared" si="179"/>
        <v>Q2-2026</v>
      </c>
    </row>
    <row r="2841" spans="1:12">
      <c r="A2841" s="6">
        <v>46197</v>
      </c>
      <c r="B2841" t="s">
        <v>16</v>
      </c>
      <c r="C2841" t="s">
        <v>17</v>
      </c>
      <c r="D2841" s="2">
        <v>1329.3925787519861</v>
      </c>
      <c r="E2841" s="2">
        <v>1366.083259275327</v>
      </c>
      <c r="F2841" s="2">
        <v>1329.3925787519861</v>
      </c>
      <c r="G2841" s="2">
        <v>1362.11669921875</v>
      </c>
      <c r="H2841" s="3">
        <v>16440708</v>
      </c>
      <c r="I2841" s="4">
        <f t="shared" si="176"/>
        <v>0</v>
      </c>
      <c r="J2841" s="2">
        <f t="shared" si="177"/>
        <v>3.97</v>
      </c>
      <c r="K2841" s="7">
        <f t="shared" si="178"/>
        <v>46174</v>
      </c>
      <c r="L2841" t="str">
        <f t="shared" si="179"/>
        <v>Q2-2026</v>
      </c>
    </row>
    <row r="2842" spans="1:12">
      <c r="A2842" s="6">
        <v>46197</v>
      </c>
      <c r="B2842" t="s">
        <v>18</v>
      </c>
      <c r="C2842" t="s">
        <v>19</v>
      </c>
      <c r="D2842" s="2">
        <v>169.56345003957679</v>
      </c>
      <c r="E2842" s="2">
        <v>173.50840104306229</v>
      </c>
      <c r="F2842" s="2">
        <v>169.55356838907801</v>
      </c>
      <c r="G2842" s="2">
        <v>172.5097961425781</v>
      </c>
      <c r="H2842" s="3">
        <v>56627728</v>
      </c>
      <c r="I2842" s="4">
        <f t="shared" si="176"/>
        <v>-0.01</v>
      </c>
      <c r="J2842" s="2">
        <f t="shared" si="177"/>
        <v>1</v>
      </c>
      <c r="K2842" s="7">
        <f t="shared" si="178"/>
        <v>46174</v>
      </c>
      <c r="L2842" t="str">
        <f t="shared" si="179"/>
        <v>Q2-2026</v>
      </c>
    </row>
    <row r="2843" spans="1:12">
      <c r="A2843" s="6">
        <v>46197</v>
      </c>
      <c r="B2843" t="s">
        <v>20</v>
      </c>
      <c r="C2843" t="s">
        <v>21</v>
      </c>
      <c r="D2843" s="2">
        <v>1086.5075036113631</v>
      </c>
      <c r="E2843" s="2">
        <v>1110.1659916215431</v>
      </c>
      <c r="F2843" s="2">
        <v>1082.151946351624</v>
      </c>
      <c r="G2843" s="2">
        <v>1102.642822265625</v>
      </c>
      <c r="H2843" s="3">
        <v>3503015</v>
      </c>
      <c r="I2843" s="4">
        <f t="shared" si="176"/>
        <v>-0.4</v>
      </c>
      <c r="J2843" s="2">
        <f t="shared" si="177"/>
        <v>7.52</v>
      </c>
      <c r="K2843" s="7">
        <f t="shared" si="178"/>
        <v>46174</v>
      </c>
      <c r="L2843" t="str">
        <f t="shared" si="179"/>
        <v>Q2-2026</v>
      </c>
    </row>
    <row r="2844" spans="1:12">
      <c r="A2844" s="6">
        <v>46197</v>
      </c>
      <c r="B2844" t="s">
        <v>22</v>
      </c>
      <c r="C2844" t="s">
        <v>23</v>
      </c>
      <c r="D2844" s="2">
        <v>946.5811699790587</v>
      </c>
      <c r="E2844" s="2">
        <v>987.82761847458323</v>
      </c>
      <c r="F2844" s="2">
        <v>946.5811699790587</v>
      </c>
      <c r="G2844" s="2">
        <v>984.8956298828125</v>
      </c>
      <c r="H2844" s="3">
        <v>9873777</v>
      </c>
      <c r="I2844" s="4">
        <f t="shared" si="176"/>
        <v>0</v>
      </c>
      <c r="J2844" s="2">
        <f t="shared" si="177"/>
        <v>2.93</v>
      </c>
      <c r="K2844" s="7">
        <f t="shared" si="178"/>
        <v>46174</v>
      </c>
      <c r="L2844" t="str">
        <f t="shared" si="179"/>
        <v>Q2-2026</v>
      </c>
    </row>
    <row r="2845" spans="1:12">
      <c r="A2845" s="6">
        <v>46197</v>
      </c>
      <c r="B2845" t="s">
        <v>24</v>
      </c>
      <c r="C2845" t="s">
        <v>25</v>
      </c>
      <c r="D2845" s="2">
        <v>13306.36336616848</v>
      </c>
      <c r="E2845" s="2">
        <v>13306.36336616848</v>
      </c>
      <c r="F2845" s="2">
        <v>13069.73979142783</v>
      </c>
      <c r="G2845" s="2">
        <v>13116.2724609375</v>
      </c>
      <c r="H2845" s="3">
        <v>327495</v>
      </c>
      <c r="I2845" s="4">
        <f t="shared" si="176"/>
        <v>-1.78</v>
      </c>
      <c r="J2845" s="2">
        <f t="shared" si="177"/>
        <v>190.09</v>
      </c>
      <c r="K2845" s="7">
        <f t="shared" si="178"/>
        <v>46174</v>
      </c>
      <c r="L2845" t="str">
        <f t="shared" si="179"/>
        <v>Q2-2026</v>
      </c>
    </row>
    <row r="2846" spans="1:12">
      <c r="A2846" s="6">
        <v>46197</v>
      </c>
      <c r="B2846" t="s">
        <v>26</v>
      </c>
      <c r="C2846" t="s">
        <v>27</v>
      </c>
      <c r="D2846" s="2">
        <v>355</v>
      </c>
      <c r="E2846" s="2">
        <v>356.79998779296881</v>
      </c>
      <c r="F2846" s="2">
        <v>348</v>
      </c>
      <c r="G2846" s="2">
        <v>349.70001220703119</v>
      </c>
      <c r="H2846" s="3">
        <v>12569135</v>
      </c>
      <c r="I2846" s="4">
        <f t="shared" si="176"/>
        <v>-1.97</v>
      </c>
      <c r="J2846" s="2">
        <f t="shared" si="177"/>
        <v>7.1</v>
      </c>
      <c r="K2846" s="7">
        <f t="shared" si="178"/>
        <v>46174</v>
      </c>
      <c r="L2846" t="str">
        <f t="shared" si="179"/>
        <v>Q2-2026</v>
      </c>
    </row>
    <row r="2847" spans="1:12">
      <c r="A2847" s="6">
        <v>46197</v>
      </c>
      <c r="B2847" t="s">
        <v>28</v>
      </c>
      <c r="C2847" t="s">
        <v>29</v>
      </c>
      <c r="D2847" s="2">
        <v>1863.117071380588</v>
      </c>
      <c r="E2847" s="2">
        <v>1877.180189806825</v>
      </c>
      <c r="F2847" s="2">
        <v>1860.0251990920319</v>
      </c>
      <c r="G2847" s="2">
        <v>1869.500366210938</v>
      </c>
      <c r="H2847" s="3">
        <v>1406231</v>
      </c>
      <c r="I2847" s="4">
        <f t="shared" si="176"/>
        <v>-0.17</v>
      </c>
      <c r="J2847" s="2">
        <f t="shared" si="177"/>
        <v>7.68</v>
      </c>
      <c r="K2847" s="7">
        <f t="shared" si="178"/>
        <v>46174</v>
      </c>
      <c r="L2847" t="str">
        <f t="shared" si="179"/>
        <v>Q2-2026</v>
      </c>
    </row>
    <row r="2848" spans="1:12">
      <c r="A2848" s="6">
        <v>46197</v>
      </c>
      <c r="B2848" t="s">
        <v>30</v>
      </c>
      <c r="C2848" t="s">
        <v>31</v>
      </c>
      <c r="D2848" s="2">
        <v>2662</v>
      </c>
      <c r="E2848" s="2">
        <v>2687.60009765625</v>
      </c>
      <c r="F2848" s="2">
        <v>2653.60009765625</v>
      </c>
      <c r="G2848" s="2">
        <v>2667.5</v>
      </c>
      <c r="H2848" s="3">
        <v>1264476</v>
      </c>
      <c r="I2848" s="4">
        <f t="shared" si="176"/>
        <v>-0.32</v>
      </c>
      <c r="J2848" s="2">
        <f t="shared" si="177"/>
        <v>20.100000000000001</v>
      </c>
      <c r="K2848" s="7">
        <f t="shared" si="178"/>
        <v>46174</v>
      </c>
      <c r="L2848" t="str">
        <f t="shared" si="179"/>
        <v>Q2-2026</v>
      </c>
    </row>
    <row r="2849" spans="1:12">
      <c r="A2849" s="6">
        <v>46197</v>
      </c>
      <c r="B2849" t="s">
        <v>32</v>
      </c>
      <c r="C2849" t="s">
        <v>33</v>
      </c>
      <c r="D2849" s="2">
        <v>2160</v>
      </c>
      <c r="E2849" s="2">
        <v>2166</v>
      </c>
      <c r="F2849" s="2">
        <v>2140</v>
      </c>
      <c r="G2849" s="2">
        <v>2157.800048828125</v>
      </c>
      <c r="H2849" s="3">
        <v>942271</v>
      </c>
      <c r="I2849" s="4">
        <f t="shared" si="176"/>
        <v>-0.93</v>
      </c>
      <c r="J2849" s="2">
        <f t="shared" si="177"/>
        <v>8.1999999999999993</v>
      </c>
      <c r="K2849" s="7">
        <f t="shared" si="178"/>
        <v>46174</v>
      </c>
      <c r="L2849" t="str">
        <f t="shared" si="179"/>
        <v>Q2-2026</v>
      </c>
    </row>
    <row r="2850" spans="1:12">
      <c r="A2850" s="6">
        <v>46197</v>
      </c>
      <c r="B2850" t="s">
        <v>34</v>
      </c>
      <c r="C2850" t="s">
        <v>35</v>
      </c>
      <c r="D2850" s="2">
        <v>4176.5</v>
      </c>
      <c r="E2850" s="2">
        <v>4215</v>
      </c>
      <c r="F2850" s="2">
        <v>4170</v>
      </c>
      <c r="G2850" s="2">
        <v>4181.7001953125</v>
      </c>
      <c r="H2850" s="3">
        <v>1367416</v>
      </c>
      <c r="I2850" s="4">
        <f t="shared" si="176"/>
        <v>-0.16</v>
      </c>
      <c r="J2850" s="2">
        <f t="shared" si="177"/>
        <v>33.299999999999997</v>
      </c>
      <c r="K2850" s="7">
        <f t="shared" si="178"/>
        <v>46174</v>
      </c>
      <c r="L2850" t="str">
        <f t="shared" si="179"/>
        <v>Q2-2026</v>
      </c>
    </row>
    <row r="2851" spans="1:12">
      <c r="A2851" s="6">
        <v>46197</v>
      </c>
      <c r="B2851" t="s">
        <v>36</v>
      </c>
      <c r="C2851" t="s">
        <v>37</v>
      </c>
      <c r="D2851" s="2">
        <v>1354.955067544691</v>
      </c>
      <c r="E2851" s="2">
        <v>1385.031848114852</v>
      </c>
      <c r="F2851" s="2">
        <v>1354.955067544691</v>
      </c>
      <c r="G2851" s="2">
        <v>1383.43310546875</v>
      </c>
      <c r="H2851" s="3">
        <v>8343829</v>
      </c>
      <c r="I2851" s="4">
        <f t="shared" si="176"/>
        <v>0</v>
      </c>
      <c r="J2851" s="2">
        <f t="shared" si="177"/>
        <v>1.6</v>
      </c>
      <c r="K2851" s="7">
        <f t="shared" si="178"/>
        <v>46174</v>
      </c>
      <c r="L2851" t="str">
        <f t="shared" si="179"/>
        <v>Q2-2026</v>
      </c>
    </row>
    <row r="2852" spans="1:12">
      <c r="A2852" s="6">
        <v>46198</v>
      </c>
      <c r="B2852" t="s">
        <v>8</v>
      </c>
      <c r="C2852" t="s">
        <v>9</v>
      </c>
      <c r="D2852" s="2">
        <v>1318</v>
      </c>
      <c r="E2852" s="2">
        <v>1328</v>
      </c>
      <c r="F2852" s="2">
        <v>1314.599975585938</v>
      </c>
      <c r="G2852" s="2">
        <v>1318.099975585938</v>
      </c>
      <c r="H2852" s="3">
        <v>12694362</v>
      </c>
      <c r="I2852" s="4">
        <f t="shared" si="176"/>
        <v>-0.26</v>
      </c>
      <c r="J2852" s="2">
        <f t="shared" si="177"/>
        <v>9.9</v>
      </c>
      <c r="K2852" s="7">
        <f t="shared" si="178"/>
        <v>46174</v>
      </c>
      <c r="L2852" t="str">
        <f t="shared" si="179"/>
        <v>Q2-2026</v>
      </c>
    </row>
    <row r="2853" spans="1:12">
      <c r="A2853" s="6">
        <v>46198</v>
      </c>
      <c r="B2853" t="s">
        <v>10</v>
      </c>
      <c r="C2853" t="s">
        <v>11</v>
      </c>
      <c r="D2853" s="2">
        <v>2121.9653638619579</v>
      </c>
      <c r="E2853" s="2">
        <v>2136.78401555451</v>
      </c>
      <c r="F2853" s="2">
        <v>2076.6139280790399</v>
      </c>
      <c r="G2853" s="2">
        <v>2083.27734375</v>
      </c>
      <c r="H2853" s="3">
        <v>4738903</v>
      </c>
      <c r="I2853" s="4">
        <f t="shared" si="176"/>
        <v>-2.14</v>
      </c>
      <c r="J2853" s="2">
        <f t="shared" si="177"/>
        <v>53.51</v>
      </c>
      <c r="K2853" s="7">
        <f t="shared" si="178"/>
        <v>46174</v>
      </c>
      <c r="L2853" t="str">
        <f t="shared" si="179"/>
        <v>Q2-2026</v>
      </c>
    </row>
    <row r="2854" spans="1:12">
      <c r="A2854" s="6">
        <v>46198</v>
      </c>
      <c r="B2854" t="s">
        <v>12</v>
      </c>
      <c r="C2854" t="s">
        <v>13</v>
      </c>
      <c r="D2854" s="2">
        <v>1065</v>
      </c>
      <c r="E2854" s="2">
        <v>1068</v>
      </c>
      <c r="F2854" s="2">
        <v>1039.099975585938</v>
      </c>
      <c r="G2854" s="2">
        <v>1041.199951171875</v>
      </c>
      <c r="H2854" s="3">
        <v>15866779</v>
      </c>
      <c r="I2854" s="4">
        <f t="shared" si="176"/>
        <v>-2.4300000000000002</v>
      </c>
      <c r="J2854" s="2">
        <f t="shared" si="177"/>
        <v>26.8</v>
      </c>
      <c r="K2854" s="7">
        <f t="shared" si="178"/>
        <v>46174</v>
      </c>
      <c r="L2854" t="str">
        <f t="shared" si="179"/>
        <v>Q2-2026</v>
      </c>
    </row>
    <row r="2855" spans="1:12">
      <c r="A2855" s="6">
        <v>46198</v>
      </c>
      <c r="B2855" t="s">
        <v>14</v>
      </c>
      <c r="C2855" t="s">
        <v>15</v>
      </c>
      <c r="D2855" s="2">
        <v>798.5</v>
      </c>
      <c r="E2855" s="2">
        <v>804.45001220703125</v>
      </c>
      <c r="F2855" s="2">
        <v>794.75</v>
      </c>
      <c r="G2855" s="2">
        <v>796.29998779296875</v>
      </c>
      <c r="H2855" s="3">
        <v>46707966</v>
      </c>
      <c r="I2855" s="4">
        <f t="shared" si="176"/>
        <v>-0.47</v>
      </c>
      <c r="J2855" s="2">
        <f t="shared" si="177"/>
        <v>8.15</v>
      </c>
      <c r="K2855" s="7">
        <f t="shared" si="178"/>
        <v>46174</v>
      </c>
      <c r="L2855" t="str">
        <f t="shared" si="179"/>
        <v>Q2-2026</v>
      </c>
    </row>
    <row r="2856" spans="1:12">
      <c r="A2856" s="6">
        <v>46198</v>
      </c>
      <c r="B2856" t="s">
        <v>16</v>
      </c>
      <c r="C2856" t="s">
        <v>17</v>
      </c>
      <c r="D2856" s="2">
        <v>1370.3473528540351</v>
      </c>
      <c r="E2856" s="2">
        <v>1392.262572846284</v>
      </c>
      <c r="F2856" s="2">
        <v>1368.5623524176431</v>
      </c>
      <c r="G2856" s="2">
        <v>1375.900512695312</v>
      </c>
      <c r="H2856" s="3">
        <v>17173209</v>
      </c>
      <c r="I2856" s="4">
        <f t="shared" si="176"/>
        <v>-0.13</v>
      </c>
      <c r="J2856" s="2">
        <f t="shared" si="177"/>
        <v>16.36</v>
      </c>
      <c r="K2856" s="7">
        <f t="shared" si="178"/>
        <v>46174</v>
      </c>
      <c r="L2856" t="str">
        <f t="shared" si="179"/>
        <v>Q2-2026</v>
      </c>
    </row>
    <row r="2857" spans="1:12">
      <c r="A2857" s="6">
        <v>46198</v>
      </c>
      <c r="B2857" t="s">
        <v>18</v>
      </c>
      <c r="C2857" t="s">
        <v>19</v>
      </c>
      <c r="D2857" s="2">
        <v>174.01264927455361</v>
      </c>
      <c r="E2857" s="2">
        <v>174.39824488255459</v>
      </c>
      <c r="F2857" s="2">
        <v>170.74002743214899</v>
      </c>
      <c r="G2857" s="2">
        <v>173.02394104003909</v>
      </c>
      <c r="H2857" s="3">
        <v>21544904</v>
      </c>
      <c r="I2857" s="4">
        <f t="shared" si="176"/>
        <v>-1.88</v>
      </c>
      <c r="J2857" s="2">
        <f t="shared" si="177"/>
        <v>1.37</v>
      </c>
      <c r="K2857" s="7">
        <f t="shared" si="178"/>
        <v>46174</v>
      </c>
      <c r="L2857" t="str">
        <f t="shared" si="179"/>
        <v>Q2-2026</v>
      </c>
    </row>
    <row r="2858" spans="1:12">
      <c r="A2858" s="6">
        <v>46198</v>
      </c>
      <c r="B2858" t="s">
        <v>20</v>
      </c>
      <c r="C2858" t="s">
        <v>21</v>
      </c>
      <c r="D2858" s="2">
        <v>1121.5497933111189</v>
      </c>
      <c r="E2858" s="2">
        <v>1122.0447402631539</v>
      </c>
      <c r="F2858" s="2">
        <v>1086.40855971664</v>
      </c>
      <c r="G2858" s="2">
        <v>1089.576171875</v>
      </c>
      <c r="H2858" s="3">
        <v>5877425</v>
      </c>
      <c r="I2858" s="4">
        <f t="shared" si="176"/>
        <v>-3.13</v>
      </c>
      <c r="J2858" s="2">
        <f t="shared" si="177"/>
        <v>32.47</v>
      </c>
      <c r="K2858" s="7">
        <f t="shared" si="178"/>
        <v>46174</v>
      </c>
      <c r="L2858" t="str">
        <f t="shared" si="179"/>
        <v>Q2-2026</v>
      </c>
    </row>
    <row r="2859" spans="1:12">
      <c r="A2859" s="6">
        <v>46198</v>
      </c>
      <c r="B2859" t="s">
        <v>22</v>
      </c>
      <c r="C2859" t="s">
        <v>23</v>
      </c>
      <c r="D2859" s="2">
        <v>990.11355015808624</v>
      </c>
      <c r="E2859" s="2">
        <v>999.45608278045154</v>
      </c>
      <c r="F2859" s="2">
        <v>972.91925973297418</v>
      </c>
      <c r="G2859" s="2">
        <v>974.41009521484375</v>
      </c>
      <c r="H2859" s="3">
        <v>12807092</v>
      </c>
      <c r="I2859" s="4">
        <f t="shared" si="176"/>
        <v>-1.74</v>
      </c>
      <c r="J2859" s="2">
        <f t="shared" si="177"/>
        <v>25.05</v>
      </c>
      <c r="K2859" s="7">
        <f t="shared" si="178"/>
        <v>46174</v>
      </c>
      <c r="L2859" t="str">
        <f t="shared" si="179"/>
        <v>Q2-2026</v>
      </c>
    </row>
    <row r="2860" spans="1:12">
      <c r="A2860" s="6">
        <v>46198</v>
      </c>
      <c r="B2860" t="s">
        <v>24</v>
      </c>
      <c r="C2860" t="s">
        <v>25</v>
      </c>
      <c r="D2860" s="2">
        <v>13225.179063551521</v>
      </c>
      <c r="E2860" s="2">
        <v>13778.620828525711</v>
      </c>
      <c r="F2860" s="2">
        <v>13193.497245163009</v>
      </c>
      <c r="G2860" s="2">
        <v>13608.3310546875</v>
      </c>
      <c r="H2860" s="3">
        <v>981556</v>
      </c>
      <c r="I2860" s="4">
        <f t="shared" si="176"/>
        <v>-0.24</v>
      </c>
      <c r="J2860" s="2">
        <f t="shared" si="177"/>
        <v>170.29</v>
      </c>
      <c r="K2860" s="7">
        <f t="shared" si="178"/>
        <v>46174</v>
      </c>
      <c r="L2860" t="str">
        <f t="shared" si="179"/>
        <v>Q2-2026</v>
      </c>
    </row>
    <row r="2861" spans="1:12">
      <c r="A2861" s="6">
        <v>46198</v>
      </c>
      <c r="B2861" t="s">
        <v>26</v>
      </c>
      <c r="C2861" t="s">
        <v>27</v>
      </c>
      <c r="D2861" s="2">
        <v>352.29998779296881</v>
      </c>
      <c r="E2861" s="2">
        <v>360.5</v>
      </c>
      <c r="F2861" s="2">
        <v>351</v>
      </c>
      <c r="G2861" s="2">
        <v>353.20001220703119</v>
      </c>
      <c r="H2861" s="3">
        <v>15424509</v>
      </c>
      <c r="I2861" s="4">
        <f t="shared" si="176"/>
        <v>-0.37</v>
      </c>
      <c r="J2861" s="2">
        <f t="shared" si="177"/>
        <v>7.3</v>
      </c>
      <c r="K2861" s="7">
        <f t="shared" si="178"/>
        <v>46174</v>
      </c>
      <c r="L2861" t="str">
        <f t="shared" si="179"/>
        <v>Q2-2026</v>
      </c>
    </row>
    <row r="2862" spans="1:12">
      <c r="A2862" s="6">
        <v>46198</v>
      </c>
      <c r="B2862" t="s">
        <v>28</v>
      </c>
      <c r="C2862" t="s">
        <v>29</v>
      </c>
      <c r="D2862" s="2">
        <v>1865.11191700582</v>
      </c>
      <c r="E2862" s="2">
        <v>1882.067479887691</v>
      </c>
      <c r="F2862" s="2">
        <v>1853.1432843833229</v>
      </c>
      <c r="G2862" s="2">
        <v>1857.930786132812</v>
      </c>
      <c r="H2862" s="3">
        <v>1816438</v>
      </c>
      <c r="I2862" s="4">
        <f t="shared" si="176"/>
        <v>-0.64</v>
      </c>
      <c r="J2862" s="2">
        <f t="shared" si="177"/>
        <v>24.14</v>
      </c>
      <c r="K2862" s="7">
        <f t="shared" si="178"/>
        <v>46174</v>
      </c>
      <c r="L2862" t="str">
        <f t="shared" si="179"/>
        <v>Q2-2026</v>
      </c>
    </row>
    <row r="2863" spans="1:12">
      <c r="A2863" s="6">
        <v>46198</v>
      </c>
      <c r="B2863" t="s">
        <v>30</v>
      </c>
      <c r="C2863" t="s">
        <v>31</v>
      </c>
      <c r="D2863" s="2">
        <v>2690</v>
      </c>
      <c r="E2863" s="2">
        <v>2690.699951171875</v>
      </c>
      <c r="F2863" s="2">
        <v>2637.10009765625</v>
      </c>
      <c r="G2863" s="2">
        <v>2645.199951171875</v>
      </c>
      <c r="H2863" s="3">
        <v>2050810</v>
      </c>
      <c r="I2863" s="4">
        <f t="shared" si="176"/>
        <v>-1.97</v>
      </c>
      <c r="J2863" s="2">
        <f t="shared" si="177"/>
        <v>45.5</v>
      </c>
      <c r="K2863" s="7">
        <f t="shared" si="178"/>
        <v>46174</v>
      </c>
      <c r="L2863" t="str">
        <f t="shared" si="179"/>
        <v>Q2-2026</v>
      </c>
    </row>
    <row r="2864" spans="1:12">
      <c r="A2864" s="6">
        <v>46198</v>
      </c>
      <c r="B2864" t="s">
        <v>32</v>
      </c>
      <c r="C2864" t="s">
        <v>33</v>
      </c>
      <c r="D2864" s="2">
        <v>2161</v>
      </c>
      <c r="E2864" s="2">
        <v>2200.89990234375</v>
      </c>
      <c r="F2864" s="2">
        <v>2161</v>
      </c>
      <c r="G2864" s="2">
        <v>2174.199951171875</v>
      </c>
      <c r="H2864" s="3">
        <v>1898262</v>
      </c>
      <c r="I2864" s="4">
        <f t="shared" si="176"/>
        <v>0</v>
      </c>
      <c r="J2864" s="2">
        <f t="shared" si="177"/>
        <v>26.7</v>
      </c>
      <c r="K2864" s="7">
        <f t="shared" si="178"/>
        <v>46174</v>
      </c>
      <c r="L2864" t="str">
        <f t="shared" si="179"/>
        <v>Q2-2026</v>
      </c>
    </row>
    <row r="2865" spans="1:12">
      <c r="A2865" s="6">
        <v>46198</v>
      </c>
      <c r="B2865" t="s">
        <v>34</v>
      </c>
      <c r="C2865" t="s">
        <v>35</v>
      </c>
      <c r="D2865" s="2">
        <v>4207</v>
      </c>
      <c r="E2865" s="2">
        <v>4272.2998046875</v>
      </c>
      <c r="F2865" s="2">
        <v>4187.10009765625</v>
      </c>
      <c r="G2865" s="2">
        <v>4216.39990234375</v>
      </c>
      <c r="H2865" s="3">
        <v>3104020</v>
      </c>
      <c r="I2865" s="4">
        <f t="shared" si="176"/>
        <v>-0.47</v>
      </c>
      <c r="J2865" s="2">
        <f t="shared" si="177"/>
        <v>55.9</v>
      </c>
      <c r="K2865" s="7">
        <f t="shared" si="178"/>
        <v>46174</v>
      </c>
      <c r="L2865" t="str">
        <f t="shared" si="179"/>
        <v>Q2-2026</v>
      </c>
    </row>
    <row r="2866" spans="1:12">
      <c r="A2866" s="6">
        <v>46198</v>
      </c>
      <c r="B2866" t="s">
        <v>36</v>
      </c>
      <c r="C2866" t="s">
        <v>37</v>
      </c>
      <c r="D2866" s="2">
        <v>1385.831270177255</v>
      </c>
      <c r="E2866" s="2">
        <v>1399.0210493803561</v>
      </c>
      <c r="F2866" s="2">
        <v>1371.642139604455</v>
      </c>
      <c r="G2866" s="2">
        <v>1376.138671875</v>
      </c>
      <c r="H2866" s="3">
        <v>7995552</v>
      </c>
      <c r="I2866" s="4">
        <f t="shared" si="176"/>
        <v>-1.02</v>
      </c>
      <c r="J2866" s="2">
        <f t="shared" si="177"/>
        <v>22.88</v>
      </c>
      <c r="K2866" s="7">
        <f t="shared" si="178"/>
        <v>46174</v>
      </c>
      <c r="L2866" t="str">
        <f t="shared" si="179"/>
        <v>Q2-2026</v>
      </c>
    </row>
    <row r="2867" spans="1:12">
      <c r="A2867" s="6">
        <v>46202</v>
      </c>
      <c r="B2867" t="s">
        <v>8</v>
      </c>
      <c r="C2867" t="s">
        <v>9</v>
      </c>
      <c r="D2867" s="2">
        <v>1308</v>
      </c>
      <c r="E2867" s="2">
        <v>1313.699951171875</v>
      </c>
      <c r="F2867" s="2">
        <v>1292.599975585938</v>
      </c>
      <c r="G2867" s="2">
        <v>1301</v>
      </c>
      <c r="H2867" s="3">
        <v>13757656</v>
      </c>
      <c r="I2867" s="4">
        <f t="shared" si="176"/>
        <v>-1.18</v>
      </c>
      <c r="J2867" s="2">
        <f t="shared" si="177"/>
        <v>12.7</v>
      </c>
      <c r="K2867" s="7">
        <f t="shared" si="178"/>
        <v>46174</v>
      </c>
      <c r="L2867" t="str">
        <f t="shared" si="179"/>
        <v>Q2-2026</v>
      </c>
    </row>
    <row r="2868" spans="1:12">
      <c r="A2868" s="6">
        <v>46202</v>
      </c>
      <c r="B2868" t="s">
        <v>10</v>
      </c>
      <c r="C2868" t="s">
        <v>11</v>
      </c>
      <c r="D2868" s="2">
        <v>2078.6031371123331</v>
      </c>
      <c r="E2868" s="2">
        <v>2093.5213414456748</v>
      </c>
      <c r="F2868" s="2">
        <v>2059.7067449567662</v>
      </c>
      <c r="G2868" s="2">
        <v>2086.4599609375</v>
      </c>
      <c r="H2868" s="3">
        <v>3412470</v>
      </c>
      <c r="I2868" s="4">
        <f t="shared" si="176"/>
        <v>-0.91</v>
      </c>
      <c r="J2868" s="2">
        <f t="shared" si="177"/>
        <v>7.06</v>
      </c>
      <c r="K2868" s="7">
        <f t="shared" si="178"/>
        <v>46174</v>
      </c>
      <c r="L2868" t="str">
        <f t="shared" si="179"/>
        <v>Q2-2026</v>
      </c>
    </row>
    <row r="2869" spans="1:12">
      <c r="A2869" s="6">
        <v>46202</v>
      </c>
      <c r="B2869" t="s">
        <v>12</v>
      </c>
      <c r="C2869" t="s">
        <v>13</v>
      </c>
      <c r="D2869" s="2">
        <v>1037.099975585938</v>
      </c>
      <c r="E2869" s="2">
        <v>1046.599975585938</v>
      </c>
      <c r="F2869" s="2">
        <v>1029.099975585938</v>
      </c>
      <c r="G2869" s="2">
        <v>1036.699951171875</v>
      </c>
      <c r="H2869" s="3">
        <v>15080892</v>
      </c>
      <c r="I2869" s="4">
        <f t="shared" si="176"/>
        <v>-0.77</v>
      </c>
      <c r="J2869" s="2">
        <f t="shared" si="177"/>
        <v>9.9</v>
      </c>
      <c r="K2869" s="7">
        <f t="shared" si="178"/>
        <v>46174</v>
      </c>
      <c r="L2869" t="str">
        <f t="shared" si="179"/>
        <v>Q2-2026</v>
      </c>
    </row>
    <row r="2870" spans="1:12">
      <c r="A2870" s="6">
        <v>46202</v>
      </c>
      <c r="B2870" t="s">
        <v>14</v>
      </c>
      <c r="C2870" t="s">
        <v>15</v>
      </c>
      <c r="D2870" s="2">
        <v>800</v>
      </c>
      <c r="E2870" s="2">
        <v>805.9000244140625</v>
      </c>
      <c r="F2870" s="2">
        <v>793.29998779296875</v>
      </c>
      <c r="G2870" s="2">
        <v>798.9000244140625</v>
      </c>
      <c r="H2870" s="3">
        <v>46695977</v>
      </c>
      <c r="I2870" s="4">
        <f t="shared" si="176"/>
        <v>-0.84</v>
      </c>
      <c r="J2870" s="2">
        <f t="shared" si="177"/>
        <v>7</v>
      </c>
      <c r="K2870" s="7">
        <f t="shared" si="178"/>
        <v>46174</v>
      </c>
      <c r="L2870" t="str">
        <f t="shared" si="179"/>
        <v>Q2-2026</v>
      </c>
    </row>
    <row r="2871" spans="1:12">
      <c r="A2871" s="6">
        <v>46202</v>
      </c>
      <c r="B2871" t="s">
        <v>16</v>
      </c>
      <c r="C2871" t="s">
        <v>17</v>
      </c>
      <c r="D2871" s="2">
        <v>1378.379593988644</v>
      </c>
      <c r="E2871" s="2">
        <v>1390.2792739367469</v>
      </c>
      <c r="F2871" s="2">
        <v>1371.636393598131</v>
      </c>
      <c r="G2871" s="2">
        <v>1375.999633789062</v>
      </c>
      <c r="H2871" s="3">
        <v>13249405</v>
      </c>
      <c r="I2871" s="4">
        <f t="shared" si="176"/>
        <v>-0.49</v>
      </c>
      <c r="J2871" s="2">
        <f t="shared" si="177"/>
        <v>14.28</v>
      </c>
      <c r="K2871" s="7">
        <f t="shared" si="178"/>
        <v>46174</v>
      </c>
      <c r="L2871" t="str">
        <f t="shared" si="179"/>
        <v>Q2-2026</v>
      </c>
    </row>
    <row r="2872" spans="1:12">
      <c r="A2872" s="6">
        <v>46202</v>
      </c>
      <c r="B2872" t="s">
        <v>18</v>
      </c>
      <c r="C2872" t="s">
        <v>19</v>
      </c>
      <c r="D2872" s="2">
        <v>174.2894741882829</v>
      </c>
      <c r="E2872" s="2">
        <v>174.69484815685081</v>
      </c>
      <c r="F2872" s="2">
        <v>172.62845171194019</v>
      </c>
      <c r="G2872" s="2">
        <v>173.4985046386719</v>
      </c>
      <c r="H2872" s="3">
        <v>24484011</v>
      </c>
      <c r="I2872" s="4">
        <f t="shared" si="176"/>
        <v>-0.95</v>
      </c>
      <c r="J2872" s="2">
        <f t="shared" si="177"/>
        <v>1.2</v>
      </c>
      <c r="K2872" s="7">
        <f t="shared" si="178"/>
        <v>46174</v>
      </c>
      <c r="L2872" t="str">
        <f t="shared" si="179"/>
        <v>Q2-2026</v>
      </c>
    </row>
    <row r="2873" spans="1:12">
      <c r="A2873" s="6">
        <v>46202</v>
      </c>
      <c r="B2873" t="s">
        <v>20</v>
      </c>
      <c r="C2873" t="s">
        <v>21</v>
      </c>
      <c r="D2873" s="2">
        <v>1084.5277065108401</v>
      </c>
      <c r="E2873" s="2">
        <v>1097.0994312395701</v>
      </c>
      <c r="F2873" s="2">
        <v>1075.0247494674099</v>
      </c>
      <c r="G2873" s="2">
        <v>1091.259033203125</v>
      </c>
      <c r="H2873" s="3">
        <v>5186504</v>
      </c>
      <c r="I2873" s="4">
        <f t="shared" si="176"/>
        <v>-0.88</v>
      </c>
      <c r="J2873" s="2">
        <f t="shared" si="177"/>
        <v>5.84</v>
      </c>
      <c r="K2873" s="7">
        <f t="shared" si="178"/>
        <v>46174</v>
      </c>
      <c r="L2873" t="str">
        <f t="shared" si="179"/>
        <v>Q2-2026</v>
      </c>
    </row>
    <row r="2874" spans="1:12">
      <c r="A2874" s="6">
        <v>46202</v>
      </c>
      <c r="B2874" t="s">
        <v>22</v>
      </c>
      <c r="C2874" t="s">
        <v>23</v>
      </c>
      <c r="D2874" s="2">
        <v>969.34122805619711</v>
      </c>
      <c r="E2874" s="2">
        <v>986.23736368954792</v>
      </c>
      <c r="F2874" s="2">
        <v>969.34122805619711</v>
      </c>
      <c r="G2874" s="2">
        <v>976.04998779296875</v>
      </c>
      <c r="H2874" s="3">
        <v>19875760</v>
      </c>
      <c r="I2874" s="4">
        <f t="shared" si="176"/>
        <v>0</v>
      </c>
      <c r="J2874" s="2">
        <f t="shared" si="177"/>
        <v>10.19</v>
      </c>
      <c r="K2874" s="7">
        <f t="shared" si="178"/>
        <v>46174</v>
      </c>
      <c r="L2874" t="str">
        <f t="shared" si="179"/>
        <v>Q2-2026</v>
      </c>
    </row>
    <row r="2875" spans="1:12">
      <c r="A2875" s="6">
        <v>46202</v>
      </c>
      <c r="B2875" t="s">
        <v>24</v>
      </c>
      <c r="C2875" t="s">
        <v>25</v>
      </c>
      <c r="D2875" s="2">
        <v>13603.38022707044</v>
      </c>
      <c r="E2875" s="2">
        <v>13702.38590557896</v>
      </c>
      <c r="F2875" s="2">
        <v>13238.04927337401</v>
      </c>
      <c r="G2875" s="2">
        <v>13278.6416015625</v>
      </c>
      <c r="H2875" s="3">
        <v>1358592</v>
      </c>
      <c r="I2875" s="4">
        <f t="shared" si="176"/>
        <v>-2.69</v>
      </c>
      <c r="J2875" s="2">
        <f t="shared" si="177"/>
        <v>423.74</v>
      </c>
      <c r="K2875" s="7">
        <f t="shared" si="178"/>
        <v>46174</v>
      </c>
      <c r="L2875" t="str">
        <f t="shared" si="179"/>
        <v>Q2-2026</v>
      </c>
    </row>
    <row r="2876" spans="1:12">
      <c r="A2876" s="6">
        <v>46202</v>
      </c>
      <c r="B2876" t="s">
        <v>26</v>
      </c>
      <c r="C2876" t="s">
        <v>27</v>
      </c>
      <c r="D2876" s="2">
        <v>350</v>
      </c>
      <c r="E2876" s="2">
        <v>354.45001220703119</v>
      </c>
      <c r="F2876" s="2">
        <v>343.39999389648438</v>
      </c>
      <c r="G2876" s="2">
        <v>345.04998779296881</v>
      </c>
      <c r="H2876" s="3">
        <v>11882122</v>
      </c>
      <c r="I2876" s="4">
        <f t="shared" si="176"/>
        <v>-1.89</v>
      </c>
      <c r="J2876" s="2">
        <f t="shared" si="177"/>
        <v>9.4</v>
      </c>
      <c r="K2876" s="7">
        <f t="shared" si="178"/>
        <v>46174</v>
      </c>
      <c r="L2876" t="str">
        <f t="shared" si="179"/>
        <v>Q2-2026</v>
      </c>
    </row>
    <row r="2877" spans="1:12">
      <c r="A2877" s="6">
        <v>46202</v>
      </c>
      <c r="B2877" t="s">
        <v>28</v>
      </c>
      <c r="C2877" t="s">
        <v>29</v>
      </c>
      <c r="D2877" s="2">
        <v>1871.8941861612429</v>
      </c>
      <c r="E2877" s="2">
        <v>1892.1410499127519</v>
      </c>
      <c r="F2877" s="2">
        <v>1851.0487933791301</v>
      </c>
      <c r="G2877" s="2">
        <v>1869.8994140625</v>
      </c>
      <c r="H2877" s="3">
        <v>1655869</v>
      </c>
      <c r="I2877" s="4">
        <f t="shared" si="176"/>
        <v>-1.1100000000000001</v>
      </c>
      <c r="J2877" s="2">
        <f t="shared" si="177"/>
        <v>22.24</v>
      </c>
      <c r="K2877" s="7">
        <f t="shared" si="178"/>
        <v>46174</v>
      </c>
      <c r="L2877" t="str">
        <f t="shared" si="179"/>
        <v>Q2-2026</v>
      </c>
    </row>
    <row r="2878" spans="1:12">
      <c r="A2878" s="6">
        <v>46202</v>
      </c>
      <c r="B2878" t="s">
        <v>30</v>
      </c>
      <c r="C2878" t="s">
        <v>31</v>
      </c>
      <c r="D2878" s="2">
        <v>2631.300048828125</v>
      </c>
      <c r="E2878" s="2">
        <v>2687.800048828125</v>
      </c>
      <c r="F2878" s="2">
        <v>2630</v>
      </c>
      <c r="G2878" s="2">
        <v>2656.89990234375</v>
      </c>
      <c r="H2878" s="3">
        <v>4752587</v>
      </c>
      <c r="I2878" s="4">
        <f t="shared" si="176"/>
        <v>-0.05</v>
      </c>
      <c r="J2878" s="2">
        <f t="shared" si="177"/>
        <v>30.9</v>
      </c>
      <c r="K2878" s="7">
        <f t="shared" si="178"/>
        <v>46174</v>
      </c>
      <c r="L2878" t="str">
        <f t="shared" si="179"/>
        <v>Q2-2026</v>
      </c>
    </row>
    <row r="2879" spans="1:12">
      <c r="A2879" s="6">
        <v>46202</v>
      </c>
      <c r="B2879" t="s">
        <v>32</v>
      </c>
      <c r="C2879" t="s">
        <v>33</v>
      </c>
      <c r="D2879" s="2">
        <v>2172</v>
      </c>
      <c r="E2879" s="2">
        <v>2189.89990234375</v>
      </c>
      <c r="F2879" s="2">
        <v>2143</v>
      </c>
      <c r="G2879" s="2">
        <v>2151.300048828125</v>
      </c>
      <c r="H2879" s="3">
        <v>1423514</v>
      </c>
      <c r="I2879" s="4">
        <f t="shared" si="176"/>
        <v>-1.34</v>
      </c>
      <c r="J2879" s="2">
        <f t="shared" si="177"/>
        <v>38.6</v>
      </c>
      <c r="K2879" s="7">
        <f t="shared" si="178"/>
        <v>46174</v>
      </c>
      <c r="L2879" t="str">
        <f t="shared" si="179"/>
        <v>Q2-2026</v>
      </c>
    </row>
    <row r="2880" spans="1:12">
      <c r="A2880" s="6">
        <v>46202</v>
      </c>
      <c r="B2880" t="s">
        <v>34</v>
      </c>
      <c r="C2880" t="s">
        <v>35</v>
      </c>
      <c r="D2880" s="2">
        <v>4225</v>
      </c>
      <c r="E2880" s="2">
        <v>4252</v>
      </c>
      <c r="F2880" s="2">
        <v>4157.7998046875</v>
      </c>
      <c r="G2880" s="2">
        <v>4165.2001953125</v>
      </c>
      <c r="H2880" s="3">
        <v>2706906</v>
      </c>
      <c r="I2880" s="4">
        <f t="shared" si="176"/>
        <v>-1.59</v>
      </c>
      <c r="J2880" s="2">
        <f t="shared" si="177"/>
        <v>86.8</v>
      </c>
      <c r="K2880" s="7">
        <f t="shared" si="178"/>
        <v>46174</v>
      </c>
      <c r="L2880" t="str">
        <f t="shared" si="179"/>
        <v>Q2-2026</v>
      </c>
    </row>
    <row r="2881" spans="1:12">
      <c r="A2881" s="6">
        <v>46202</v>
      </c>
      <c r="B2881" t="s">
        <v>36</v>
      </c>
      <c r="C2881" t="s">
        <v>37</v>
      </c>
      <c r="D2881" s="2">
        <v>1391.526856407881</v>
      </c>
      <c r="E2881" s="2">
        <v>1391.526856407881</v>
      </c>
      <c r="F2881" s="2">
        <v>1351.157963719909</v>
      </c>
      <c r="G2881" s="2">
        <v>1355.754516601562</v>
      </c>
      <c r="H2881" s="3">
        <v>12602010</v>
      </c>
      <c r="I2881" s="4">
        <f t="shared" si="176"/>
        <v>-2.9</v>
      </c>
      <c r="J2881" s="2">
        <f t="shared" si="177"/>
        <v>35.770000000000003</v>
      </c>
      <c r="K2881" s="7">
        <f t="shared" si="178"/>
        <v>46174</v>
      </c>
      <c r="L2881" t="str">
        <f t="shared" si="179"/>
        <v>Q2-2026</v>
      </c>
    </row>
    <row r="2882" spans="1:12">
      <c r="A2882" s="6">
        <v>46203</v>
      </c>
      <c r="B2882" t="s">
        <v>8</v>
      </c>
      <c r="C2882" t="s">
        <v>9</v>
      </c>
      <c r="D2882" s="2">
        <v>1306.900024414062</v>
      </c>
      <c r="E2882" s="2">
        <v>1306.900024414062</v>
      </c>
      <c r="F2882" s="2">
        <v>1290</v>
      </c>
      <c r="G2882" s="2">
        <v>1293.900024414062</v>
      </c>
      <c r="H2882" s="3">
        <v>15695263</v>
      </c>
      <c r="I2882" s="4">
        <f t="shared" ref="I2882:I2945" si="180">ROUND(((F2882-D2882)/D2882)*100, 2)</f>
        <v>-1.29</v>
      </c>
      <c r="J2882" s="2">
        <f t="shared" ref="J2882:J2945" si="181">ROUND(E2882-G2882, 2)</f>
        <v>13</v>
      </c>
      <c r="K2882" s="7">
        <f t="shared" ref="K2882:K2945" si="182">DATE(YEAR(A2882),MONTH(A2882),1)</f>
        <v>46174</v>
      </c>
      <c r="L2882" t="str">
        <f t="shared" ref="L2882:L2945" si="183">"Q"&amp;INT((MONTH(A2882)-1)/3)+1&amp;"-"&amp;YEAR(A2882)</f>
        <v>Q2-2026</v>
      </c>
    </row>
    <row r="2883" spans="1:12">
      <c r="A2883" s="6">
        <v>46203</v>
      </c>
      <c r="B2883" t="s">
        <v>10</v>
      </c>
      <c r="C2883" t="s">
        <v>11</v>
      </c>
      <c r="D2883" s="2">
        <v>2078.6031154338698</v>
      </c>
      <c r="E2883" s="2">
        <v>2092.8251853118591</v>
      </c>
      <c r="F2883" s="2">
        <v>2007.7914214986549</v>
      </c>
      <c r="G2883" s="2">
        <v>2020.422119140625</v>
      </c>
      <c r="H2883" s="3">
        <v>6848411</v>
      </c>
      <c r="I2883" s="4">
        <f t="shared" si="180"/>
        <v>-3.41</v>
      </c>
      <c r="J2883" s="2">
        <f t="shared" si="181"/>
        <v>72.400000000000006</v>
      </c>
      <c r="K2883" s="7">
        <f t="shared" si="182"/>
        <v>46174</v>
      </c>
      <c r="L2883" t="str">
        <f t="shared" si="183"/>
        <v>Q2-2026</v>
      </c>
    </row>
    <row r="2884" spans="1:12">
      <c r="A2884" s="6">
        <v>46203</v>
      </c>
      <c r="B2884" t="s">
        <v>12</v>
      </c>
      <c r="C2884" t="s">
        <v>13</v>
      </c>
      <c r="D2884" s="2">
        <v>1030</v>
      </c>
      <c r="E2884" s="2">
        <v>1030.400024414062</v>
      </c>
      <c r="F2884" s="2">
        <v>996</v>
      </c>
      <c r="G2884" s="2">
        <v>1000.400024414062</v>
      </c>
      <c r="H2884" s="3">
        <v>24128263</v>
      </c>
      <c r="I2884" s="4">
        <f t="shared" si="180"/>
        <v>-3.3</v>
      </c>
      <c r="J2884" s="2">
        <f t="shared" si="181"/>
        <v>30</v>
      </c>
      <c r="K2884" s="7">
        <f t="shared" si="182"/>
        <v>46174</v>
      </c>
      <c r="L2884" t="str">
        <f t="shared" si="183"/>
        <v>Q2-2026</v>
      </c>
    </row>
    <row r="2885" spans="1:12">
      <c r="A2885" s="6">
        <v>46203</v>
      </c>
      <c r="B2885" t="s">
        <v>14</v>
      </c>
      <c r="C2885" t="s">
        <v>15</v>
      </c>
      <c r="D2885" s="2">
        <v>806.0999755859375</v>
      </c>
      <c r="E2885" s="2">
        <v>806.0999755859375</v>
      </c>
      <c r="F2885" s="2">
        <v>792.75</v>
      </c>
      <c r="G2885" s="2">
        <v>797.95001220703125</v>
      </c>
      <c r="H2885" s="3">
        <v>45778356</v>
      </c>
      <c r="I2885" s="4">
        <f t="shared" si="180"/>
        <v>-1.66</v>
      </c>
      <c r="J2885" s="2">
        <f t="shared" si="181"/>
        <v>8.15</v>
      </c>
      <c r="K2885" s="7">
        <f t="shared" si="182"/>
        <v>46174</v>
      </c>
      <c r="L2885" t="str">
        <f t="shared" si="183"/>
        <v>Q2-2026</v>
      </c>
    </row>
    <row r="2886" spans="1:12">
      <c r="A2886" s="6">
        <v>46203</v>
      </c>
      <c r="B2886" t="s">
        <v>16</v>
      </c>
      <c r="C2886" t="s">
        <v>17</v>
      </c>
      <c r="D2886" s="2">
        <v>1390.2792468566799</v>
      </c>
      <c r="E2886" s="2">
        <v>1390.2792468566799</v>
      </c>
      <c r="F2886" s="2">
        <v>1354.679347495397</v>
      </c>
      <c r="G2886" s="2">
        <v>1363.703247070312</v>
      </c>
      <c r="H2886" s="3">
        <v>18398057</v>
      </c>
      <c r="I2886" s="4">
        <f t="shared" si="180"/>
        <v>-2.56</v>
      </c>
      <c r="J2886" s="2">
        <f t="shared" si="181"/>
        <v>26.58</v>
      </c>
      <c r="K2886" s="7">
        <f t="shared" si="182"/>
        <v>46174</v>
      </c>
      <c r="L2886" t="str">
        <f t="shared" si="183"/>
        <v>Q2-2026</v>
      </c>
    </row>
    <row r="2887" spans="1:12">
      <c r="A2887" s="6">
        <v>46203</v>
      </c>
      <c r="B2887" t="s">
        <v>18</v>
      </c>
      <c r="C2887" t="s">
        <v>19</v>
      </c>
      <c r="D2887" s="2">
        <v>173.02393352580481</v>
      </c>
      <c r="E2887" s="2">
        <v>173.41941076783931</v>
      </c>
      <c r="F2887" s="2">
        <v>168.12983099480141</v>
      </c>
      <c r="G2887" s="2">
        <v>168.46598815917969</v>
      </c>
      <c r="H2887" s="3">
        <v>26845383</v>
      </c>
      <c r="I2887" s="4">
        <f t="shared" si="180"/>
        <v>-2.83</v>
      </c>
      <c r="J2887" s="2">
        <f t="shared" si="181"/>
        <v>4.95</v>
      </c>
      <c r="K2887" s="7">
        <f t="shared" si="182"/>
        <v>46174</v>
      </c>
      <c r="L2887" t="str">
        <f t="shared" si="183"/>
        <v>Q2-2026</v>
      </c>
    </row>
    <row r="2888" spans="1:12">
      <c r="A2888" s="6">
        <v>46203</v>
      </c>
      <c r="B2888" t="s">
        <v>20</v>
      </c>
      <c r="C2888" t="s">
        <v>21</v>
      </c>
      <c r="D2888" s="2">
        <v>1091.35807971494</v>
      </c>
      <c r="E2888" s="2">
        <v>1094.5256920198101</v>
      </c>
      <c r="F2888" s="2">
        <v>1057.800650647529</v>
      </c>
      <c r="G2888" s="2">
        <v>1060.968383789062</v>
      </c>
      <c r="H2888" s="3">
        <v>3794233</v>
      </c>
      <c r="I2888" s="4">
        <f t="shared" si="180"/>
        <v>-3.07</v>
      </c>
      <c r="J2888" s="2">
        <f t="shared" si="181"/>
        <v>33.56</v>
      </c>
      <c r="K2888" s="7">
        <f t="shared" si="182"/>
        <v>46174</v>
      </c>
      <c r="L2888" t="str">
        <f t="shared" si="183"/>
        <v>Q2-2026</v>
      </c>
    </row>
    <row r="2889" spans="1:12">
      <c r="A2889" s="6">
        <v>46203</v>
      </c>
      <c r="B2889" t="s">
        <v>22</v>
      </c>
      <c r="C2889" t="s">
        <v>23</v>
      </c>
      <c r="D2889" s="2">
        <v>986.9000244140625</v>
      </c>
      <c r="E2889" s="2">
        <v>1010.950012207031</v>
      </c>
      <c r="F2889" s="2">
        <v>977.70001220703125</v>
      </c>
      <c r="G2889" s="2">
        <v>1004.75</v>
      </c>
      <c r="H2889" s="3">
        <v>12445420</v>
      </c>
      <c r="I2889" s="4">
        <f t="shared" si="180"/>
        <v>-0.93</v>
      </c>
      <c r="J2889" s="2">
        <f t="shared" si="181"/>
        <v>6.2</v>
      </c>
      <c r="K2889" s="7">
        <f t="shared" si="182"/>
        <v>46174</v>
      </c>
      <c r="L2889" t="str">
        <f t="shared" si="183"/>
        <v>Q2-2026</v>
      </c>
    </row>
    <row r="2890" spans="1:12">
      <c r="A2890" s="6">
        <v>46203</v>
      </c>
      <c r="B2890" t="s">
        <v>24</v>
      </c>
      <c r="C2890" t="s">
        <v>25</v>
      </c>
      <c r="D2890" s="2">
        <v>13607.341254870709</v>
      </c>
      <c r="E2890" s="2">
        <v>14059.79723227728</v>
      </c>
      <c r="F2890" s="2">
        <v>13375.66795352905</v>
      </c>
      <c r="G2890" s="2">
        <v>13974.65234375</v>
      </c>
      <c r="H2890" s="3">
        <v>1511415</v>
      </c>
      <c r="I2890" s="4">
        <f t="shared" si="180"/>
        <v>-1.7</v>
      </c>
      <c r="J2890" s="2">
        <f t="shared" si="181"/>
        <v>85.14</v>
      </c>
      <c r="K2890" s="7">
        <f t="shared" si="182"/>
        <v>46174</v>
      </c>
      <c r="L2890" t="str">
        <f t="shared" si="183"/>
        <v>Q2-2026</v>
      </c>
    </row>
    <row r="2891" spans="1:12">
      <c r="A2891" s="6">
        <v>46203</v>
      </c>
      <c r="B2891" t="s">
        <v>26</v>
      </c>
      <c r="C2891" t="s">
        <v>27</v>
      </c>
      <c r="D2891" s="2">
        <v>348</v>
      </c>
      <c r="E2891" s="2">
        <v>356.39999389648438</v>
      </c>
      <c r="F2891" s="2">
        <v>343.29998779296881</v>
      </c>
      <c r="G2891" s="2">
        <v>352.20001220703119</v>
      </c>
      <c r="H2891" s="3">
        <v>17609242</v>
      </c>
      <c r="I2891" s="4">
        <f t="shared" si="180"/>
        <v>-1.35</v>
      </c>
      <c r="J2891" s="2">
        <f t="shared" si="181"/>
        <v>4.2</v>
      </c>
      <c r="K2891" s="7">
        <f t="shared" si="182"/>
        <v>46174</v>
      </c>
      <c r="L2891" t="str">
        <f t="shared" si="183"/>
        <v>Q2-2026</v>
      </c>
    </row>
    <row r="2892" spans="1:12">
      <c r="A2892" s="6">
        <v>46203</v>
      </c>
      <c r="B2892" t="s">
        <v>28</v>
      </c>
      <c r="C2892" t="s">
        <v>29</v>
      </c>
      <c r="D2892" s="2">
        <v>1880.072655266883</v>
      </c>
      <c r="E2892" s="2">
        <v>1887.952029206841</v>
      </c>
      <c r="F2892" s="2">
        <v>1854.5395974023629</v>
      </c>
      <c r="G2892" s="2">
        <v>1857.631469726562</v>
      </c>
      <c r="H2892" s="3">
        <v>2352774</v>
      </c>
      <c r="I2892" s="4">
        <f t="shared" si="180"/>
        <v>-1.36</v>
      </c>
      <c r="J2892" s="2">
        <f t="shared" si="181"/>
        <v>30.32</v>
      </c>
      <c r="K2892" s="7">
        <f t="shared" si="182"/>
        <v>46174</v>
      </c>
      <c r="L2892" t="str">
        <f t="shared" si="183"/>
        <v>Q2-2026</v>
      </c>
    </row>
    <row r="2893" spans="1:12">
      <c r="A2893" s="6">
        <v>46203</v>
      </c>
      <c r="B2893" t="s">
        <v>30</v>
      </c>
      <c r="C2893" t="s">
        <v>31</v>
      </c>
      <c r="D2893" s="2">
        <v>2658</v>
      </c>
      <c r="E2893" s="2">
        <v>2672.10009765625</v>
      </c>
      <c r="F2893" s="2">
        <v>2630.300048828125</v>
      </c>
      <c r="G2893" s="2">
        <v>2635.699951171875</v>
      </c>
      <c r="H2893" s="3">
        <v>1821479</v>
      </c>
      <c r="I2893" s="4">
        <f t="shared" si="180"/>
        <v>-1.04</v>
      </c>
      <c r="J2893" s="2">
        <f t="shared" si="181"/>
        <v>36.4</v>
      </c>
      <c r="K2893" s="7">
        <f t="shared" si="182"/>
        <v>46174</v>
      </c>
      <c r="L2893" t="str">
        <f t="shared" si="183"/>
        <v>Q2-2026</v>
      </c>
    </row>
    <row r="2894" spans="1:12">
      <c r="A2894" s="6">
        <v>46203</v>
      </c>
      <c r="B2894" t="s">
        <v>32</v>
      </c>
      <c r="C2894" t="s">
        <v>33</v>
      </c>
      <c r="D2894" s="2">
        <v>2151</v>
      </c>
      <c r="E2894" s="2">
        <v>2151.300048828125</v>
      </c>
      <c r="F2894" s="2">
        <v>2114.199951171875</v>
      </c>
      <c r="G2894" s="2">
        <v>2118.199951171875</v>
      </c>
      <c r="H2894" s="3">
        <v>2364422</v>
      </c>
      <c r="I2894" s="4">
        <f t="shared" si="180"/>
        <v>-1.71</v>
      </c>
      <c r="J2894" s="2">
        <f t="shared" si="181"/>
        <v>33.1</v>
      </c>
      <c r="K2894" s="7">
        <f t="shared" si="182"/>
        <v>46174</v>
      </c>
      <c r="L2894" t="str">
        <f t="shared" si="183"/>
        <v>Q2-2026</v>
      </c>
    </row>
    <row r="2895" spans="1:12">
      <c r="A2895" s="6">
        <v>46203</v>
      </c>
      <c r="B2895" t="s">
        <v>34</v>
      </c>
      <c r="C2895" t="s">
        <v>35</v>
      </c>
      <c r="D2895" s="2">
        <v>4183</v>
      </c>
      <c r="E2895" s="2">
        <v>4193.7998046875</v>
      </c>
      <c r="F2895" s="2">
        <v>4134.10009765625</v>
      </c>
      <c r="G2895" s="2">
        <v>4143.39990234375</v>
      </c>
      <c r="H2895" s="3">
        <v>1539094</v>
      </c>
      <c r="I2895" s="4">
        <f t="shared" si="180"/>
        <v>-1.17</v>
      </c>
      <c r="J2895" s="2">
        <f t="shared" si="181"/>
        <v>50.4</v>
      </c>
      <c r="K2895" s="7">
        <f t="shared" si="182"/>
        <v>46174</v>
      </c>
      <c r="L2895" t="str">
        <f t="shared" si="183"/>
        <v>Q2-2026</v>
      </c>
    </row>
    <row r="2896" spans="1:12">
      <c r="A2896" s="6">
        <v>46203</v>
      </c>
      <c r="B2896" t="s">
        <v>36</v>
      </c>
      <c r="C2896" t="s">
        <v>37</v>
      </c>
      <c r="D2896" s="2">
        <v>1356.653716748136</v>
      </c>
      <c r="E2896" s="2">
        <v>1373.9404342753351</v>
      </c>
      <c r="F2896" s="2">
        <v>1342.564606508271</v>
      </c>
      <c r="G2896" s="2">
        <v>1344.662963867188</v>
      </c>
      <c r="H2896" s="3">
        <v>7781221</v>
      </c>
      <c r="I2896" s="4">
        <f t="shared" si="180"/>
        <v>-1.04</v>
      </c>
      <c r="J2896" s="2">
        <f t="shared" si="181"/>
        <v>29.28</v>
      </c>
      <c r="K2896" s="7">
        <f t="shared" si="182"/>
        <v>46174</v>
      </c>
      <c r="L2896" t="str">
        <f t="shared" si="183"/>
        <v>Q2-2026</v>
      </c>
    </row>
    <row r="2897" spans="1:12">
      <c r="A2897" s="6">
        <v>46204</v>
      </c>
      <c r="B2897" t="s">
        <v>8</v>
      </c>
      <c r="C2897" t="s">
        <v>9</v>
      </c>
      <c r="D2897" s="2">
        <v>1298.900024414062</v>
      </c>
      <c r="E2897" s="2">
        <v>1312.199951171875</v>
      </c>
      <c r="F2897" s="2">
        <v>1296.5</v>
      </c>
      <c r="G2897" s="2">
        <v>1308</v>
      </c>
      <c r="H2897" s="3">
        <v>7001401</v>
      </c>
      <c r="I2897" s="4">
        <f t="shared" si="180"/>
        <v>-0.18</v>
      </c>
      <c r="J2897" s="2">
        <f t="shared" si="181"/>
        <v>4.2</v>
      </c>
      <c r="K2897" s="7">
        <f t="shared" si="182"/>
        <v>46204</v>
      </c>
      <c r="L2897" t="str">
        <f t="shared" si="183"/>
        <v>Q3-2026</v>
      </c>
    </row>
    <row r="2898" spans="1:12">
      <c r="A2898" s="6">
        <v>46204</v>
      </c>
      <c r="B2898" t="s">
        <v>10</v>
      </c>
      <c r="C2898" t="s">
        <v>11</v>
      </c>
      <c r="D2898" s="2">
        <v>2028.776408877907</v>
      </c>
      <c r="E2898" s="2">
        <v>2040.810403055538</v>
      </c>
      <c r="F2898" s="2">
        <v>1966.020518717901</v>
      </c>
      <c r="G2898" s="2">
        <v>1971.788818359375</v>
      </c>
      <c r="H2898" s="3">
        <v>4658295</v>
      </c>
      <c r="I2898" s="4">
        <f t="shared" si="180"/>
        <v>-3.09</v>
      </c>
      <c r="J2898" s="2">
        <f t="shared" si="181"/>
        <v>69.02</v>
      </c>
      <c r="K2898" s="7">
        <f t="shared" si="182"/>
        <v>46204</v>
      </c>
      <c r="L2898" t="str">
        <f t="shared" si="183"/>
        <v>Q3-2026</v>
      </c>
    </row>
    <row r="2899" spans="1:12">
      <c r="A2899" s="6">
        <v>46204</v>
      </c>
      <c r="B2899" t="s">
        <v>12</v>
      </c>
      <c r="C2899" t="s">
        <v>13</v>
      </c>
      <c r="D2899" s="2">
        <v>1006</v>
      </c>
      <c r="E2899" s="2">
        <v>1014</v>
      </c>
      <c r="F2899" s="2">
        <v>982.4000244140625</v>
      </c>
      <c r="G2899" s="2">
        <v>985.29998779296875</v>
      </c>
      <c r="H2899" s="3">
        <v>13037982</v>
      </c>
      <c r="I2899" s="4">
        <f t="shared" si="180"/>
        <v>-2.35</v>
      </c>
      <c r="J2899" s="2">
        <f t="shared" si="181"/>
        <v>28.7</v>
      </c>
      <c r="K2899" s="7">
        <f t="shared" si="182"/>
        <v>46204</v>
      </c>
      <c r="L2899" t="str">
        <f t="shared" si="183"/>
        <v>Q3-2026</v>
      </c>
    </row>
    <row r="2900" spans="1:12">
      <c r="A2900" s="6">
        <v>46204</v>
      </c>
      <c r="B2900" t="s">
        <v>14</v>
      </c>
      <c r="C2900" t="s">
        <v>15</v>
      </c>
      <c r="D2900" s="2">
        <v>793.5</v>
      </c>
      <c r="E2900" s="2">
        <v>802.25</v>
      </c>
      <c r="F2900" s="2">
        <v>793.5</v>
      </c>
      <c r="G2900" s="2">
        <v>796.1500244140625</v>
      </c>
      <c r="H2900" s="3">
        <v>26094378</v>
      </c>
      <c r="I2900" s="4">
        <f t="shared" si="180"/>
        <v>0</v>
      </c>
      <c r="J2900" s="2">
        <f t="shared" si="181"/>
        <v>6.1</v>
      </c>
      <c r="K2900" s="7">
        <f t="shared" si="182"/>
        <v>46204</v>
      </c>
      <c r="L2900" t="str">
        <f t="shared" si="183"/>
        <v>Q3-2026</v>
      </c>
    </row>
    <row r="2901" spans="1:12">
      <c r="A2901" s="6">
        <v>46204</v>
      </c>
      <c r="B2901" t="s">
        <v>16</v>
      </c>
      <c r="C2901" t="s">
        <v>17</v>
      </c>
      <c r="D2901" s="2">
        <v>1359.9350925376609</v>
      </c>
      <c r="E2901" s="2">
        <v>1373.5205118413</v>
      </c>
      <c r="F2901" s="2">
        <v>1356.265951982439</v>
      </c>
      <c r="G2901" s="2">
        <v>1368.264892578125</v>
      </c>
      <c r="H2901" s="3">
        <v>11948034</v>
      </c>
      <c r="I2901" s="4">
        <f t="shared" si="180"/>
        <v>-0.27</v>
      </c>
      <c r="J2901" s="2">
        <f t="shared" si="181"/>
        <v>5.26</v>
      </c>
      <c r="K2901" s="7">
        <f t="shared" si="182"/>
        <v>46204</v>
      </c>
      <c r="L2901" t="str">
        <f t="shared" si="183"/>
        <v>Q3-2026</v>
      </c>
    </row>
    <row r="2902" spans="1:12">
      <c r="A2902" s="6">
        <v>46204</v>
      </c>
      <c r="B2902" t="s">
        <v>18</v>
      </c>
      <c r="C2902" t="s">
        <v>19</v>
      </c>
      <c r="D2902" s="2">
        <v>169.06909460753889</v>
      </c>
      <c r="E2902" s="2">
        <v>170.2061029518828</v>
      </c>
      <c r="F2902" s="2">
        <v>167.33885533523949</v>
      </c>
      <c r="G2902" s="2">
        <v>168.20892333984381</v>
      </c>
      <c r="H2902" s="3">
        <v>34638511</v>
      </c>
      <c r="I2902" s="4">
        <f t="shared" si="180"/>
        <v>-1.02</v>
      </c>
      <c r="J2902" s="2">
        <f t="shared" si="181"/>
        <v>2</v>
      </c>
      <c r="K2902" s="7">
        <f t="shared" si="182"/>
        <v>46204</v>
      </c>
      <c r="L2902" t="str">
        <f t="shared" si="183"/>
        <v>Q3-2026</v>
      </c>
    </row>
    <row r="2903" spans="1:12">
      <c r="A2903" s="6">
        <v>46204</v>
      </c>
      <c r="B2903" t="s">
        <v>20</v>
      </c>
      <c r="C2903" t="s">
        <v>21</v>
      </c>
      <c r="D2903" s="2">
        <v>1059.1864801751999</v>
      </c>
      <c r="E2903" s="2">
        <v>1065.620790568787</v>
      </c>
      <c r="F2903" s="2">
        <v>1019.590723906968</v>
      </c>
      <c r="G2903" s="2">
        <v>1023.748229980469</v>
      </c>
      <c r="H2903" s="3">
        <v>3819777</v>
      </c>
      <c r="I2903" s="4">
        <f t="shared" si="180"/>
        <v>-3.74</v>
      </c>
      <c r="J2903" s="2">
        <f t="shared" si="181"/>
        <v>41.87</v>
      </c>
      <c r="K2903" s="7">
        <f t="shared" si="182"/>
        <v>46204</v>
      </c>
      <c r="L2903" t="str">
        <f t="shared" si="183"/>
        <v>Q3-2026</v>
      </c>
    </row>
    <row r="2904" spans="1:12">
      <c r="A2904" s="6">
        <v>46204</v>
      </c>
      <c r="B2904" t="s">
        <v>22</v>
      </c>
      <c r="C2904" t="s">
        <v>23</v>
      </c>
      <c r="D2904" s="2">
        <v>1000.400024414062</v>
      </c>
      <c r="E2904" s="2">
        <v>1025.400024414062</v>
      </c>
      <c r="F2904" s="2">
        <v>998.9000244140625</v>
      </c>
      <c r="G2904" s="2">
        <v>1014.900024414062</v>
      </c>
      <c r="H2904" s="3">
        <v>6834299</v>
      </c>
      <c r="I2904" s="4">
        <f t="shared" si="180"/>
        <v>-0.15</v>
      </c>
      <c r="J2904" s="2">
        <f t="shared" si="181"/>
        <v>10.5</v>
      </c>
      <c r="K2904" s="7">
        <f t="shared" si="182"/>
        <v>46204</v>
      </c>
      <c r="L2904" t="str">
        <f t="shared" si="183"/>
        <v>Q3-2026</v>
      </c>
    </row>
    <row r="2905" spans="1:12">
      <c r="A2905" s="6">
        <v>46204</v>
      </c>
      <c r="B2905" t="s">
        <v>24</v>
      </c>
      <c r="C2905" t="s">
        <v>25</v>
      </c>
      <c r="D2905" s="2">
        <v>14010.29429591167</v>
      </c>
      <c r="E2905" s="2">
        <v>14404.3369169118</v>
      </c>
      <c r="F2905" s="2">
        <v>13930.09969214028</v>
      </c>
      <c r="G2905" s="2">
        <v>14251.8681640625</v>
      </c>
      <c r="H2905" s="3">
        <v>1397790</v>
      </c>
      <c r="I2905" s="4">
        <f t="shared" si="180"/>
        <v>-0.56999999999999995</v>
      </c>
      <c r="J2905" s="2">
        <f t="shared" si="181"/>
        <v>152.47</v>
      </c>
      <c r="K2905" s="7">
        <f t="shared" si="182"/>
        <v>46204</v>
      </c>
      <c r="L2905" t="str">
        <f t="shared" si="183"/>
        <v>Q3-2026</v>
      </c>
    </row>
    <row r="2906" spans="1:12">
      <c r="A2906" s="6">
        <v>46204</v>
      </c>
      <c r="B2906" t="s">
        <v>26</v>
      </c>
      <c r="C2906" t="s">
        <v>27</v>
      </c>
      <c r="D2906" s="2">
        <v>353.5</v>
      </c>
      <c r="E2906" s="2">
        <v>354.60000610351563</v>
      </c>
      <c r="F2906" s="2">
        <v>346.5</v>
      </c>
      <c r="G2906" s="2">
        <v>347.79998779296881</v>
      </c>
      <c r="H2906" s="3">
        <v>12059086</v>
      </c>
      <c r="I2906" s="4">
        <f t="shared" si="180"/>
        <v>-1.98</v>
      </c>
      <c r="J2906" s="2">
        <f t="shared" si="181"/>
        <v>6.8</v>
      </c>
      <c r="K2906" s="7">
        <f t="shared" si="182"/>
        <v>46204</v>
      </c>
      <c r="L2906" t="str">
        <f t="shared" si="183"/>
        <v>Q3-2026</v>
      </c>
    </row>
    <row r="2907" spans="1:12">
      <c r="A2907" s="6">
        <v>46204</v>
      </c>
      <c r="B2907" t="s">
        <v>28</v>
      </c>
      <c r="C2907" t="s">
        <v>29</v>
      </c>
      <c r="D2907" s="2">
        <v>1872.9912670511769</v>
      </c>
      <c r="E2907" s="2">
        <v>1882.466434421995</v>
      </c>
      <c r="F2907" s="2">
        <v>1855.3374611095489</v>
      </c>
      <c r="G2907" s="2">
        <v>1861.32177734375</v>
      </c>
      <c r="H2907" s="3">
        <v>1230360</v>
      </c>
      <c r="I2907" s="4">
        <f t="shared" si="180"/>
        <v>-0.94</v>
      </c>
      <c r="J2907" s="2">
        <f t="shared" si="181"/>
        <v>21.14</v>
      </c>
      <c r="K2907" s="7">
        <f t="shared" si="182"/>
        <v>46204</v>
      </c>
      <c r="L2907" t="str">
        <f t="shared" si="183"/>
        <v>Q3-2026</v>
      </c>
    </row>
    <row r="2908" spans="1:12">
      <c r="A2908" s="6">
        <v>46204</v>
      </c>
      <c r="B2908" t="s">
        <v>30</v>
      </c>
      <c r="C2908" t="s">
        <v>31</v>
      </c>
      <c r="D2908" s="2">
        <v>2648</v>
      </c>
      <c r="E2908" s="2">
        <v>2723</v>
      </c>
      <c r="F2908" s="2">
        <v>2624</v>
      </c>
      <c r="G2908" s="2">
        <v>2716.39990234375</v>
      </c>
      <c r="H2908" s="3">
        <v>1097512</v>
      </c>
      <c r="I2908" s="4">
        <f t="shared" si="180"/>
        <v>-0.91</v>
      </c>
      <c r="J2908" s="2">
        <f t="shared" si="181"/>
        <v>6.6</v>
      </c>
      <c r="K2908" s="7">
        <f t="shared" si="182"/>
        <v>46204</v>
      </c>
      <c r="L2908" t="str">
        <f t="shared" si="183"/>
        <v>Q3-2026</v>
      </c>
    </row>
    <row r="2909" spans="1:12">
      <c r="A2909" s="6">
        <v>46204</v>
      </c>
      <c r="B2909" t="s">
        <v>32</v>
      </c>
      <c r="C2909" t="s">
        <v>33</v>
      </c>
      <c r="D2909" s="2">
        <v>2133.5</v>
      </c>
      <c r="E2909" s="2">
        <v>2190</v>
      </c>
      <c r="F2909" s="2">
        <v>2120.199951171875</v>
      </c>
      <c r="G2909" s="2">
        <v>2182</v>
      </c>
      <c r="H2909" s="3">
        <v>2497576</v>
      </c>
      <c r="I2909" s="4">
        <f t="shared" si="180"/>
        <v>-0.62</v>
      </c>
      <c r="J2909" s="2">
        <f t="shared" si="181"/>
        <v>8</v>
      </c>
      <c r="K2909" s="7">
        <f t="shared" si="182"/>
        <v>46204</v>
      </c>
      <c r="L2909" t="str">
        <f t="shared" si="183"/>
        <v>Q3-2026</v>
      </c>
    </row>
    <row r="2910" spans="1:12">
      <c r="A2910" s="6">
        <v>46204</v>
      </c>
      <c r="B2910" t="s">
        <v>34</v>
      </c>
      <c r="C2910" t="s">
        <v>35</v>
      </c>
      <c r="D2910" s="2">
        <v>4130.10009765625</v>
      </c>
      <c r="E2910" s="2">
        <v>4142.7998046875</v>
      </c>
      <c r="F2910" s="2">
        <v>4081.10009765625</v>
      </c>
      <c r="G2910" s="2">
        <v>4092.60009765625</v>
      </c>
      <c r="H2910" s="3">
        <v>1437109</v>
      </c>
      <c r="I2910" s="4">
        <f t="shared" si="180"/>
        <v>-1.19</v>
      </c>
      <c r="J2910" s="2">
        <f t="shared" si="181"/>
        <v>50.2</v>
      </c>
      <c r="K2910" s="7">
        <f t="shared" si="182"/>
        <v>46204</v>
      </c>
      <c r="L2910" t="str">
        <f t="shared" si="183"/>
        <v>Q3-2026</v>
      </c>
    </row>
    <row r="2911" spans="1:12">
      <c r="A2911" s="6">
        <v>46204</v>
      </c>
      <c r="B2911" t="s">
        <v>36</v>
      </c>
      <c r="C2911" t="s">
        <v>37</v>
      </c>
      <c r="D2911" s="2">
        <v>1344.6628669036611</v>
      </c>
      <c r="E2911" s="2">
        <v>1376.638205613785</v>
      </c>
      <c r="F2911" s="2">
        <v>1344.6628669036611</v>
      </c>
      <c r="G2911" s="2">
        <v>1367.645141601562</v>
      </c>
      <c r="H2911" s="3">
        <v>3187785</v>
      </c>
      <c r="I2911" s="4">
        <f t="shared" si="180"/>
        <v>0</v>
      </c>
      <c r="J2911" s="2">
        <f t="shared" si="181"/>
        <v>8.99</v>
      </c>
      <c r="K2911" s="7">
        <f t="shared" si="182"/>
        <v>46204</v>
      </c>
      <c r="L2911" t="str">
        <f t="shared" si="183"/>
        <v>Q3-2026</v>
      </c>
    </row>
    <row r="2912" spans="1:12">
      <c r="A2912" s="6">
        <v>46205</v>
      </c>
      <c r="B2912" t="s">
        <v>8</v>
      </c>
      <c r="C2912" t="s">
        <v>9</v>
      </c>
      <c r="D2912" s="2">
        <v>1310</v>
      </c>
      <c r="E2912" s="2">
        <v>1313.199951171875</v>
      </c>
      <c r="F2912" s="2">
        <v>1299</v>
      </c>
      <c r="G2912" s="2">
        <v>1303.5</v>
      </c>
      <c r="H2912" s="3">
        <v>17795024</v>
      </c>
      <c r="I2912" s="4">
        <f t="shared" si="180"/>
        <v>-0.84</v>
      </c>
      <c r="J2912" s="2">
        <f t="shared" si="181"/>
        <v>9.6999999999999993</v>
      </c>
      <c r="K2912" s="7">
        <f t="shared" si="182"/>
        <v>46204</v>
      </c>
      <c r="L2912" t="str">
        <f t="shared" si="183"/>
        <v>Q3-2026</v>
      </c>
    </row>
    <row r="2913" spans="1:12">
      <c r="A2913" s="6">
        <v>46205</v>
      </c>
      <c r="B2913" t="s">
        <v>10</v>
      </c>
      <c r="C2913" t="s">
        <v>11</v>
      </c>
      <c r="D2913" s="2">
        <v>1997.0503819057581</v>
      </c>
      <c r="E2913" s="2">
        <v>2065.5745732846699</v>
      </c>
      <c r="F2913" s="2">
        <v>1991.5803733895821</v>
      </c>
      <c r="G2913" s="2">
        <v>2056.82275390625</v>
      </c>
      <c r="H2913" s="3">
        <v>6040621</v>
      </c>
      <c r="I2913" s="4">
        <f t="shared" si="180"/>
        <v>-0.27</v>
      </c>
      <c r="J2913" s="2">
        <f t="shared" si="181"/>
        <v>8.75</v>
      </c>
      <c r="K2913" s="7">
        <f t="shared" si="182"/>
        <v>46204</v>
      </c>
      <c r="L2913" t="str">
        <f t="shared" si="183"/>
        <v>Q3-2026</v>
      </c>
    </row>
    <row r="2914" spans="1:12">
      <c r="A2914" s="6">
        <v>46205</v>
      </c>
      <c r="B2914" t="s">
        <v>12</v>
      </c>
      <c r="C2914" t="s">
        <v>13</v>
      </c>
      <c r="D2914" s="2">
        <v>1006.400024414062</v>
      </c>
      <c r="E2914" s="2">
        <v>1045</v>
      </c>
      <c r="F2914" s="2">
        <v>1006</v>
      </c>
      <c r="G2914" s="2">
        <v>1040.900024414062</v>
      </c>
      <c r="H2914" s="3">
        <v>18741111</v>
      </c>
      <c r="I2914" s="4">
        <f t="shared" si="180"/>
        <v>-0.04</v>
      </c>
      <c r="J2914" s="2">
        <f t="shared" si="181"/>
        <v>4.0999999999999996</v>
      </c>
      <c r="K2914" s="7">
        <f t="shared" si="182"/>
        <v>46204</v>
      </c>
      <c r="L2914" t="str">
        <f t="shared" si="183"/>
        <v>Q3-2026</v>
      </c>
    </row>
    <row r="2915" spans="1:12">
      <c r="A2915" s="6">
        <v>46205</v>
      </c>
      <c r="B2915" t="s">
        <v>14</v>
      </c>
      <c r="C2915" t="s">
        <v>15</v>
      </c>
      <c r="D2915" s="2">
        <v>795</v>
      </c>
      <c r="E2915" s="2">
        <v>805.45001220703125</v>
      </c>
      <c r="F2915" s="2">
        <v>794</v>
      </c>
      <c r="G2915" s="2">
        <v>795.9000244140625</v>
      </c>
      <c r="H2915" s="3">
        <v>34143823</v>
      </c>
      <c r="I2915" s="4">
        <f t="shared" si="180"/>
        <v>-0.13</v>
      </c>
      <c r="J2915" s="2">
        <f t="shared" si="181"/>
        <v>9.5500000000000007</v>
      </c>
      <c r="K2915" s="7">
        <f t="shared" si="182"/>
        <v>46204</v>
      </c>
      <c r="L2915" t="str">
        <f t="shared" si="183"/>
        <v>Q3-2026</v>
      </c>
    </row>
    <row r="2916" spans="1:12">
      <c r="A2916" s="6">
        <v>46205</v>
      </c>
      <c r="B2916" t="s">
        <v>16</v>
      </c>
      <c r="C2916" t="s">
        <v>17</v>
      </c>
      <c r="D2916" s="2">
        <v>1370.3473604526371</v>
      </c>
      <c r="E2916" s="2">
        <v>1393.2542205810551</v>
      </c>
      <c r="F2916" s="2">
        <v>1365.2900205878909</v>
      </c>
      <c r="G2916" s="2">
        <v>1388.296020507812</v>
      </c>
      <c r="H2916" s="3">
        <v>15779429</v>
      </c>
      <c r="I2916" s="4">
        <f t="shared" si="180"/>
        <v>-0.37</v>
      </c>
      <c r="J2916" s="2">
        <f t="shared" si="181"/>
        <v>4.96</v>
      </c>
      <c r="K2916" s="7">
        <f t="shared" si="182"/>
        <v>46204</v>
      </c>
      <c r="L2916" t="str">
        <f t="shared" si="183"/>
        <v>Q3-2026</v>
      </c>
    </row>
    <row r="2917" spans="1:12">
      <c r="A2917" s="6">
        <v>46205</v>
      </c>
      <c r="B2917" t="s">
        <v>18</v>
      </c>
      <c r="C2917" t="s">
        <v>19</v>
      </c>
      <c r="D2917" s="2">
        <v>167.5761638442014</v>
      </c>
      <c r="E2917" s="2">
        <v>172.9942807368854</v>
      </c>
      <c r="F2917" s="2">
        <v>167.09169137888941</v>
      </c>
      <c r="G2917" s="2">
        <v>172.03523254394531</v>
      </c>
      <c r="H2917" s="3">
        <v>43447174</v>
      </c>
      <c r="I2917" s="4">
        <f t="shared" si="180"/>
        <v>-0.28999999999999998</v>
      </c>
      <c r="J2917" s="2">
        <f t="shared" si="181"/>
        <v>0.96</v>
      </c>
      <c r="K2917" s="7">
        <f t="shared" si="182"/>
        <v>46204</v>
      </c>
      <c r="L2917" t="str">
        <f t="shared" si="183"/>
        <v>Q3-2026</v>
      </c>
    </row>
    <row r="2918" spans="1:12">
      <c r="A2918" s="6">
        <v>46205</v>
      </c>
      <c r="B2918" t="s">
        <v>20</v>
      </c>
      <c r="C2918" t="s">
        <v>21</v>
      </c>
      <c r="D2918" s="2">
        <v>1038.3987015097159</v>
      </c>
      <c r="E2918" s="2">
        <v>1071.9561289002879</v>
      </c>
      <c r="F2918" s="2">
        <v>1037.4088076093251</v>
      </c>
      <c r="G2918" s="2">
        <v>1067.20458984375</v>
      </c>
      <c r="H2918" s="3">
        <v>3726609</v>
      </c>
      <c r="I2918" s="4">
        <f t="shared" si="180"/>
        <v>-0.1</v>
      </c>
      <c r="J2918" s="2">
        <f t="shared" si="181"/>
        <v>4.75</v>
      </c>
      <c r="K2918" s="7">
        <f t="shared" si="182"/>
        <v>46204</v>
      </c>
      <c r="L2918" t="str">
        <f t="shared" si="183"/>
        <v>Q3-2026</v>
      </c>
    </row>
    <row r="2919" spans="1:12">
      <c r="A2919" s="6">
        <v>46205</v>
      </c>
      <c r="B2919" t="s">
        <v>22</v>
      </c>
      <c r="C2919" t="s">
        <v>23</v>
      </c>
      <c r="D2919" s="2">
        <v>994.70001220703125</v>
      </c>
      <c r="E2919" s="2">
        <v>1025.699951171875</v>
      </c>
      <c r="F2919" s="2">
        <v>993.4000244140625</v>
      </c>
      <c r="G2919" s="2">
        <v>1018.400024414062</v>
      </c>
      <c r="H2919" s="3">
        <v>8168339</v>
      </c>
      <c r="I2919" s="4">
        <f t="shared" si="180"/>
        <v>-0.13</v>
      </c>
      <c r="J2919" s="2">
        <f t="shared" si="181"/>
        <v>7.3</v>
      </c>
      <c r="K2919" s="7">
        <f t="shared" si="182"/>
        <v>46204</v>
      </c>
      <c r="L2919" t="str">
        <f t="shared" si="183"/>
        <v>Q3-2026</v>
      </c>
    </row>
    <row r="2920" spans="1:12">
      <c r="A2920" s="6">
        <v>46205</v>
      </c>
      <c r="B2920" t="s">
        <v>24</v>
      </c>
      <c r="C2920" t="s">
        <v>25</v>
      </c>
      <c r="D2920" s="2">
        <v>14287.509675305901</v>
      </c>
      <c r="E2920" s="2">
        <v>14345.92302648344</v>
      </c>
      <c r="F2920" s="2">
        <v>14133.06081456529</v>
      </c>
      <c r="G2920" s="2">
        <v>14205.3349609375</v>
      </c>
      <c r="H2920" s="3">
        <v>327088</v>
      </c>
      <c r="I2920" s="4">
        <f t="shared" si="180"/>
        <v>-1.08</v>
      </c>
      <c r="J2920" s="2">
        <f t="shared" si="181"/>
        <v>140.59</v>
      </c>
      <c r="K2920" s="7">
        <f t="shared" si="182"/>
        <v>46204</v>
      </c>
      <c r="L2920" t="str">
        <f t="shared" si="183"/>
        <v>Q3-2026</v>
      </c>
    </row>
    <row r="2921" spans="1:12">
      <c r="A2921" s="6">
        <v>46205</v>
      </c>
      <c r="B2921" t="s">
        <v>26</v>
      </c>
      <c r="C2921" t="s">
        <v>27</v>
      </c>
      <c r="D2921" s="2">
        <v>351.14999389648438</v>
      </c>
      <c r="E2921" s="2">
        <v>351.25</v>
      </c>
      <c r="F2921" s="2">
        <v>345</v>
      </c>
      <c r="G2921" s="2">
        <v>345.95001220703119</v>
      </c>
      <c r="H2921" s="3">
        <v>10423984</v>
      </c>
      <c r="I2921" s="4">
        <f t="shared" si="180"/>
        <v>-1.75</v>
      </c>
      <c r="J2921" s="2">
        <f t="shared" si="181"/>
        <v>5.3</v>
      </c>
      <c r="K2921" s="7">
        <f t="shared" si="182"/>
        <v>46204</v>
      </c>
      <c r="L2921" t="str">
        <f t="shared" si="183"/>
        <v>Q3-2026</v>
      </c>
    </row>
    <row r="2922" spans="1:12">
      <c r="A2922" s="6">
        <v>46205</v>
      </c>
      <c r="B2922" t="s">
        <v>28</v>
      </c>
      <c r="C2922" t="s">
        <v>29</v>
      </c>
      <c r="D2922" s="2">
        <v>1871.0961830551009</v>
      </c>
      <c r="E2922" s="2">
        <v>1877.0804992055971</v>
      </c>
      <c r="F2922" s="2">
        <v>1863.4163593624539</v>
      </c>
      <c r="G2922" s="2">
        <v>1866.109252929688</v>
      </c>
      <c r="H2922" s="3">
        <v>1485296</v>
      </c>
      <c r="I2922" s="4">
        <f t="shared" si="180"/>
        <v>-0.41</v>
      </c>
      <c r="J2922" s="2">
        <f t="shared" si="181"/>
        <v>10.97</v>
      </c>
      <c r="K2922" s="7">
        <f t="shared" si="182"/>
        <v>46204</v>
      </c>
      <c r="L2922" t="str">
        <f t="shared" si="183"/>
        <v>Q3-2026</v>
      </c>
    </row>
    <row r="2923" spans="1:12">
      <c r="A2923" s="6">
        <v>46205</v>
      </c>
      <c r="B2923" t="s">
        <v>30</v>
      </c>
      <c r="C2923" t="s">
        <v>31</v>
      </c>
      <c r="D2923" s="2">
        <v>2720</v>
      </c>
      <c r="E2923" s="2">
        <v>2759.89990234375</v>
      </c>
      <c r="F2923" s="2">
        <v>2711</v>
      </c>
      <c r="G2923" s="2">
        <v>2744.5</v>
      </c>
      <c r="H2923" s="3">
        <v>1629567</v>
      </c>
      <c r="I2923" s="4">
        <f t="shared" si="180"/>
        <v>-0.33</v>
      </c>
      <c r="J2923" s="2">
        <f t="shared" si="181"/>
        <v>15.4</v>
      </c>
      <c r="K2923" s="7">
        <f t="shared" si="182"/>
        <v>46204</v>
      </c>
      <c r="L2923" t="str">
        <f t="shared" si="183"/>
        <v>Q3-2026</v>
      </c>
    </row>
    <row r="2924" spans="1:12">
      <c r="A2924" s="6">
        <v>46205</v>
      </c>
      <c r="B2924" t="s">
        <v>32</v>
      </c>
      <c r="C2924" t="s">
        <v>33</v>
      </c>
      <c r="D2924" s="2">
        <v>2186</v>
      </c>
      <c r="E2924" s="2">
        <v>2216</v>
      </c>
      <c r="F2924" s="2">
        <v>2179.199951171875</v>
      </c>
      <c r="G2924" s="2">
        <v>2210.60009765625</v>
      </c>
      <c r="H2924" s="3">
        <v>2585362</v>
      </c>
      <c r="I2924" s="4">
        <f t="shared" si="180"/>
        <v>-0.31</v>
      </c>
      <c r="J2924" s="2">
        <f t="shared" si="181"/>
        <v>5.4</v>
      </c>
      <c r="K2924" s="7">
        <f t="shared" si="182"/>
        <v>46204</v>
      </c>
      <c r="L2924" t="str">
        <f t="shared" si="183"/>
        <v>Q3-2026</v>
      </c>
    </row>
    <row r="2925" spans="1:12">
      <c r="A2925" s="6">
        <v>46205</v>
      </c>
      <c r="B2925" t="s">
        <v>34</v>
      </c>
      <c r="C2925" t="s">
        <v>35</v>
      </c>
      <c r="D2925" s="2">
        <v>4100</v>
      </c>
      <c r="E2925" s="2">
        <v>4110</v>
      </c>
      <c r="F2925" s="2">
        <v>4012</v>
      </c>
      <c r="G2925" s="2">
        <v>4059.39990234375</v>
      </c>
      <c r="H2925" s="3">
        <v>2481554</v>
      </c>
      <c r="I2925" s="4">
        <f t="shared" si="180"/>
        <v>-2.15</v>
      </c>
      <c r="J2925" s="2">
        <f t="shared" si="181"/>
        <v>50.6</v>
      </c>
      <c r="K2925" s="7">
        <f t="shared" si="182"/>
        <v>46204</v>
      </c>
      <c r="L2925" t="str">
        <f t="shared" si="183"/>
        <v>Q3-2026</v>
      </c>
    </row>
    <row r="2926" spans="1:12">
      <c r="A2926" s="6">
        <v>46205</v>
      </c>
      <c r="B2926" t="s">
        <v>36</v>
      </c>
      <c r="C2926" t="s">
        <v>37</v>
      </c>
      <c r="D2926" s="2">
        <v>1372.941166068036</v>
      </c>
      <c r="E2926" s="2">
        <v>1374.440010135796</v>
      </c>
      <c r="F2926" s="2">
        <v>1357.053394554533</v>
      </c>
      <c r="G2926" s="2">
        <v>1361.549926757812</v>
      </c>
      <c r="H2926" s="3">
        <v>4013561</v>
      </c>
      <c r="I2926" s="4">
        <f t="shared" si="180"/>
        <v>-1.1599999999999999</v>
      </c>
      <c r="J2926" s="2">
        <f t="shared" si="181"/>
        <v>12.89</v>
      </c>
      <c r="K2926" s="7">
        <f t="shared" si="182"/>
        <v>46204</v>
      </c>
      <c r="L2926" t="str">
        <f t="shared" si="183"/>
        <v>Q3-2026</v>
      </c>
    </row>
    <row r="2927" spans="1:12">
      <c r="A2927" s="6">
        <v>46206</v>
      </c>
      <c r="B2927" t="s">
        <v>8</v>
      </c>
      <c r="C2927" t="s">
        <v>9</v>
      </c>
      <c r="D2927" s="2">
        <v>1312</v>
      </c>
      <c r="E2927" s="2">
        <v>1312</v>
      </c>
      <c r="F2927" s="2">
        <v>1302</v>
      </c>
      <c r="G2927" s="2">
        <v>1304</v>
      </c>
      <c r="H2927" s="3">
        <v>7839550</v>
      </c>
      <c r="I2927" s="4">
        <f t="shared" si="180"/>
        <v>-0.76</v>
      </c>
      <c r="J2927" s="2">
        <f t="shared" si="181"/>
        <v>8</v>
      </c>
      <c r="K2927" s="7">
        <f t="shared" si="182"/>
        <v>46204</v>
      </c>
      <c r="L2927" t="str">
        <f t="shared" si="183"/>
        <v>Q3-2026</v>
      </c>
    </row>
    <row r="2928" spans="1:12">
      <c r="A2928" s="6">
        <v>46206</v>
      </c>
      <c r="B2928" t="s">
        <v>10</v>
      </c>
      <c r="C2928" t="s">
        <v>11</v>
      </c>
      <c r="D2928" s="2">
        <v>2088.5485393778358</v>
      </c>
      <c r="E2928" s="2">
        <v>2105.0581154318788</v>
      </c>
      <c r="F2928" s="2">
        <v>2073.630335525138</v>
      </c>
      <c r="G2928" s="2">
        <v>2082.083984375</v>
      </c>
      <c r="H2928" s="3">
        <v>4028819</v>
      </c>
      <c r="I2928" s="4">
        <f t="shared" si="180"/>
        <v>-0.71</v>
      </c>
      <c r="J2928" s="2">
        <f t="shared" si="181"/>
        <v>22.97</v>
      </c>
      <c r="K2928" s="7">
        <f t="shared" si="182"/>
        <v>46204</v>
      </c>
      <c r="L2928" t="str">
        <f t="shared" si="183"/>
        <v>Q3-2026</v>
      </c>
    </row>
    <row r="2929" spans="1:12">
      <c r="A2929" s="6">
        <v>46206</v>
      </c>
      <c r="B2929" t="s">
        <v>12</v>
      </c>
      <c r="C2929" t="s">
        <v>13</v>
      </c>
      <c r="D2929" s="2">
        <v>1063</v>
      </c>
      <c r="E2929" s="2">
        <v>1068.699951171875</v>
      </c>
      <c r="F2929" s="2">
        <v>1042</v>
      </c>
      <c r="G2929" s="2">
        <v>1047.199951171875</v>
      </c>
      <c r="H2929" s="3">
        <v>11653534</v>
      </c>
      <c r="I2929" s="4">
        <f t="shared" si="180"/>
        <v>-1.98</v>
      </c>
      <c r="J2929" s="2">
        <f t="shared" si="181"/>
        <v>21.5</v>
      </c>
      <c r="K2929" s="7">
        <f t="shared" si="182"/>
        <v>46204</v>
      </c>
      <c r="L2929" t="str">
        <f t="shared" si="183"/>
        <v>Q3-2026</v>
      </c>
    </row>
    <row r="2930" spans="1:12">
      <c r="A2930" s="6">
        <v>46206</v>
      </c>
      <c r="B2930" t="s">
        <v>14</v>
      </c>
      <c r="C2930" t="s">
        <v>15</v>
      </c>
      <c r="D2930" s="2">
        <v>803</v>
      </c>
      <c r="E2930" s="2">
        <v>807</v>
      </c>
      <c r="F2930" s="2">
        <v>798.54998779296875</v>
      </c>
      <c r="G2930" s="2">
        <v>801.04998779296875</v>
      </c>
      <c r="H2930" s="3">
        <v>25871958</v>
      </c>
      <c r="I2930" s="4">
        <f t="shared" si="180"/>
        <v>-0.55000000000000004</v>
      </c>
      <c r="J2930" s="2">
        <f t="shared" si="181"/>
        <v>5.95</v>
      </c>
      <c r="K2930" s="7">
        <f t="shared" si="182"/>
        <v>46204</v>
      </c>
      <c r="L2930" t="str">
        <f t="shared" si="183"/>
        <v>Q3-2026</v>
      </c>
    </row>
    <row r="2931" spans="1:12">
      <c r="A2931" s="6">
        <v>46206</v>
      </c>
      <c r="B2931" t="s">
        <v>16</v>
      </c>
      <c r="C2931" t="s">
        <v>17</v>
      </c>
      <c r="D2931" s="2">
        <v>1402.1789477753739</v>
      </c>
      <c r="E2931" s="2">
        <v>1408.1287877235011</v>
      </c>
      <c r="F2931" s="2">
        <v>1394.1466880553619</v>
      </c>
      <c r="G2931" s="2">
        <v>1399.600708007812</v>
      </c>
      <c r="H2931" s="3">
        <v>12901785</v>
      </c>
      <c r="I2931" s="4">
        <f t="shared" si="180"/>
        <v>-0.56999999999999995</v>
      </c>
      <c r="J2931" s="2">
        <f t="shared" si="181"/>
        <v>8.5299999999999994</v>
      </c>
      <c r="K2931" s="7">
        <f t="shared" si="182"/>
        <v>46204</v>
      </c>
      <c r="L2931" t="str">
        <f t="shared" si="183"/>
        <v>Q3-2026</v>
      </c>
    </row>
    <row r="2932" spans="1:12">
      <c r="A2932" s="6">
        <v>46206</v>
      </c>
      <c r="B2932" t="s">
        <v>18</v>
      </c>
      <c r="C2932" t="s">
        <v>19</v>
      </c>
      <c r="D2932" s="2">
        <v>174.2103759921963</v>
      </c>
      <c r="E2932" s="2">
        <v>176.12847224983949</v>
      </c>
      <c r="F2932" s="2">
        <v>172.61855524001211</v>
      </c>
      <c r="G2932" s="2">
        <v>174.09173583984381</v>
      </c>
      <c r="H2932" s="3">
        <v>29538753</v>
      </c>
      <c r="I2932" s="4">
        <f t="shared" si="180"/>
        <v>-0.91</v>
      </c>
      <c r="J2932" s="2">
        <f t="shared" si="181"/>
        <v>2.04</v>
      </c>
      <c r="K2932" s="7">
        <f t="shared" si="182"/>
        <v>46204</v>
      </c>
      <c r="L2932" t="str">
        <f t="shared" si="183"/>
        <v>Q3-2026</v>
      </c>
    </row>
    <row r="2933" spans="1:12">
      <c r="A2933" s="6">
        <v>46206</v>
      </c>
      <c r="B2933" t="s">
        <v>20</v>
      </c>
      <c r="C2933" t="s">
        <v>21</v>
      </c>
      <c r="D2933" s="2">
        <v>1115.7093743357591</v>
      </c>
      <c r="E2933" s="2">
        <v>1147.287013454956</v>
      </c>
      <c r="F2933" s="2">
        <v>1103.830647708098</v>
      </c>
      <c r="G2933" s="2">
        <v>1127.489135742188</v>
      </c>
      <c r="H2933" s="3">
        <v>12768463</v>
      </c>
      <c r="I2933" s="4">
        <f t="shared" si="180"/>
        <v>-1.06</v>
      </c>
      <c r="J2933" s="2">
        <f t="shared" si="181"/>
        <v>19.8</v>
      </c>
      <c r="K2933" s="7">
        <f t="shared" si="182"/>
        <v>46204</v>
      </c>
      <c r="L2933" t="str">
        <f t="shared" si="183"/>
        <v>Q3-2026</v>
      </c>
    </row>
    <row r="2934" spans="1:12">
      <c r="A2934" s="6">
        <v>46206</v>
      </c>
      <c r="B2934" t="s">
        <v>22</v>
      </c>
      <c r="C2934" t="s">
        <v>23</v>
      </c>
      <c r="D2934" s="2">
        <v>1035</v>
      </c>
      <c r="E2934" s="2">
        <v>1040</v>
      </c>
      <c r="F2934" s="2">
        <v>1017.599975585938</v>
      </c>
      <c r="G2934" s="2">
        <v>1031.400024414062</v>
      </c>
      <c r="H2934" s="3">
        <v>9399193</v>
      </c>
      <c r="I2934" s="4">
        <f t="shared" si="180"/>
        <v>-1.68</v>
      </c>
      <c r="J2934" s="2">
        <f t="shared" si="181"/>
        <v>8.6</v>
      </c>
      <c r="K2934" s="7">
        <f t="shared" si="182"/>
        <v>46204</v>
      </c>
      <c r="L2934" t="str">
        <f t="shared" si="183"/>
        <v>Q3-2026</v>
      </c>
    </row>
    <row r="2935" spans="1:12">
      <c r="A2935" s="6">
        <v>46206</v>
      </c>
      <c r="B2935" t="s">
        <v>24</v>
      </c>
      <c r="C2935" t="s">
        <v>25</v>
      </c>
      <c r="D2935" s="2">
        <v>14306.32102272727</v>
      </c>
      <c r="E2935" s="2">
        <v>14375.625</v>
      </c>
      <c r="F2935" s="2">
        <v>14190.484375</v>
      </c>
      <c r="G2935" s="2">
        <v>14223.15625</v>
      </c>
      <c r="H2935" s="3">
        <v>384188</v>
      </c>
      <c r="I2935" s="4">
        <f t="shared" si="180"/>
        <v>-0.81</v>
      </c>
      <c r="J2935" s="2">
        <f t="shared" si="181"/>
        <v>152.47</v>
      </c>
      <c r="K2935" s="7">
        <f t="shared" si="182"/>
        <v>46204</v>
      </c>
      <c r="L2935" t="str">
        <f t="shared" si="183"/>
        <v>Q3-2026</v>
      </c>
    </row>
    <row r="2936" spans="1:12">
      <c r="A2936" s="6">
        <v>46206</v>
      </c>
      <c r="B2936" t="s">
        <v>26</v>
      </c>
      <c r="C2936" t="s">
        <v>27</v>
      </c>
      <c r="D2936" s="2">
        <v>346.5</v>
      </c>
      <c r="E2936" s="2">
        <v>347.54998779296881</v>
      </c>
      <c r="F2936" s="2">
        <v>341</v>
      </c>
      <c r="G2936" s="2">
        <v>344.10000610351563</v>
      </c>
      <c r="H2936" s="3">
        <v>12651872</v>
      </c>
      <c r="I2936" s="4">
        <f t="shared" si="180"/>
        <v>-1.59</v>
      </c>
      <c r="J2936" s="2">
        <f t="shared" si="181"/>
        <v>3.45</v>
      </c>
      <c r="K2936" s="7">
        <f t="shared" si="182"/>
        <v>46204</v>
      </c>
      <c r="L2936" t="str">
        <f t="shared" si="183"/>
        <v>Q3-2026</v>
      </c>
    </row>
    <row r="2937" spans="1:12">
      <c r="A2937" s="6">
        <v>46206</v>
      </c>
      <c r="B2937" t="s">
        <v>28</v>
      </c>
      <c r="C2937" t="s">
        <v>29</v>
      </c>
      <c r="D2937" s="2">
        <v>1875.0857010730881</v>
      </c>
      <c r="E2937" s="2">
        <v>1920.0677858283741</v>
      </c>
      <c r="F2937" s="2">
        <v>1866.707634228688</v>
      </c>
      <c r="G2937" s="2">
        <v>1899.820922851562</v>
      </c>
      <c r="H2937" s="3">
        <v>2168491</v>
      </c>
      <c r="I2937" s="4">
        <f t="shared" si="180"/>
        <v>-0.45</v>
      </c>
      <c r="J2937" s="2">
        <f t="shared" si="181"/>
        <v>20.25</v>
      </c>
      <c r="K2937" s="7">
        <f t="shared" si="182"/>
        <v>46204</v>
      </c>
      <c r="L2937" t="str">
        <f t="shared" si="183"/>
        <v>Q3-2026</v>
      </c>
    </row>
    <row r="2938" spans="1:12">
      <c r="A2938" s="6">
        <v>46206</v>
      </c>
      <c r="B2938" t="s">
        <v>30</v>
      </c>
      <c r="C2938" t="s">
        <v>31</v>
      </c>
      <c r="D2938" s="2">
        <v>2744</v>
      </c>
      <c r="E2938" s="2">
        <v>2762.39990234375</v>
      </c>
      <c r="F2938" s="2">
        <v>2730</v>
      </c>
      <c r="G2938" s="2">
        <v>2737.800048828125</v>
      </c>
      <c r="H2938" s="3">
        <v>472124</v>
      </c>
      <c r="I2938" s="4">
        <f t="shared" si="180"/>
        <v>-0.51</v>
      </c>
      <c r="J2938" s="2">
        <f t="shared" si="181"/>
        <v>24.6</v>
      </c>
      <c r="K2938" s="7">
        <f t="shared" si="182"/>
        <v>46204</v>
      </c>
      <c r="L2938" t="str">
        <f t="shared" si="183"/>
        <v>Q3-2026</v>
      </c>
    </row>
    <row r="2939" spans="1:12">
      <c r="A2939" s="6">
        <v>46206</v>
      </c>
      <c r="B2939" t="s">
        <v>32</v>
      </c>
      <c r="C2939" t="s">
        <v>33</v>
      </c>
      <c r="D2939" s="2">
        <v>2224.89990234375</v>
      </c>
      <c r="E2939" s="2">
        <v>2239.300048828125</v>
      </c>
      <c r="F2939" s="2">
        <v>2190</v>
      </c>
      <c r="G2939" s="2">
        <v>2201.199951171875</v>
      </c>
      <c r="H2939" s="3">
        <v>1536616</v>
      </c>
      <c r="I2939" s="4">
        <f t="shared" si="180"/>
        <v>-1.57</v>
      </c>
      <c r="J2939" s="2">
        <f t="shared" si="181"/>
        <v>38.1</v>
      </c>
      <c r="K2939" s="7">
        <f t="shared" si="182"/>
        <v>46204</v>
      </c>
      <c r="L2939" t="str">
        <f t="shared" si="183"/>
        <v>Q3-2026</v>
      </c>
    </row>
    <row r="2940" spans="1:12">
      <c r="A2940" s="6">
        <v>46206</v>
      </c>
      <c r="B2940" t="s">
        <v>34</v>
      </c>
      <c r="C2940" t="s">
        <v>35</v>
      </c>
      <c r="D2940" s="2">
        <v>4080</v>
      </c>
      <c r="E2940" s="2">
        <v>4094</v>
      </c>
      <c r="F2940" s="2">
        <v>4019</v>
      </c>
      <c r="G2940" s="2">
        <v>4026.60009765625</v>
      </c>
      <c r="H2940" s="3">
        <v>1505428</v>
      </c>
      <c r="I2940" s="4">
        <f t="shared" si="180"/>
        <v>-1.5</v>
      </c>
      <c r="J2940" s="2">
        <f t="shared" si="181"/>
        <v>67.400000000000006</v>
      </c>
      <c r="K2940" s="7">
        <f t="shared" si="182"/>
        <v>46204</v>
      </c>
      <c r="L2940" t="str">
        <f t="shared" si="183"/>
        <v>Q3-2026</v>
      </c>
    </row>
    <row r="2941" spans="1:12">
      <c r="A2941" s="6">
        <v>46206</v>
      </c>
      <c r="B2941" t="s">
        <v>36</v>
      </c>
      <c r="C2941" t="s">
        <v>37</v>
      </c>
      <c r="D2941" s="2">
        <v>1371.941884852612</v>
      </c>
      <c r="E2941" s="2">
        <v>1371.941884852612</v>
      </c>
      <c r="F2941" s="2">
        <v>1337.3685740578369</v>
      </c>
      <c r="G2941" s="2">
        <v>1341.065673828125</v>
      </c>
      <c r="H2941" s="3">
        <v>3500465</v>
      </c>
      <c r="I2941" s="4">
        <f t="shared" si="180"/>
        <v>-2.52</v>
      </c>
      <c r="J2941" s="2">
        <f t="shared" si="181"/>
        <v>30.88</v>
      </c>
      <c r="K2941" s="7">
        <f t="shared" si="182"/>
        <v>46204</v>
      </c>
      <c r="L2941" t="str">
        <f t="shared" si="183"/>
        <v>Q3-2026</v>
      </c>
    </row>
    <row r="2942" spans="1:12">
      <c r="A2942" s="6">
        <v>46209</v>
      </c>
      <c r="B2942" t="s">
        <v>8</v>
      </c>
      <c r="C2942" t="s">
        <v>9</v>
      </c>
      <c r="D2942" s="2">
        <v>1304</v>
      </c>
      <c r="E2942" s="2">
        <v>1325.599975585938</v>
      </c>
      <c r="F2942" s="2">
        <v>1299.400024414062</v>
      </c>
      <c r="G2942" s="2">
        <v>1321.300048828125</v>
      </c>
      <c r="H2942" s="3">
        <v>7610709</v>
      </c>
      <c r="I2942" s="4">
        <f t="shared" si="180"/>
        <v>-0.35</v>
      </c>
      <c r="J2942" s="2">
        <f t="shared" si="181"/>
        <v>4.3</v>
      </c>
      <c r="K2942" s="7">
        <f t="shared" si="182"/>
        <v>46204</v>
      </c>
      <c r="L2942" t="str">
        <f t="shared" si="183"/>
        <v>Q3-2026</v>
      </c>
    </row>
    <row r="2943" spans="1:12">
      <c r="A2943" s="6">
        <v>46209</v>
      </c>
      <c r="B2943" t="s">
        <v>10</v>
      </c>
      <c r="C2943" t="s">
        <v>11</v>
      </c>
      <c r="D2943" s="2">
        <v>2078.6031065753991</v>
      </c>
      <c r="E2943" s="2">
        <v>2081.5867473982339</v>
      </c>
      <c r="F2943" s="2">
        <v>2039.4180542258839</v>
      </c>
      <c r="G2943" s="2">
        <v>2046.3798828125</v>
      </c>
      <c r="H2943" s="3">
        <v>2567386</v>
      </c>
      <c r="I2943" s="4">
        <f t="shared" si="180"/>
        <v>-1.89</v>
      </c>
      <c r="J2943" s="2">
        <f t="shared" si="181"/>
        <v>35.21</v>
      </c>
      <c r="K2943" s="7">
        <f t="shared" si="182"/>
        <v>46204</v>
      </c>
      <c r="L2943" t="str">
        <f t="shared" si="183"/>
        <v>Q3-2026</v>
      </c>
    </row>
    <row r="2944" spans="1:12">
      <c r="A2944" s="6">
        <v>46209</v>
      </c>
      <c r="B2944" t="s">
        <v>12</v>
      </c>
      <c r="C2944" t="s">
        <v>13</v>
      </c>
      <c r="D2944" s="2">
        <v>1050.099975585938</v>
      </c>
      <c r="E2944" s="2">
        <v>1053</v>
      </c>
      <c r="F2944" s="2">
        <v>1033</v>
      </c>
      <c r="G2944" s="2">
        <v>1042.199951171875</v>
      </c>
      <c r="H2944" s="3">
        <v>5559747</v>
      </c>
      <c r="I2944" s="4">
        <f t="shared" si="180"/>
        <v>-1.63</v>
      </c>
      <c r="J2944" s="2">
        <f t="shared" si="181"/>
        <v>10.8</v>
      </c>
      <c r="K2944" s="7">
        <f t="shared" si="182"/>
        <v>46204</v>
      </c>
      <c r="L2944" t="str">
        <f t="shared" si="183"/>
        <v>Q3-2026</v>
      </c>
    </row>
    <row r="2945" spans="1:12">
      <c r="A2945" s="6">
        <v>46209</v>
      </c>
      <c r="B2945" t="s">
        <v>14</v>
      </c>
      <c r="C2945" t="s">
        <v>15</v>
      </c>
      <c r="D2945" s="2">
        <v>805</v>
      </c>
      <c r="E2945" s="2">
        <v>831.5</v>
      </c>
      <c r="F2945" s="2">
        <v>805</v>
      </c>
      <c r="G2945" s="2">
        <v>829.8499755859375</v>
      </c>
      <c r="H2945" s="3">
        <v>63203327</v>
      </c>
      <c r="I2945" s="4">
        <f t="shared" si="180"/>
        <v>0</v>
      </c>
      <c r="J2945" s="2">
        <f t="shared" si="181"/>
        <v>1.65</v>
      </c>
      <c r="K2945" s="7">
        <f t="shared" si="182"/>
        <v>46204</v>
      </c>
      <c r="L2945" t="str">
        <f t="shared" si="183"/>
        <v>Q3-2026</v>
      </c>
    </row>
    <row r="2946" spans="1:12">
      <c r="A2946" s="6">
        <v>46209</v>
      </c>
      <c r="B2946" t="s">
        <v>16</v>
      </c>
      <c r="C2946" t="s">
        <v>17</v>
      </c>
      <c r="D2946" s="2">
        <v>1400.1956098660601</v>
      </c>
      <c r="E2946" s="2">
        <v>1419.631728682569</v>
      </c>
      <c r="F2946" s="2">
        <v>1399.7989296759681</v>
      </c>
      <c r="G2946" s="2">
        <v>1414.971069335938</v>
      </c>
      <c r="H2946" s="3">
        <v>12306949</v>
      </c>
      <c r="I2946" s="4">
        <f t="shared" ref="I2946:I3009" si="184">ROUND(((F2946-D2946)/D2946)*100, 2)</f>
        <v>-0.03</v>
      </c>
      <c r="J2946" s="2">
        <f t="shared" ref="J2946:J3009" si="185">ROUND(E2946-G2946, 2)</f>
        <v>4.66</v>
      </c>
      <c r="K2946" s="7">
        <f t="shared" ref="K2946:K3009" si="186">DATE(YEAR(A2946),MONTH(A2946),1)</f>
        <v>46204</v>
      </c>
      <c r="L2946" t="str">
        <f t="shared" ref="L2946:L3009" si="187">"Q"&amp;INT((MONTH(A2946)-1)/3)+1&amp;"-"&amp;YEAR(A2946)</f>
        <v>Q3-2026</v>
      </c>
    </row>
    <row r="2947" spans="1:12">
      <c r="A2947" s="6">
        <v>46209</v>
      </c>
      <c r="B2947" t="s">
        <v>18</v>
      </c>
      <c r="C2947" t="s">
        <v>19</v>
      </c>
      <c r="D2947" s="2">
        <v>174.09174456499281</v>
      </c>
      <c r="E2947" s="2">
        <v>174.3092615795336</v>
      </c>
      <c r="F2947" s="2">
        <v>171.61009237280979</v>
      </c>
      <c r="G2947" s="2">
        <v>172.35162353515619</v>
      </c>
      <c r="H2947" s="3">
        <v>8304046</v>
      </c>
      <c r="I2947" s="4">
        <f t="shared" si="184"/>
        <v>-1.43</v>
      </c>
      <c r="J2947" s="2">
        <f t="shared" si="185"/>
        <v>1.96</v>
      </c>
      <c r="K2947" s="7">
        <f t="shared" si="186"/>
        <v>46204</v>
      </c>
      <c r="L2947" t="str">
        <f t="shared" si="187"/>
        <v>Q3-2026</v>
      </c>
    </row>
    <row r="2948" spans="1:12">
      <c r="A2948" s="6">
        <v>46209</v>
      </c>
      <c r="B2948" t="s">
        <v>20</v>
      </c>
      <c r="C2948" t="s">
        <v>21</v>
      </c>
      <c r="D2948" s="2">
        <v>1133.4285739039881</v>
      </c>
      <c r="E2948" s="2">
        <v>1136.2992905292431</v>
      </c>
      <c r="F2948" s="2">
        <v>1114.6205888348391</v>
      </c>
      <c r="G2948" s="2">
        <v>1122.737670898438</v>
      </c>
      <c r="H2948" s="3">
        <v>2747815</v>
      </c>
      <c r="I2948" s="4">
        <f t="shared" si="184"/>
        <v>-1.66</v>
      </c>
      <c r="J2948" s="2">
        <f t="shared" si="185"/>
        <v>13.56</v>
      </c>
      <c r="K2948" s="7">
        <f t="shared" si="186"/>
        <v>46204</v>
      </c>
      <c r="L2948" t="str">
        <f t="shared" si="187"/>
        <v>Q3-2026</v>
      </c>
    </row>
    <row r="2949" spans="1:12">
      <c r="A2949" s="6">
        <v>46209</v>
      </c>
      <c r="B2949" t="s">
        <v>22</v>
      </c>
      <c r="C2949" t="s">
        <v>23</v>
      </c>
      <c r="D2949" s="2">
        <v>1040</v>
      </c>
      <c r="E2949" s="2">
        <v>1040.199951171875</v>
      </c>
      <c r="F2949" s="2">
        <v>1024.800048828125</v>
      </c>
      <c r="G2949" s="2">
        <v>1029.099975585938</v>
      </c>
      <c r="H2949" s="3">
        <v>4819952</v>
      </c>
      <c r="I2949" s="4">
        <f t="shared" si="184"/>
        <v>-1.46</v>
      </c>
      <c r="J2949" s="2">
        <f t="shared" si="185"/>
        <v>11.1</v>
      </c>
      <c r="K2949" s="7">
        <f t="shared" si="186"/>
        <v>46204</v>
      </c>
      <c r="L2949" t="str">
        <f t="shared" si="187"/>
        <v>Q3-2026</v>
      </c>
    </row>
    <row r="2950" spans="1:12">
      <c r="A2950" s="6">
        <v>46209</v>
      </c>
      <c r="B2950" t="s">
        <v>24</v>
      </c>
      <c r="C2950" t="s">
        <v>25</v>
      </c>
      <c r="D2950" s="2">
        <v>14205.33557973333</v>
      </c>
      <c r="E2950" s="2">
        <v>14381.56569774229</v>
      </c>
      <c r="F2950" s="2">
        <v>14148.90233969675</v>
      </c>
      <c r="G2950" s="2">
        <v>14312.26171875</v>
      </c>
      <c r="H2950" s="3">
        <v>214686</v>
      </c>
      <c r="I2950" s="4">
        <f t="shared" si="184"/>
        <v>-0.4</v>
      </c>
      <c r="J2950" s="2">
        <f t="shared" si="185"/>
        <v>69.3</v>
      </c>
      <c r="K2950" s="7">
        <f t="shared" si="186"/>
        <v>46204</v>
      </c>
      <c r="L2950" t="str">
        <f t="shared" si="187"/>
        <v>Q3-2026</v>
      </c>
    </row>
    <row r="2951" spans="1:12">
      <c r="A2951" s="6">
        <v>46209</v>
      </c>
      <c r="B2951" t="s">
        <v>26</v>
      </c>
      <c r="C2951" t="s">
        <v>27</v>
      </c>
      <c r="D2951" s="2">
        <v>345.5</v>
      </c>
      <c r="E2951" s="2">
        <v>348.64999389648438</v>
      </c>
      <c r="F2951" s="2">
        <v>341.60000610351563</v>
      </c>
      <c r="G2951" s="2">
        <v>347.04998779296881</v>
      </c>
      <c r="H2951" s="3">
        <v>4980867</v>
      </c>
      <c r="I2951" s="4">
        <f t="shared" si="184"/>
        <v>-1.1299999999999999</v>
      </c>
      <c r="J2951" s="2">
        <f t="shared" si="185"/>
        <v>1.6</v>
      </c>
      <c r="K2951" s="7">
        <f t="shared" si="186"/>
        <v>46204</v>
      </c>
      <c r="L2951" t="str">
        <f t="shared" si="187"/>
        <v>Q3-2026</v>
      </c>
    </row>
    <row r="2952" spans="1:12">
      <c r="A2952" s="6">
        <v>46209</v>
      </c>
      <c r="B2952" t="s">
        <v>28</v>
      </c>
      <c r="C2952" t="s">
        <v>29</v>
      </c>
      <c r="D2952" s="2">
        <v>1899.0230030546929</v>
      </c>
      <c r="E2952" s="2">
        <v>1911.9890214579029</v>
      </c>
      <c r="F2952" s="2">
        <v>1895.033458930629</v>
      </c>
      <c r="G2952" s="2">
        <v>1907.800048828125</v>
      </c>
      <c r="H2952" s="3">
        <v>1213635</v>
      </c>
      <c r="I2952" s="4">
        <f t="shared" si="184"/>
        <v>-0.21</v>
      </c>
      <c r="J2952" s="2">
        <f t="shared" si="185"/>
        <v>4.1900000000000004</v>
      </c>
      <c r="K2952" s="7">
        <f t="shared" si="186"/>
        <v>46204</v>
      </c>
      <c r="L2952" t="str">
        <f t="shared" si="187"/>
        <v>Q3-2026</v>
      </c>
    </row>
    <row r="2953" spans="1:12">
      <c r="A2953" s="6">
        <v>46209</v>
      </c>
      <c r="B2953" t="s">
        <v>30</v>
      </c>
      <c r="C2953" t="s">
        <v>31</v>
      </c>
      <c r="D2953" s="2">
        <v>2724</v>
      </c>
      <c r="E2953" s="2">
        <v>2758</v>
      </c>
      <c r="F2953" s="2">
        <v>2722</v>
      </c>
      <c r="G2953" s="2">
        <v>2754.89990234375</v>
      </c>
      <c r="H2953" s="3">
        <v>504943</v>
      </c>
      <c r="I2953" s="4">
        <f t="shared" si="184"/>
        <v>-7.0000000000000007E-2</v>
      </c>
      <c r="J2953" s="2">
        <f t="shared" si="185"/>
        <v>3.1</v>
      </c>
      <c r="K2953" s="7">
        <f t="shared" si="186"/>
        <v>46204</v>
      </c>
      <c r="L2953" t="str">
        <f t="shared" si="187"/>
        <v>Q3-2026</v>
      </c>
    </row>
    <row r="2954" spans="1:12">
      <c r="A2954" s="6">
        <v>46209</v>
      </c>
      <c r="B2954" t="s">
        <v>32</v>
      </c>
      <c r="C2954" t="s">
        <v>33</v>
      </c>
      <c r="D2954" s="2">
        <v>2202.10009765625</v>
      </c>
      <c r="E2954" s="2">
        <v>2221.39990234375</v>
      </c>
      <c r="F2954" s="2">
        <v>2190.300048828125</v>
      </c>
      <c r="G2954" s="2">
        <v>2202</v>
      </c>
      <c r="H2954" s="3">
        <v>2131061</v>
      </c>
      <c r="I2954" s="4">
        <f t="shared" si="184"/>
        <v>-0.54</v>
      </c>
      <c r="J2954" s="2">
        <f t="shared" si="185"/>
        <v>19.399999999999999</v>
      </c>
      <c r="K2954" s="7">
        <f t="shared" si="186"/>
        <v>46204</v>
      </c>
      <c r="L2954" t="str">
        <f t="shared" si="187"/>
        <v>Q3-2026</v>
      </c>
    </row>
    <row r="2955" spans="1:12">
      <c r="A2955" s="6">
        <v>46209</v>
      </c>
      <c r="B2955" t="s">
        <v>34</v>
      </c>
      <c r="C2955" t="s">
        <v>35</v>
      </c>
      <c r="D2955" s="2">
        <v>4027.699951171875</v>
      </c>
      <c r="E2955" s="2">
        <v>4068</v>
      </c>
      <c r="F2955" s="2">
        <v>4016.5</v>
      </c>
      <c r="G2955" s="2">
        <v>4041</v>
      </c>
      <c r="H2955" s="3">
        <v>1252054</v>
      </c>
      <c r="I2955" s="4">
        <f t="shared" si="184"/>
        <v>-0.28000000000000003</v>
      </c>
      <c r="J2955" s="2">
        <f t="shared" si="185"/>
        <v>27</v>
      </c>
      <c r="K2955" s="7">
        <f t="shared" si="186"/>
        <v>46204</v>
      </c>
      <c r="L2955" t="str">
        <f t="shared" si="187"/>
        <v>Q3-2026</v>
      </c>
    </row>
    <row r="2956" spans="1:12">
      <c r="A2956" s="6">
        <v>46209</v>
      </c>
      <c r="B2956" t="s">
        <v>36</v>
      </c>
      <c r="C2956" t="s">
        <v>37</v>
      </c>
      <c r="D2956" s="2">
        <v>1354.655195262198</v>
      </c>
      <c r="E2956" s="2">
        <v>1369.9434532686021</v>
      </c>
      <c r="F2956" s="2">
        <v>1334.470810970254</v>
      </c>
      <c r="G2956" s="2">
        <v>1338.567626953125</v>
      </c>
      <c r="H2956" s="3">
        <v>5154081</v>
      </c>
      <c r="I2956" s="4">
        <f t="shared" si="184"/>
        <v>-1.49</v>
      </c>
      <c r="J2956" s="2">
        <f t="shared" si="185"/>
        <v>31.38</v>
      </c>
      <c r="K2956" s="7">
        <f t="shared" si="186"/>
        <v>46204</v>
      </c>
      <c r="L2956" t="str">
        <f t="shared" si="187"/>
        <v>Q3-2026</v>
      </c>
    </row>
    <row r="2957" spans="1:12">
      <c r="A2957" s="6">
        <v>46210</v>
      </c>
      <c r="B2957" t="s">
        <v>8</v>
      </c>
      <c r="C2957" t="s">
        <v>9</v>
      </c>
      <c r="D2957" s="2">
        <v>1323.5</v>
      </c>
      <c r="E2957" s="2">
        <v>1328</v>
      </c>
      <c r="F2957" s="2">
        <v>1304.099975585938</v>
      </c>
      <c r="G2957" s="2">
        <v>1308.400024414062</v>
      </c>
      <c r="H2957" s="3">
        <v>14335554</v>
      </c>
      <c r="I2957" s="4">
        <f t="shared" si="184"/>
        <v>-1.47</v>
      </c>
      <c r="J2957" s="2">
        <f t="shared" si="185"/>
        <v>19.600000000000001</v>
      </c>
      <c r="K2957" s="7">
        <f t="shared" si="186"/>
        <v>46204</v>
      </c>
      <c r="L2957" t="str">
        <f t="shared" si="187"/>
        <v>Q3-2026</v>
      </c>
    </row>
    <row r="2958" spans="1:12">
      <c r="A2958" s="6">
        <v>46210</v>
      </c>
      <c r="B2958" t="s">
        <v>10</v>
      </c>
      <c r="C2958" t="s">
        <v>11</v>
      </c>
      <c r="D2958" s="2">
        <v>2038.8212111731859</v>
      </c>
      <c r="E2958" s="2">
        <v>2111.1247245880518</v>
      </c>
      <c r="F2958" s="2">
        <v>2037.8266642409069</v>
      </c>
      <c r="G2958" s="2">
        <v>2084.669921875</v>
      </c>
      <c r="H2958" s="3">
        <v>4769048</v>
      </c>
      <c r="I2958" s="4">
        <f t="shared" si="184"/>
        <v>-0.05</v>
      </c>
      <c r="J2958" s="2">
        <f t="shared" si="185"/>
        <v>26.45</v>
      </c>
      <c r="K2958" s="7">
        <f t="shared" si="186"/>
        <v>46204</v>
      </c>
      <c r="L2958" t="str">
        <f t="shared" si="187"/>
        <v>Q3-2026</v>
      </c>
    </row>
    <row r="2959" spans="1:12">
      <c r="A2959" s="6">
        <v>46210</v>
      </c>
      <c r="B2959" t="s">
        <v>12</v>
      </c>
      <c r="C2959" t="s">
        <v>13</v>
      </c>
      <c r="D2959" s="2">
        <v>1040.599975585938</v>
      </c>
      <c r="E2959" s="2">
        <v>1087.5</v>
      </c>
      <c r="F2959" s="2">
        <v>1040.599975585938</v>
      </c>
      <c r="G2959" s="2">
        <v>1071.800048828125</v>
      </c>
      <c r="H2959" s="3">
        <v>18866296</v>
      </c>
      <c r="I2959" s="4">
        <f t="shared" si="184"/>
        <v>0</v>
      </c>
      <c r="J2959" s="2">
        <f t="shared" si="185"/>
        <v>15.7</v>
      </c>
      <c r="K2959" s="7">
        <f t="shared" si="186"/>
        <v>46204</v>
      </c>
      <c r="L2959" t="str">
        <f t="shared" si="187"/>
        <v>Q3-2026</v>
      </c>
    </row>
    <row r="2960" spans="1:12">
      <c r="A2960" s="6">
        <v>46210</v>
      </c>
      <c r="B2960" t="s">
        <v>14</v>
      </c>
      <c r="C2960" t="s">
        <v>15</v>
      </c>
      <c r="D2960" s="2">
        <v>843</v>
      </c>
      <c r="E2960" s="2">
        <v>843</v>
      </c>
      <c r="F2960" s="2">
        <v>826.0999755859375</v>
      </c>
      <c r="G2960" s="2">
        <v>829.29998779296875</v>
      </c>
      <c r="H2960" s="3">
        <v>57611729</v>
      </c>
      <c r="I2960" s="4">
        <f t="shared" si="184"/>
        <v>-2</v>
      </c>
      <c r="J2960" s="2">
        <f t="shared" si="185"/>
        <v>13.7</v>
      </c>
      <c r="K2960" s="7">
        <f t="shared" si="186"/>
        <v>46204</v>
      </c>
      <c r="L2960" t="str">
        <f t="shared" si="187"/>
        <v>Q3-2026</v>
      </c>
    </row>
    <row r="2961" spans="1:12">
      <c r="A2961" s="6">
        <v>46210</v>
      </c>
      <c r="B2961" t="s">
        <v>16</v>
      </c>
      <c r="C2961" t="s">
        <v>17</v>
      </c>
      <c r="D2961" s="2">
        <v>1419.631786933186</v>
      </c>
      <c r="E2961" s="2">
        <v>1421.020107130573</v>
      </c>
      <c r="F2961" s="2">
        <v>1398.2123873371311</v>
      </c>
      <c r="G2961" s="2">
        <v>1402.873046875</v>
      </c>
      <c r="H2961" s="3">
        <v>15664178</v>
      </c>
      <c r="I2961" s="4">
        <f t="shared" si="184"/>
        <v>-1.51</v>
      </c>
      <c r="J2961" s="2">
        <f t="shared" si="185"/>
        <v>18.149999999999999</v>
      </c>
      <c r="K2961" s="7">
        <f t="shared" si="186"/>
        <v>46204</v>
      </c>
      <c r="L2961" t="str">
        <f t="shared" si="187"/>
        <v>Q3-2026</v>
      </c>
    </row>
    <row r="2962" spans="1:12">
      <c r="A2962" s="6">
        <v>46210</v>
      </c>
      <c r="B2962" t="s">
        <v>18</v>
      </c>
      <c r="C2962" t="s">
        <v>19</v>
      </c>
      <c r="D2962" s="2">
        <v>171.93635542159689</v>
      </c>
      <c r="E2962" s="2">
        <v>174.21038737132301</v>
      </c>
      <c r="F2962" s="2">
        <v>170.81912537882599</v>
      </c>
      <c r="G2962" s="2">
        <v>171.04652404785159</v>
      </c>
      <c r="H2962" s="3">
        <v>18837725</v>
      </c>
      <c r="I2962" s="4">
        <f t="shared" si="184"/>
        <v>-0.65</v>
      </c>
      <c r="J2962" s="2">
        <f t="shared" si="185"/>
        <v>3.16</v>
      </c>
      <c r="K2962" s="7">
        <f t="shared" si="186"/>
        <v>46204</v>
      </c>
      <c r="L2962" t="str">
        <f t="shared" si="187"/>
        <v>Q3-2026</v>
      </c>
    </row>
    <row r="2963" spans="1:12">
      <c r="A2963" s="6">
        <v>46210</v>
      </c>
      <c r="B2963" t="s">
        <v>20</v>
      </c>
      <c r="C2963" t="s">
        <v>21</v>
      </c>
      <c r="D2963" s="2">
        <v>1123.5296127626909</v>
      </c>
      <c r="E2963" s="2">
        <v>1163.125370040671</v>
      </c>
      <c r="F2963" s="2">
        <v>1122.539718830742</v>
      </c>
      <c r="G2963" s="2">
        <v>1156.39404296875</v>
      </c>
      <c r="H2963" s="3">
        <v>5179529</v>
      </c>
      <c r="I2963" s="4">
        <f t="shared" si="184"/>
        <v>-0.09</v>
      </c>
      <c r="J2963" s="2">
        <f t="shared" si="185"/>
        <v>6.73</v>
      </c>
      <c r="K2963" s="7">
        <f t="shared" si="186"/>
        <v>46204</v>
      </c>
      <c r="L2963" t="str">
        <f t="shared" si="187"/>
        <v>Q3-2026</v>
      </c>
    </row>
    <row r="2964" spans="1:12">
      <c r="A2964" s="6">
        <v>46210</v>
      </c>
      <c r="B2964" t="s">
        <v>22</v>
      </c>
      <c r="C2964" t="s">
        <v>23</v>
      </c>
      <c r="D2964" s="2">
        <v>1024</v>
      </c>
      <c r="E2964" s="2">
        <v>1052.900024414062</v>
      </c>
      <c r="F2964" s="2">
        <v>1024</v>
      </c>
      <c r="G2964" s="2">
        <v>1042.5</v>
      </c>
      <c r="H2964" s="3">
        <v>9101171</v>
      </c>
      <c r="I2964" s="4">
        <f t="shared" si="184"/>
        <v>0</v>
      </c>
      <c r="J2964" s="2">
        <f t="shared" si="185"/>
        <v>10.4</v>
      </c>
      <c r="K2964" s="7">
        <f t="shared" si="186"/>
        <v>46204</v>
      </c>
      <c r="L2964" t="str">
        <f t="shared" si="187"/>
        <v>Q3-2026</v>
      </c>
    </row>
    <row r="2965" spans="1:12">
      <c r="A2965" s="6">
        <v>46210</v>
      </c>
      <c r="B2965" t="s">
        <v>24</v>
      </c>
      <c r="C2965" t="s">
        <v>25</v>
      </c>
      <c r="D2965" s="2">
        <v>14319.19202632487</v>
      </c>
      <c r="E2965" s="2">
        <v>14452.849699252611</v>
      </c>
      <c r="F2965" s="2">
        <v>14270.67924133628</v>
      </c>
      <c r="G2965" s="2">
        <v>14393.4462890625</v>
      </c>
      <c r="H2965" s="3">
        <v>524759</v>
      </c>
      <c r="I2965" s="4">
        <f t="shared" si="184"/>
        <v>-0.34</v>
      </c>
      <c r="J2965" s="2">
        <f t="shared" si="185"/>
        <v>59.4</v>
      </c>
      <c r="K2965" s="7">
        <f t="shared" si="186"/>
        <v>46204</v>
      </c>
      <c r="L2965" t="str">
        <f t="shared" si="187"/>
        <v>Q3-2026</v>
      </c>
    </row>
    <row r="2966" spans="1:12">
      <c r="A2966" s="6">
        <v>46210</v>
      </c>
      <c r="B2966" t="s">
        <v>26</v>
      </c>
      <c r="C2966" t="s">
        <v>27</v>
      </c>
      <c r="D2966" s="2">
        <v>348.79998779296881</v>
      </c>
      <c r="E2966" s="2">
        <v>348.79998779296881</v>
      </c>
      <c r="F2966" s="2">
        <v>341.70001220703119</v>
      </c>
      <c r="G2966" s="2">
        <v>342.29998779296881</v>
      </c>
      <c r="H2966" s="3">
        <v>7428187</v>
      </c>
      <c r="I2966" s="4">
        <f t="shared" si="184"/>
        <v>-2.04</v>
      </c>
      <c r="J2966" s="2">
        <f t="shared" si="185"/>
        <v>6.5</v>
      </c>
      <c r="K2966" s="7">
        <f t="shared" si="186"/>
        <v>46204</v>
      </c>
      <c r="L2966" t="str">
        <f t="shared" si="187"/>
        <v>Q3-2026</v>
      </c>
    </row>
    <row r="2967" spans="1:12">
      <c r="A2967" s="6">
        <v>46210</v>
      </c>
      <c r="B2967" t="s">
        <v>28</v>
      </c>
      <c r="C2967" t="s">
        <v>29</v>
      </c>
      <c r="D2967" s="2">
        <v>1900.599975585938</v>
      </c>
      <c r="E2967" s="2">
        <v>1924.900024414062</v>
      </c>
      <c r="F2967" s="2">
        <v>1898.599975585938</v>
      </c>
      <c r="G2967" s="2">
        <v>1903.400024414062</v>
      </c>
      <c r="H2967" s="3">
        <v>2060613</v>
      </c>
      <c r="I2967" s="4">
        <f t="shared" si="184"/>
        <v>-0.11</v>
      </c>
      <c r="J2967" s="2">
        <f t="shared" si="185"/>
        <v>21.5</v>
      </c>
      <c r="K2967" s="7">
        <f t="shared" si="186"/>
        <v>46204</v>
      </c>
      <c r="L2967" t="str">
        <f t="shared" si="187"/>
        <v>Q3-2026</v>
      </c>
    </row>
    <row r="2968" spans="1:12">
      <c r="A2968" s="6">
        <v>46210</v>
      </c>
      <c r="B2968" t="s">
        <v>30</v>
      </c>
      <c r="C2968" t="s">
        <v>31</v>
      </c>
      <c r="D2968" s="2">
        <v>2750</v>
      </c>
      <c r="E2968" s="2">
        <v>2751.800048828125</v>
      </c>
      <c r="F2968" s="2">
        <v>2726.39990234375</v>
      </c>
      <c r="G2968" s="2">
        <v>2731.39990234375</v>
      </c>
      <c r="H2968" s="3">
        <v>489066</v>
      </c>
      <c r="I2968" s="4">
        <f t="shared" si="184"/>
        <v>-0.86</v>
      </c>
      <c r="J2968" s="2">
        <f t="shared" si="185"/>
        <v>20.399999999999999</v>
      </c>
      <c r="K2968" s="7">
        <f t="shared" si="186"/>
        <v>46204</v>
      </c>
      <c r="L2968" t="str">
        <f t="shared" si="187"/>
        <v>Q3-2026</v>
      </c>
    </row>
    <row r="2969" spans="1:12">
      <c r="A2969" s="6">
        <v>46210</v>
      </c>
      <c r="B2969" t="s">
        <v>32</v>
      </c>
      <c r="C2969" t="s">
        <v>33</v>
      </c>
      <c r="D2969" s="2">
        <v>2200</v>
      </c>
      <c r="E2969" s="2">
        <v>2219.39990234375</v>
      </c>
      <c r="F2969" s="2">
        <v>2193.699951171875</v>
      </c>
      <c r="G2969" s="2">
        <v>2208.800048828125</v>
      </c>
      <c r="H2969" s="3">
        <v>2552492</v>
      </c>
      <c r="I2969" s="4">
        <f t="shared" si="184"/>
        <v>-0.28999999999999998</v>
      </c>
      <c r="J2969" s="2">
        <f t="shared" si="185"/>
        <v>10.6</v>
      </c>
      <c r="K2969" s="7">
        <f t="shared" si="186"/>
        <v>46204</v>
      </c>
      <c r="L2969" t="str">
        <f t="shared" si="187"/>
        <v>Q3-2026</v>
      </c>
    </row>
    <row r="2970" spans="1:12">
      <c r="A2970" s="6">
        <v>46210</v>
      </c>
      <c r="B2970" t="s">
        <v>34</v>
      </c>
      <c r="C2970" t="s">
        <v>35</v>
      </c>
      <c r="D2970" s="2">
        <v>4044.5</v>
      </c>
      <c r="E2970" s="2">
        <v>4046.300048828125</v>
      </c>
      <c r="F2970" s="2">
        <v>3975</v>
      </c>
      <c r="G2970" s="2">
        <v>3991.89990234375</v>
      </c>
      <c r="H2970" s="3">
        <v>2442514</v>
      </c>
      <c r="I2970" s="4">
        <f t="shared" si="184"/>
        <v>-1.72</v>
      </c>
      <c r="J2970" s="2">
        <f t="shared" si="185"/>
        <v>54.4</v>
      </c>
      <c r="K2970" s="7">
        <f t="shared" si="186"/>
        <v>46204</v>
      </c>
      <c r="L2970" t="str">
        <f t="shared" si="187"/>
        <v>Q3-2026</v>
      </c>
    </row>
    <row r="2971" spans="1:12">
      <c r="A2971" s="6">
        <v>46210</v>
      </c>
      <c r="B2971" t="s">
        <v>36</v>
      </c>
      <c r="C2971" t="s">
        <v>37</v>
      </c>
      <c r="D2971" s="2">
        <v>1345.762131730582</v>
      </c>
      <c r="E2971" s="2">
        <v>1355.8543237280389</v>
      </c>
      <c r="F2971" s="2">
        <v>1335.1702030839799</v>
      </c>
      <c r="G2971" s="2">
        <v>1339.966552734375</v>
      </c>
      <c r="H2971" s="3">
        <v>6198988</v>
      </c>
      <c r="I2971" s="4">
        <f t="shared" si="184"/>
        <v>-0.79</v>
      </c>
      <c r="J2971" s="2">
        <f t="shared" si="185"/>
        <v>15.89</v>
      </c>
      <c r="K2971" s="7">
        <f t="shared" si="186"/>
        <v>46204</v>
      </c>
      <c r="L2971" t="str">
        <f t="shared" si="187"/>
        <v>Q3-2026</v>
      </c>
    </row>
    <row r="2972" spans="1:12">
      <c r="A2972" s="6">
        <v>46211</v>
      </c>
      <c r="B2972" t="s">
        <v>8</v>
      </c>
      <c r="C2972" t="s">
        <v>9</v>
      </c>
      <c r="D2972" s="2">
        <v>1297</v>
      </c>
      <c r="E2972" s="2">
        <v>1302.300048828125</v>
      </c>
      <c r="F2972" s="2">
        <v>1271.599975585938</v>
      </c>
      <c r="G2972" s="2">
        <v>1275.900024414062</v>
      </c>
      <c r="H2972" s="3">
        <v>19960868</v>
      </c>
      <c r="I2972" s="4">
        <f t="shared" si="184"/>
        <v>-1.96</v>
      </c>
      <c r="J2972" s="2">
        <f t="shared" si="185"/>
        <v>26.4</v>
      </c>
      <c r="K2972" s="7">
        <f t="shared" si="186"/>
        <v>46204</v>
      </c>
      <c r="L2972" t="str">
        <f t="shared" si="187"/>
        <v>Q3-2026</v>
      </c>
    </row>
    <row r="2973" spans="1:12">
      <c r="A2973" s="6">
        <v>46211</v>
      </c>
      <c r="B2973" t="s">
        <v>10</v>
      </c>
      <c r="C2973" t="s">
        <v>11</v>
      </c>
      <c r="D2973" s="2">
        <v>2082.5813599967719</v>
      </c>
      <c r="E2973" s="2">
        <v>2098.1956989000232</v>
      </c>
      <c r="F2973" s="2">
        <v>2037.627885410664</v>
      </c>
      <c r="G2973" s="2">
        <v>2046.280395507812</v>
      </c>
      <c r="H2973" s="3">
        <v>3666985</v>
      </c>
      <c r="I2973" s="4">
        <f t="shared" si="184"/>
        <v>-2.16</v>
      </c>
      <c r="J2973" s="2">
        <f t="shared" si="185"/>
        <v>51.92</v>
      </c>
      <c r="K2973" s="7">
        <f t="shared" si="186"/>
        <v>46204</v>
      </c>
      <c r="L2973" t="str">
        <f t="shared" si="187"/>
        <v>Q3-2026</v>
      </c>
    </row>
    <row r="2974" spans="1:12">
      <c r="A2974" s="6">
        <v>46211</v>
      </c>
      <c r="B2974" t="s">
        <v>12</v>
      </c>
      <c r="C2974" t="s">
        <v>13</v>
      </c>
      <c r="D2974" s="2">
        <v>1071.900024414062</v>
      </c>
      <c r="E2974" s="2">
        <v>1079.699951171875</v>
      </c>
      <c r="F2974" s="2">
        <v>1064.400024414062</v>
      </c>
      <c r="G2974" s="2">
        <v>1069.300048828125</v>
      </c>
      <c r="H2974" s="3">
        <v>13022221</v>
      </c>
      <c r="I2974" s="4">
        <f t="shared" si="184"/>
        <v>-0.7</v>
      </c>
      <c r="J2974" s="2">
        <f t="shared" si="185"/>
        <v>10.4</v>
      </c>
      <c r="K2974" s="7">
        <f t="shared" si="186"/>
        <v>46204</v>
      </c>
      <c r="L2974" t="str">
        <f t="shared" si="187"/>
        <v>Q3-2026</v>
      </c>
    </row>
    <row r="2975" spans="1:12">
      <c r="A2975" s="6">
        <v>46211</v>
      </c>
      <c r="B2975" t="s">
        <v>14</v>
      </c>
      <c r="C2975" t="s">
        <v>15</v>
      </c>
      <c r="D2975" s="2">
        <v>825.9000244140625</v>
      </c>
      <c r="E2975" s="2">
        <v>834.3499755859375</v>
      </c>
      <c r="F2975" s="2">
        <v>806.95001220703125</v>
      </c>
      <c r="G2975" s="2">
        <v>810.29998779296875</v>
      </c>
      <c r="H2975" s="3">
        <v>38754632</v>
      </c>
      <c r="I2975" s="4">
        <f t="shared" si="184"/>
        <v>-2.29</v>
      </c>
      <c r="J2975" s="2">
        <f t="shared" si="185"/>
        <v>24.05</v>
      </c>
      <c r="K2975" s="7">
        <f t="shared" si="186"/>
        <v>46204</v>
      </c>
      <c r="L2975" t="str">
        <f t="shared" si="187"/>
        <v>Q3-2026</v>
      </c>
    </row>
    <row r="2976" spans="1:12">
      <c r="A2976" s="6">
        <v>46211</v>
      </c>
      <c r="B2976" t="s">
        <v>16</v>
      </c>
      <c r="C2976" t="s">
        <v>17</v>
      </c>
      <c r="D2976" s="2">
        <v>1398.5098849300491</v>
      </c>
      <c r="E2976" s="2">
        <v>1406.44300461528</v>
      </c>
      <c r="F2976" s="2">
        <v>1364.3974460735969</v>
      </c>
      <c r="G2976" s="2">
        <v>1369.05810546875</v>
      </c>
      <c r="H2976" s="3">
        <v>10573142</v>
      </c>
      <c r="I2976" s="4">
        <f t="shared" si="184"/>
        <v>-2.44</v>
      </c>
      <c r="J2976" s="2">
        <f t="shared" si="185"/>
        <v>37.380000000000003</v>
      </c>
      <c r="K2976" s="7">
        <f t="shared" si="186"/>
        <v>46204</v>
      </c>
      <c r="L2976" t="str">
        <f t="shared" si="187"/>
        <v>Q3-2026</v>
      </c>
    </row>
    <row r="2977" spans="1:12">
      <c r="A2977" s="6">
        <v>46211</v>
      </c>
      <c r="B2977" t="s">
        <v>18</v>
      </c>
      <c r="C2977" t="s">
        <v>19</v>
      </c>
      <c r="D2977" s="2">
        <v>171.0465209307437</v>
      </c>
      <c r="E2977" s="2">
        <v>173.4194146084817</v>
      </c>
      <c r="F2977" s="2">
        <v>170.29510811964099</v>
      </c>
      <c r="G2977" s="2">
        <v>170.7696838378906</v>
      </c>
      <c r="H2977" s="3">
        <v>16482564</v>
      </c>
      <c r="I2977" s="4">
        <f t="shared" si="184"/>
        <v>-0.44</v>
      </c>
      <c r="J2977" s="2">
        <f t="shared" si="185"/>
        <v>2.65</v>
      </c>
      <c r="K2977" s="7">
        <f t="shared" si="186"/>
        <v>46204</v>
      </c>
      <c r="L2977" t="str">
        <f t="shared" si="187"/>
        <v>Q3-2026</v>
      </c>
    </row>
    <row r="2978" spans="1:12">
      <c r="A2978" s="6">
        <v>46211</v>
      </c>
      <c r="B2978" t="s">
        <v>20</v>
      </c>
      <c r="C2978" t="s">
        <v>21</v>
      </c>
      <c r="D2978" s="2">
        <v>1153.226427328151</v>
      </c>
      <c r="E2978" s="2">
        <v>1164.6102075120771</v>
      </c>
      <c r="F2978" s="2">
        <v>1130.1618504469229</v>
      </c>
      <c r="G2978" s="2">
        <v>1134.0224609375</v>
      </c>
      <c r="H2978" s="3">
        <v>3091794</v>
      </c>
      <c r="I2978" s="4">
        <f t="shared" si="184"/>
        <v>-2</v>
      </c>
      <c r="J2978" s="2">
        <f t="shared" si="185"/>
        <v>30.59</v>
      </c>
      <c r="K2978" s="7">
        <f t="shared" si="186"/>
        <v>46204</v>
      </c>
      <c r="L2978" t="str">
        <f t="shared" si="187"/>
        <v>Q3-2026</v>
      </c>
    </row>
    <row r="2979" spans="1:12">
      <c r="A2979" s="6">
        <v>46211</v>
      </c>
      <c r="B2979" t="s">
        <v>22</v>
      </c>
      <c r="C2979" t="s">
        <v>23</v>
      </c>
      <c r="D2979" s="2">
        <v>1025</v>
      </c>
      <c r="E2979" s="2">
        <v>1034.699951171875</v>
      </c>
      <c r="F2979" s="2">
        <v>1004.099975585938</v>
      </c>
      <c r="G2979" s="2">
        <v>1010.400024414062</v>
      </c>
      <c r="H2979" s="3">
        <v>8313859</v>
      </c>
      <c r="I2979" s="4">
        <f t="shared" si="184"/>
        <v>-2.04</v>
      </c>
      <c r="J2979" s="2">
        <f t="shared" si="185"/>
        <v>24.3</v>
      </c>
      <c r="K2979" s="7">
        <f t="shared" si="186"/>
        <v>46204</v>
      </c>
      <c r="L2979" t="str">
        <f t="shared" si="187"/>
        <v>Q3-2026</v>
      </c>
    </row>
    <row r="2980" spans="1:12">
      <c r="A2980" s="6">
        <v>46211</v>
      </c>
      <c r="B2980" t="s">
        <v>24</v>
      </c>
      <c r="C2980" t="s">
        <v>25</v>
      </c>
      <c r="D2980" s="2">
        <v>14331.07198261717</v>
      </c>
      <c r="E2980" s="2">
        <v>14355.82340227627</v>
      </c>
      <c r="F2980" s="2">
        <v>13741.98819473066</v>
      </c>
      <c r="G2980" s="2">
        <v>13812.2822265625</v>
      </c>
      <c r="H2980" s="3">
        <v>481076</v>
      </c>
      <c r="I2980" s="4">
        <f t="shared" si="184"/>
        <v>-4.1100000000000003</v>
      </c>
      <c r="J2980" s="2">
        <f t="shared" si="185"/>
        <v>543.54</v>
      </c>
      <c r="K2980" s="7">
        <f t="shared" si="186"/>
        <v>46204</v>
      </c>
      <c r="L2980" t="str">
        <f t="shared" si="187"/>
        <v>Q3-2026</v>
      </c>
    </row>
    <row r="2981" spans="1:12">
      <c r="A2981" s="6">
        <v>46211</v>
      </c>
      <c r="B2981" t="s">
        <v>26</v>
      </c>
      <c r="C2981" t="s">
        <v>27</v>
      </c>
      <c r="D2981" s="2">
        <v>340.95001220703119</v>
      </c>
      <c r="E2981" s="2">
        <v>341.39999389648438</v>
      </c>
      <c r="F2981" s="2">
        <v>330.75</v>
      </c>
      <c r="G2981" s="2">
        <v>332.04998779296881</v>
      </c>
      <c r="H2981" s="3">
        <v>10789766</v>
      </c>
      <c r="I2981" s="4">
        <f t="shared" si="184"/>
        <v>-2.99</v>
      </c>
      <c r="J2981" s="2">
        <f t="shared" si="185"/>
        <v>9.35</v>
      </c>
      <c r="K2981" s="7">
        <f t="shared" si="186"/>
        <v>46204</v>
      </c>
      <c r="L2981" t="str">
        <f t="shared" si="187"/>
        <v>Q3-2026</v>
      </c>
    </row>
    <row r="2982" spans="1:12">
      <c r="A2982" s="6">
        <v>46211</v>
      </c>
      <c r="B2982" t="s">
        <v>28</v>
      </c>
      <c r="C2982" t="s">
        <v>29</v>
      </c>
      <c r="D2982" s="2">
        <v>1904</v>
      </c>
      <c r="E2982" s="2">
        <v>1929.5</v>
      </c>
      <c r="F2982" s="2">
        <v>1875.099975585938</v>
      </c>
      <c r="G2982" s="2">
        <v>1888.199951171875</v>
      </c>
      <c r="H2982" s="3">
        <v>2785926</v>
      </c>
      <c r="I2982" s="4">
        <f t="shared" si="184"/>
        <v>-1.52</v>
      </c>
      <c r="J2982" s="2">
        <f t="shared" si="185"/>
        <v>41.3</v>
      </c>
      <c r="K2982" s="7">
        <f t="shared" si="186"/>
        <v>46204</v>
      </c>
      <c r="L2982" t="str">
        <f t="shared" si="187"/>
        <v>Q3-2026</v>
      </c>
    </row>
    <row r="2983" spans="1:12">
      <c r="A2983" s="6">
        <v>46211</v>
      </c>
      <c r="B2983" t="s">
        <v>30</v>
      </c>
      <c r="C2983" t="s">
        <v>31</v>
      </c>
      <c r="D2983" s="2">
        <v>2676.60009765625</v>
      </c>
      <c r="E2983" s="2">
        <v>2713.10009765625</v>
      </c>
      <c r="F2983" s="2">
        <v>2653.300048828125</v>
      </c>
      <c r="G2983" s="2">
        <v>2665.89990234375</v>
      </c>
      <c r="H2983" s="3">
        <v>1481672</v>
      </c>
      <c r="I2983" s="4">
        <f t="shared" si="184"/>
        <v>-0.87</v>
      </c>
      <c r="J2983" s="2">
        <f t="shared" si="185"/>
        <v>47.2</v>
      </c>
      <c r="K2983" s="7">
        <f t="shared" si="186"/>
        <v>46204</v>
      </c>
      <c r="L2983" t="str">
        <f t="shared" si="187"/>
        <v>Q3-2026</v>
      </c>
    </row>
    <row r="2984" spans="1:12">
      <c r="A2984" s="6">
        <v>46211</v>
      </c>
      <c r="B2984" t="s">
        <v>32</v>
      </c>
      <c r="C2984" t="s">
        <v>33</v>
      </c>
      <c r="D2984" s="2">
        <v>2199</v>
      </c>
      <c r="E2984" s="2">
        <v>2199</v>
      </c>
      <c r="F2984" s="2">
        <v>2130</v>
      </c>
      <c r="G2984" s="2">
        <v>2135.800048828125</v>
      </c>
      <c r="H2984" s="3">
        <v>1326689</v>
      </c>
      <c r="I2984" s="4">
        <f t="shared" si="184"/>
        <v>-3.14</v>
      </c>
      <c r="J2984" s="2">
        <f t="shared" si="185"/>
        <v>63.2</v>
      </c>
      <c r="K2984" s="7">
        <f t="shared" si="186"/>
        <v>46204</v>
      </c>
      <c r="L2984" t="str">
        <f t="shared" si="187"/>
        <v>Q3-2026</v>
      </c>
    </row>
    <row r="2985" spans="1:12">
      <c r="A2985" s="6">
        <v>46211</v>
      </c>
      <c r="B2985" t="s">
        <v>34</v>
      </c>
      <c r="C2985" t="s">
        <v>35</v>
      </c>
      <c r="D2985" s="2">
        <v>3950</v>
      </c>
      <c r="E2985" s="2">
        <v>3988</v>
      </c>
      <c r="F2985" s="2">
        <v>3871</v>
      </c>
      <c r="G2985" s="2">
        <v>3892.10009765625</v>
      </c>
      <c r="H2985" s="3">
        <v>2252308</v>
      </c>
      <c r="I2985" s="4">
        <f t="shared" si="184"/>
        <v>-2</v>
      </c>
      <c r="J2985" s="2">
        <f t="shared" si="185"/>
        <v>95.9</v>
      </c>
      <c r="K2985" s="7">
        <f t="shared" si="186"/>
        <v>46204</v>
      </c>
      <c r="L2985" t="str">
        <f t="shared" si="187"/>
        <v>Q3-2026</v>
      </c>
    </row>
    <row r="2986" spans="1:12">
      <c r="A2986" s="6">
        <v>46211</v>
      </c>
      <c r="B2986" t="s">
        <v>36</v>
      </c>
      <c r="C2986" t="s">
        <v>37</v>
      </c>
      <c r="D2986" s="2">
        <v>1342.964257588774</v>
      </c>
      <c r="E2986" s="2">
        <v>1342.964257588774</v>
      </c>
      <c r="F2986" s="2">
        <v>1302.9950832557749</v>
      </c>
      <c r="G2986" s="2">
        <v>1308.490844726562</v>
      </c>
      <c r="H2986" s="3">
        <v>6917968</v>
      </c>
      <c r="I2986" s="4">
        <f t="shared" si="184"/>
        <v>-2.98</v>
      </c>
      <c r="J2986" s="2">
        <f t="shared" si="185"/>
        <v>34.47</v>
      </c>
      <c r="K2986" s="7">
        <f t="shared" si="186"/>
        <v>46204</v>
      </c>
      <c r="L2986" t="str">
        <f t="shared" si="187"/>
        <v>Q3-2026</v>
      </c>
    </row>
    <row r="2987" spans="1:12">
      <c r="A2987" s="6">
        <v>46212</v>
      </c>
      <c r="B2987" t="s">
        <v>8</v>
      </c>
      <c r="C2987" t="s">
        <v>9</v>
      </c>
      <c r="D2987" s="2">
        <v>1277.099975585938</v>
      </c>
      <c r="E2987" s="2">
        <v>1296.5</v>
      </c>
      <c r="F2987" s="2">
        <v>1274.199951171875</v>
      </c>
      <c r="G2987" s="2">
        <v>1279.800048828125</v>
      </c>
      <c r="H2987" s="3">
        <v>14651963</v>
      </c>
      <c r="I2987" s="4">
        <f t="shared" si="184"/>
        <v>-0.23</v>
      </c>
      <c r="J2987" s="2">
        <f t="shared" si="185"/>
        <v>16.7</v>
      </c>
      <c r="K2987" s="7">
        <f t="shared" si="186"/>
        <v>46204</v>
      </c>
      <c r="L2987" t="str">
        <f t="shared" si="187"/>
        <v>Q3-2026</v>
      </c>
    </row>
    <row r="2988" spans="1:12">
      <c r="A2988" s="6">
        <v>46212</v>
      </c>
      <c r="B2988" t="s">
        <v>10</v>
      </c>
      <c r="C2988" t="s">
        <v>11</v>
      </c>
      <c r="D2988" s="2">
        <v>2046.280350211656</v>
      </c>
      <c r="E2988" s="2">
        <v>2053.7394523387939</v>
      </c>
      <c r="F2988" s="2">
        <v>2005.006651774823</v>
      </c>
      <c r="G2988" s="2">
        <v>2038.323974609375</v>
      </c>
      <c r="H2988" s="3">
        <v>3791498</v>
      </c>
      <c r="I2988" s="4">
        <f t="shared" si="184"/>
        <v>-2.02</v>
      </c>
      <c r="J2988" s="2">
        <f t="shared" si="185"/>
        <v>15.42</v>
      </c>
      <c r="K2988" s="7">
        <f t="shared" si="186"/>
        <v>46204</v>
      </c>
      <c r="L2988" t="str">
        <f t="shared" si="187"/>
        <v>Q3-2026</v>
      </c>
    </row>
    <row r="2989" spans="1:12">
      <c r="A2989" s="6">
        <v>46212</v>
      </c>
      <c r="B2989" t="s">
        <v>12</v>
      </c>
      <c r="C2989" t="s">
        <v>13</v>
      </c>
      <c r="D2989" s="2">
        <v>1062.699951171875</v>
      </c>
      <c r="E2989" s="2">
        <v>1062.699951171875</v>
      </c>
      <c r="F2989" s="2">
        <v>1040.400024414062</v>
      </c>
      <c r="G2989" s="2">
        <v>1050.800048828125</v>
      </c>
      <c r="H2989" s="3">
        <v>9003333</v>
      </c>
      <c r="I2989" s="4">
        <f t="shared" si="184"/>
        <v>-2.1</v>
      </c>
      <c r="J2989" s="2">
        <f t="shared" si="185"/>
        <v>11.9</v>
      </c>
      <c r="K2989" s="7">
        <f t="shared" si="186"/>
        <v>46204</v>
      </c>
      <c r="L2989" t="str">
        <f t="shared" si="187"/>
        <v>Q3-2026</v>
      </c>
    </row>
    <row r="2990" spans="1:12">
      <c r="A2990" s="6">
        <v>46212</v>
      </c>
      <c r="B2990" t="s">
        <v>14</v>
      </c>
      <c r="C2990" t="s">
        <v>15</v>
      </c>
      <c r="D2990" s="2">
        <v>813</v>
      </c>
      <c r="E2990" s="2">
        <v>822.8499755859375</v>
      </c>
      <c r="F2990" s="2">
        <v>812.29998779296875</v>
      </c>
      <c r="G2990" s="2">
        <v>817.54998779296875</v>
      </c>
      <c r="H2990" s="3">
        <v>39891798</v>
      </c>
      <c r="I2990" s="4">
        <f t="shared" si="184"/>
        <v>-0.09</v>
      </c>
      <c r="J2990" s="2">
        <f t="shared" si="185"/>
        <v>5.3</v>
      </c>
      <c r="K2990" s="7">
        <f t="shared" si="186"/>
        <v>46204</v>
      </c>
      <c r="L2990" t="str">
        <f t="shared" si="187"/>
        <v>Q3-2026</v>
      </c>
    </row>
    <row r="2991" spans="1:12">
      <c r="A2991" s="6">
        <v>46212</v>
      </c>
      <c r="B2991" t="s">
        <v>16</v>
      </c>
      <c r="C2991" t="s">
        <v>17</v>
      </c>
      <c r="D2991" s="2">
        <v>1371.3389070760329</v>
      </c>
      <c r="E2991" s="2">
        <v>1391.8658055614051</v>
      </c>
      <c r="F2991" s="2">
        <v>1365.7857475821461</v>
      </c>
      <c r="G2991" s="2">
        <v>1369.1572265625</v>
      </c>
      <c r="H2991" s="3">
        <v>13948838</v>
      </c>
      <c r="I2991" s="4">
        <f t="shared" si="184"/>
        <v>-0.4</v>
      </c>
      <c r="J2991" s="2">
        <f t="shared" si="185"/>
        <v>22.71</v>
      </c>
      <c r="K2991" s="7">
        <f t="shared" si="186"/>
        <v>46204</v>
      </c>
      <c r="L2991" t="str">
        <f t="shared" si="187"/>
        <v>Q3-2026</v>
      </c>
    </row>
    <row r="2992" spans="1:12">
      <c r="A2992" s="6">
        <v>46212</v>
      </c>
      <c r="B2992" t="s">
        <v>18</v>
      </c>
      <c r="C2992" t="s">
        <v>19</v>
      </c>
      <c r="D2992" s="2">
        <v>171.0465147541525</v>
      </c>
      <c r="E2992" s="2">
        <v>172.32194166542001</v>
      </c>
      <c r="F2992" s="2">
        <v>169.71175267956761</v>
      </c>
      <c r="G2992" s="2">
        <v>170.80921936035159</v>
      </c>
      <c r="H2992" s="3">
        <v>10270117</v>
      </c>
      <c r="I2992" s="4">
        <f t="shared" si="184"/>
        <v>-0.78</v>
      </c>
      <c r="J2992" s="2">
        <f t="shared" si="185"/>
        <v>1.51</v>
      </c>
      <c r="K2992" s="7">
        <f t="shared" si="186"/>
        <v>46204</v>
      </c>
      <c r="L2992" t="str">
        <f t="shared" si="187"/>
        <v>Q3-2026</v>
      </c>
    </row>
    <row r="2993" spans="1:12">
      <c r="A2993" s="6">
        <v>46212</v>
      </c>
      <c r="B2993" t="s">
        <v>20</v>
      </c>
      <c r="C2993" t="s">
        <v>21</v>
      </c>
      <c r="D2993" s="2">
        <v>1132.5375461008241</v>
      </c>
      <c r="E2993" s="2">
        <v>1150.157705221932</v>
      </c>
      <c r="F2993" s="2">
        <v>1109.6710220003511</v>
      </c>
      <c r="G2993" s="2">
        <v>1138.77392578125</v>
      </c>
      <c r="H2993" s="3">
        <v>2033525</v>
      </c>
      <c r="I2993" s="4">
        <f t="shared" si="184"/>
        <v>-2.02</v>
      </c>
      <c r="J2993" s="2">
        <f t="shared" si="185"/>
        <v>11.38</v>
      </c>
      <c r="K2993" s="7">
        <f t="shared" si="186"/>
        <v>46204</v>
      </c>
      <c r="L2993" t="str">
        <f t="shared" si="187"/>
        <v>Q3-2026</v>
      </c>
    </row>
    <row r="2994" spans="1:12">
      <c r="A2994" s="6">
        <v>46212</v>
      </c>
      <c r="B2994" t="s">
        <v>22</v>
      </c>
      <c r="C2994" t="s">
        <v>23</v>
      </c>
      <c r="D2994" s="2">
        <v>1000</v>
      </c>
      <c r="E2994" s="2">
        <v>1013.5</v>
      </c>
      <c r="F2994" s="2">
        <v>994.0999755859375</v>
      </c>
      <c r="G2994" s="2">
        <v>1003.799987792969</v>
      </c>
      <c r="H2994" s="3">
        <v>11712515</v>
      </c>
      <c r="I2994" s="4">
        <f t="shared" si="184"/>
        <v>-0.59</v>
      </c>
      <c r="J2994" s="2">
        <f t="shared" si="185"/>
        <v>9.6999999999999993</v>
      </c>
      <c r="K2994" s="7">
        <f t="shared" si="186"/>
        <v>46204</v>
      </c>
      <c r="L2994" t="str">
        <f t="shared" si="187"/>
        <v>Q3-2026</v>
      </c>
    </row>
    <row r="2995" spans="1:12">
      <c r="A2995" s="6">
        <v>46212</v>
      </c>
      <c r="B2995" t="s">
        <v>24</v>
      </c>
      <c r="C2995" t="s">
        <v>25</v>
      </c>
      <c r="D2995" s="2">
        <v>13860.79545454546</v>
      </c>
      <c r="E2995" s="2">
        <v>13897.42755681818</v>
      </c>
      <c r="F2995" s="2">
        <v>13563.77840909091</v>
      </c>
      <c r="G2995" s="2">
        <v>13591.5</v>
      </c>
      <c r="H2995" s="3">
        <v>576451</v>
      </c>
      <c r="I2995" s="4">
        <f t="shared" si="184"/>
        <v>-2.14</v>
      </c>
      <c r="J2995" s="2">
        <f t="shared" si="185"/>
        <v>305.93</v>
      </c>
      <c r="K2995" s="7">
        <f t="shared" si="186"/>
        <v>46204</v>
      </c>
      <c r="L2995" t="str">
        <f t="shared" si="187"/>
        <v>Q3-2026</v>
      </c>
    </row>
    <row r="2996" spans="1:12">
      <c r="A2996" s="6">
        <v>46212</v>
      </c>
      <c r="B2996" t="s">
        <v>26</v>
      </c>
      <c r="C2996" t="s">
        <v>27</v>
      </c>
      <c r="D2996" s="2">
        <v>332.89999389648438</v>
      </c>
      <c r="E2996" s="2">
        <v>334.60000610351563</v>
      </c>
      <c r="F2996" s="2">
        <v>330</v>
      </c>
      <c r="G2996" s="2">
        <v>331.5</v>
      </c>
      <c r="H2996" s="3">
        <v>11549474</v>
      </c>
      <c r="I2996" s="4">
        <f t="shared" si="184"/>
        <v>-0.87</v>
      </c>
      <c r="J2996" s="2">
        <f t="shared" si="185"/>
        <v>3.1</v>
      </c>
      <c r="K2996" s="7">
        <f t="shared" si="186"/>
        <v>46204</v>
      </c>
      <c r="L2996" t="str">
        <f t="shared" si="187"/>
        <v>Q3-2026</v>
      </c>
    </row>
    <row r="2997" spans="1:12">
      <c r="A2997" s="6">
        <v>46212</v>
      </c>
      <c r="B2997" t="s">
        <v>28</v>
      </c>
      <c r="C2997" t="s">
        <v>29</v>
      </c>
      <c r="D2997" s="2">
        <v>1889.900024414062</v>
      </c>
      <c r="E2997" s="2">
        <v>1952</v>
      </c>
      <c r="F2997" s="2">
        <v>1888.199951171875</v>
      </c>
      <c r="G2997" s="2">
        <v>1938.699951171875</v>
      </c>
      <c r="H2997" s="3">
        <v>4446201</v>
      </c>
      <c r="I2997" s="4">
        <f t="shared" si="184"/>
        <v>-0.09</v>
      </c>
      <c r="J2997" s="2">
        <f t="shared" si="185"/>
        <v>13.3</v>
      </c>
      <c r="K2997" s="7">
        <f t="shared" si="186"/>
        <v>46204</v>
      </c>
      <c r="L2997" t="str">
        <f t="shared" si="187"/>
        <v>Q3-2026</v>
      </c>
    </row>
    <row r="2998" spans="1:12">
      <c r="A2998" s="6">
        <v>46212</v>
      </c>
      <c r="B2998" t="s">
        <v>30</v>
      </c>
      <c r="C2998" t="s">
        <v>31</v>
      </c>
      <c r="D2998" s="2">
        <v>2658</v>
      </c>
      <c r="E2998" s="2">
        <v>2722.800048828125</v>
      </c>
      <c r="F2998" s="2">
        <v>2656</v>
      </c>
      <c r="G2998" s="2">
        <v>2673.800048828125</v>
      </c>
      <c r="H2998" s="3">
        <v>918568</v>
      </c>
      <c r="I2998" s="4">
        <f t="shared" si="184"/>
        <v>-0.08</v>
      </c>
      <c r="J2998" s="2">
        <f t="shared" si="185"/>
        <v>49</v>
      </c>
      <c r="K2998" s="7">
        <f t="shared" si="186"/>
        <v>46204</v>
      </c>
      <c r="L2998" t="str">
        <f t="shared" si="187"/>
        <v>Q3-2026</v>
      </c>
    </row>
    <row r="2999" spans="1:12">
      <c r="A2999" s="6">
        <v>46212</v>
      </c>
      <c r="B2999" t="s">
        <v>32</v>
      </c>
      <c r="C2999" t="s">
        <v>33</v>
      </c>
      <c r="D2999" s="2">
        <v>2139</v>
      </c>
      <c r="E2999" s="2">
        <v>2166.800048828125</v>
      </c>
      <c r="F2999" s="2">
        <v>2137.10009765625</v>
      </c>
      <c r="G2999" s="2">
        <v>2144.5</v>
      </c>
      <c r="H2999" s="3">
        <v>2201039</v>
      </c>
      <c r="I2999" s="4">
        <f t="shared" si="184"/>
        <v>-0.09</v>
      </c>
      <c r="J2999" s="2">
        <f t="shared" si="185"/>
        <v>22.3</v>
      </c>
      <c r="K2999" s="7">
        <f t="shared" si="186"/>
        <v>46204</v>
      </c>
      <c r="L2999" t="str">
        <f t="shared" si="187"/>
        <v>Q3-2026</v>
      </c>
    </row>
    <row r="3000" spans="1:12">
      <c r="A3000" s="6">
        <v>46212</v>
      </c>
      <c r="B3000" t="s">
        <v>34</v>
      </c>
      <c r="C3000" t="s">
        <v>35</v>
      </c>
      <c r="D3000" s="2">
        <v>3916</v>
      </c>
      <c r="E3000" s="2">
        <v>3947.300048828125</v>
      </c>
      <c r="F3000" s="2">
        <v>3867.800048828125</v>
      </c>
      <c r="G3000" s="2">
        <v>3886</v>
      </c>
      <c r="H3000" s="3">
        <v>5117653</v>
      </c>
      <c r="I3000" s="4">
        <f t="shared" si="184"/>
        <v>-1.23</v>
      </c>
      <c r="J3000" s="2">
        <f t="shared" si="185"/>
        <v>61.3</v>
      </c>
      <c r="K3000" s="7">
        <f t="shared" si="186"/>
        <v>46204</v>
      </c>
      <c r="L3000" t="str">
        <f t="shared" si="187"/>
        <v>Q3-2026</v>
      </c>
    </row>
    <row r="3001" spans="1:12">
      <c r="A3001" s="6">
        <v>46212</v>
      </c>
      <c r="B3001" t="s">
        <v>36</v>
      </c>
      <c r="C3001" t="s">
        <v>37</v>
      </c>
      <c r="D3001" s="2">
        <v>1311.8882333774441</v>
      </c>
      <c r="E3001" s="2">
        <v>1320.5814799012489</v>
      </c>
      <c r="F3001" s="2">
        <v>1291.2041127197449</v>
      </c>
      <c r="G3001" s="2">
        <v>1296.599975585938</v>
      </c>
      <c r="H3001" s="3">
        <v>5609851</v>
      </c>
      <c r="I3001" s="4">
        <f t="shared" si="184"/>
        <v>-1.58</v>
      </c>
      <c r="J3001" s="2">
        <f t="shared" si="185"/>
        <v>23.98</v>
      </c>
      <c r="K3001" s="7">
        <f t="shared" si="186"/>
        <v>46204</v>
      </c>
      <c r="L3001" t="str">
        <f t="shared" si="187"/>
        <v>Q3-2026</v>
      </c>
    </row>
    <row r="3002" spans="1:12">
      <c r="A3002" s="6">
        <v>46213</v>
      </c>
      <c r="B3002" t="s">
        <v>8</v>
      </c>
      <c r="C3002" t="s">
        <v>9</v>
      </c>
      <c r="D3002" s="2">
        <v>1291.900024414062</v>
      </c>
      <c r="E3002" s="2">
        <v>1311.099975585938</v>
      </c>
      <c r="F3002" s="2">
        <v>1287.800048828125</v>
      </c>
      <c r="G3002" s="2">
        <v>1307.800048828125</v>
      </c>
      <c r="H3002" s="3">
        <v>8412537</v>
      </c>
      <c r="I3002" s="4">
        <f t="shared" si="184"/>
        <v>-0.32</v>
      </c>
      <c r="J3002" s="2">
        <f t="shared" si="185"/>
        <v>3.3</v>
      </c>
      <c r="K3002" s="7">
        <f t="shared" si="186"/>
        <v>46204</v>
      </c>
      <c r="L3002" t="str">
        <f t="shared" si="187"/>
        <v>Q3-2026</v>
      </c>
    </row>
    <row r="3003" spans="1:12">
      <c r="A3003" s="6">
        <v>46213</v>
      </c>
      <c r="B3003" t="s">
        <v>10</v>
      </c>
      <c r="C3003" t="s">
        <v>11</v>
      </c>
      <c r="D3003" s="2">
        <v>2093.7200783959852</v>
      </c>
      <c r="E3003" s="2">
        <v>2121.6669433173088</v>
      </c>
      <c r="F3003" s="2">
        <v>2053.341620075063</v>
      </c>
      <c r="G3003" s="2">
        <v>2057.717529296875</v>
      </c>
      <c r="H3003" s="3">
        <v>6714551</v>
      </c>
      <c r="I3003" s="4">
        <f t="shared" si="184"/>
        <v>-1.93</v>
      </c>
      <c r="J3003" s="2">
        <f t="shared" si="185"/>
        <v>63.95</v>
      </c>
      <c r="K3003" s="7">
        <f t="shared" si="186"/>
        <v>46204</v>
      </c>
      <c r="L3003" t="str">
        <f t="shared" si="187"/>
        <v>Q3-2026</v>
      </c>
    </row>
    <row r="3004" spans="1:12">
      <c r="A3004" s="6">
        <v>46213</v>
      </c>
      <c r="B3004" t="s">
        <v>12</v>
      </c>
      <c r="C3004" t="s">
        <v>13</v>
      </c>
      <c r="D3004" s="2">
        <v>1075</v>
      </c>
      <c r="E3004" s="2">
        <v>1091.300048828125</v>
      </c>
      <c r="F3004" s="2">
        <v>1064.699951171875</v>
      </c>
      <c r="G3004" s="2">
        <v>1068</v>
      </c>
      <c r="H3004" s="3">
        <v>9747266</v>
      </c>
      <c r="I3004" s="4">
        <f t="shared" si="184"/>
        <v>-0.96</v>
      </c>
      <c r="J3004" s="2">
        <f t="shared" si="185"/>
        <v>23.3</v>
      </c>
      <c r="K3004" s="7">
        <f t="shared" si="186"/>
        <v>46204</v>
      </c>
      <c r="L3004" t="str">
        <f t="shared" si="187"/>
        <v>Q3-2026</v>
      </c>
    </row>
    <row r="3005" spans="1:12">
      <c r="A3005" s="6">
        <v>46213</v>
      </c>
      <c r="B3005" t="s">
        <v>14</v>
      </c>
      <c r="C3005" t="s">
        <v>15</v>
      </c>
      <c r="D3005" s="2">
        <v>824</v>
      </c>
      <c r="E3005" s="2">
        <v>827.70001220703125</v>
      </c>
      <c r="F3005" s="2">
        <v>820.29998779296875</v>
      </c>
      <c r="G3005" s="2">
        <v>824.95001220703125</v>
      </c>
      <c r="H3005" s="3">
        <v>23595785</v>
      </c>
      <c r="I3005" s="4">
        <f t="shared" si="184"/>
        <v>-0.45</v>
      </c>
      <c r="J3005" s="2">
        <f t="shared" si="185"/>
        <v>2.75</v>
      </c>
      <c r="K3005" s="7">
        <f t="shared" si="186"/>
        <v>46204</v>
      </c>
      <c r="L3005" t="str">
        <f t="shared" si="187"/>
        <v>Q3-2026</v>
      </c>
    </row>
    <row r="3006" spans="1:12">
      <c r="A3006" s="6">
        <v>46213</v>
      </c>
      <c r="B3006" t="s">
        <v>16</v>
      </c>
      <c r="C3006" t="s">
        <v>17</v>
      </c>
      <c r="D3006" s="2">
        <v>1378.0819804981661</v>
      </c>
      <c r="E3006" s="2">
        <v>1396.4273194454099</v>
      </c>
      <c r="F3006" s="2">
        <v>1377.9828407138159</v>
      </c>
      <c r="G3006" s="2">
        <v>1389.48583984375</v>
      </c>
      <c r="H3006" s="3">
        <v>6409645</v>
      </c>
      <c r="I3006" s="4">
        <f t="shared" si="184"/>
        <v>-0.01</v>
      </c>
      <c r="J3006" s="2">
        <f t="shared" si="185"/>
        <v>6.94</v>
      </c>
      <c r="K3006" s="7">
        <f t="shared" si="186"/>
        <v>46204</v>
      </c>
      <c r="L3006" t="str">
        <f t="shared" si="187"/>
        <v>Q3-2026</v>
      </c>
    </row>
    <row r="3007" spans="1:12">
      <c r="A3007" s="6">
        <v>46213</v>
      </c>
      <c r="B3007" t="s">
        <v>18</v>
      </c>
      <c r="C3007" t="s">
        <v>19</v>
      </c>
      <c r="D3007" s="2">
        <v>173.25133076236909</v>
      </c>
      <c r="E3007" s="2">
        <v>175.2188654785781</v>
      </c>
      <c r="F3007" s="2">
        <v>173.0239321043918</v>
      </c>
      <c r="G3007" s="2">
        <v>173.47874450683591</v>
      </c>
      <c r="H3007" s="3">
        <v>16249590</v>
      </c>
      <c r="I3007" s="4">
        <f t="shared" si="184"/>
        <v>-0.13</v>
      </c>
      <c r="J3007" s="2">
        <f t="shared" si="185"/>
        <v>1.74</v>
      </c>
      <c r="K3007" s="7">
        <f t="shared" si="186"/>
        <v>46204</v>
      </c>
      <c r="L3007" t="str">
        <f t="shared" si="187"/>
        <v>Q3-2026</v>
      </c>
    </row>
    <row r="3008" spans="1:12">
      <c r="A3008" s="6">
        <v>46213</v>
      </c>
      <c r="B3008" t="s">
        <v>20</v>
      </c>
      <c r="C3008" t="s">
        <v>21</v>
      </c>
      <c r="D3008" s="2">
        <v>1161.145528976783</v>
      </c>
      <c r="E3008" s="2">
        <v>1179.4585658788039</v>
      </c>
      <c r="F3008" s="2">
        <v>1141.8425981881669</v>
      </c>
      <c r="G3008" s="2">
        <v>1152.33544921875</v>
      </c>
      <c r="H3008" s="3">
        <v>3979475</v>
      </c>
      <c r="I3008" s="4">
        <f t="shared" si="184"/>
        <v>-1.66</v>
      </c>
      <c r="J3008" s="2">
        <f t="shared" si="185"/>
        <v>27.12</v>
      </c>
      <c r="K3008" s="7">
        <f t="shared" si="186"/>
        <v>46204</v>
      </c>
      <c r="L3008" t="str">
        <f t="shared" si="187"/>
        <v>Q3-2026</v>
      </c>
    </row>
    <row r="3009" spans="1:12">
      <c r="A3009" s="6">
        <v>46213</v>
      </c>
      <c r="B3009" t="s">
        <v>22</v>
      </c>
      <c r="C3009" t="s">
        <v>23</v>
      </c>
      <c r="D3009" s="2">
        <v>1010.099975585938</v>
      </c>
      <c r="E3009" s="2">
        <v>1023.900024414062</v>
      </c>
      <c r="F3009" s="2">
        <v>1004.200012207031</v>
      </c>
      <c r="G3009" s="2">
        <v>1020.5</v>
      </c>
      <c r="H3009" s="3">
        <v>7039305</v>
      </c>
      <c r="I3009" s="4">
        <f t="shared" si="184"/>
        <v>-0.57999999999999996</v>
      </c>
      <c r="J3009" s="2">
        <f t="shared" si="185"/>
        <v>3.4</v>
      </c>
      <c r="K3009" s="7">
        <f t="shared" si="186"/>
        <v>46204</v>
      </c>
      <c r="L3009" t="str">
        <f t="shared" si="187"/>
        <v>Q3-2026</v>
      </c>
    </row>
    <row r="3010" spans="1:12">
      <c r="A3010" s="6">
        <v>46213</v>
      </c>
      <c r="B3010" t="s">
        <v>24</v>
      </c>
      <c r="C3010" t="s">
        <v>25</v>
      </c>
      <c r="D3010" s="2">
        <v>13662.784002476719</v>
      </c>
      <c r="E3010" s="2">
        <v>13847.9246262784</v>
      </c>
      <c r="F3010" s="2">
        <v>13639.022638994151</v>
      </c>
      <c r="G3010" s="2">
        <v>13716.2470703125</v>
      </c>
      <c r="H3010" s="3">
        <v>430154</v>
      </c>
      <c r="I3010" s="4">
        <f t="shared" ref="I3010:I3073" si="188">ROUND(((F3010-D3010)/D3010)*100, 2)</f>
        <v>-0.17</v>
      </c>
      <c r="J3010" s="2">
        <f t="shared" ref="J3010:J3073" si="189">ROUND(E3010-G3010, 2)</f>
        <v>131.68</v>
      </c>
      <c r="K3010" s="7">
        <f t="shared" ref="K3010:K3073" si="190">DATE(YEAR(A3010),MONTH(A3010),1)</f>
        <v>46204</v>
      </c>
      <c r="L3010" t="str">
        <f t="shared" ref="L3010:L3073" si="191">"Q"&amp;INT((MONTH(A3010)-1)/3)+1&amp;"-"&amp;YEAR(A3010)</f>
        <v>Q3-2026</v>
      </c>
    </row>
    <row r="3011" spans="1:12">
      <c r="A3011" s="6">
        <v>46213</v>
      </c>
      <c r="B3011" t="s">
        <v>26</v>
      </c>
      <c r="C3011" t="s">
        <v>27</v>
      </c>
      <c r="D3011" s="2">
        <v>334.54998779296881</v>
      </c>
      <c r="E3011" s="2">
        <v>340.25</v>
      </c>
      <c r="F3011" s="2">
        <v>333.64999389648438</v>
      </c>
      <c r="G3011" s="2">
        <v>337.95001220703119</v>
      </c>
      <c r="H3011" s="3">
        <v>19331002</v>
      </c>
      <c r="I3011" s="4">
        <f t="shared" si="188"/>
        <v>-0.27</v>
      </c>
      <c r="J3011" s="2">
        <f t="shared" si="189"/>
        <v>2.2999999999999998</v>
      </c>
      <c r="K3011" s="7">
        <f t="shared" si="190"/>
        <v>46204</v>
      </c>
      <c r="L3011" t="str">
        <f t="shared" si="191"/>
        <v>Q3-2026</v>
      </c>
    </row>
    <row r="3012" spans="1:12">
      <c r="A3012" s="6">
        <v>46213</v>
      </c>
      <c r="B3012" t="s">
        <v>28</v>
      </c>
      <c r="C3012" t="s">
        <v>29</v>
      </c>
      <c r="D3012" s="2">
        <v>1942.800048828125</v>
      </c>
      <c r="E3012" s="2">
        <v>1953.900024414062</v>
      </c>
      <c r="F3012" s="2">
        <v>1926.599975585938</v>
      </c>
      <c r="G3012" s="2">
        <v>1935.5</v>
      </c>
      <c r="H3012" s="3">
        <v>1478172</v>
      </c>
      <c r="I3012" s="4">
        <f t="shared" si="188"/>
        <v>-0.83</v>
      </c>
      <c r="J3012" s="2">
        <f t="shared" si="189"/>
        <v>18.399999999999999</v>
      </c>
      <c r="K3012" s="7">
        <f t="shared" si="190"/>
        <v>46204</v>
      </c>
      <c r="L3012" t="str">
        <f t="shared" si="191"/>
        <v>Q3-2026</v>
      </c>
    </row>
    <row r="3013" spans="1:12">
      <c r="A3013" s="6">
        <v>46213</v>
      </c>
      <c r="B3013" t="s">
        <v>30</v>
      </c>
      <c r="C3013" t="s">
        <v>31</v>
      </c>
      <c r="D3013" s="2">
        <v>2695</v>
      </c>
      <c r="E3013" s="2">
        <v>2728.199951171875</v>
      </c>
      <c r="F3013" s="2">
        <v>2672.89990234375</v>
      </c>
      <c r="G3013" s="2">
        <v>2677.800048828125</v>
      </c>
      <c r="H3013" s="3">
        <v>982095</v>
      </c>
      <c r="I3013" s="4">
        <f t="shared" si="188"/>
        <v>-0.82</v>
      </c>
      <c r="J3013" s="2">
        <f t="shared" si="189"/>
        <v>50.4</v>
      </c>
      <c r="K3013" s="7">
        <f t="shared" si="190"/>
        <v>46204</v>
      </c>
      <c r="L3013" t="str">
        <f t="shared" si="191"/>
        <v>Q3-2026</v>
      </c>
    </row>
    <row r="3014" spans="1:12">
      <c r="A3014" s="6">
        <v>46213</v>
      </c>
      <c r="B3014" t="s">
        <v>32</v>
      </c>
      <c r="C3014" t="s">
        <v>33</v>
      </c>
      <c r="D3014" s="2">
        <v>2151.5</v>
      </c>
      <c r="E3014" s="2">
        <v>2178</v>
      </c>
      <c r="F3014" s="2">
        <v>2145</v>
      </c>
      <c r="G3014" s="2">
        <v>2150.60009765625</v>
      </c>
      <c r="H3014" s="3">
        <v>1665179</v>
      </c>
      <c r="I3014" s="4">
        <f t="shared" si="188"/>
        <v>-0.3</v>
      </c>
      <c r="J3014" s="2">
        <f t="shared" si="189"/>
        <v>27.4</v>
      </c>
      <c r="K3014" s="7">
        <f t="shared" si="190"/>
        <v>46204</v>
      </c>
      <c r="L3014" t="str">
        <f t="shared" si="191"/>
        <v>Q3-2026</v>
      </c>
    </row>
    <row r="3015" spans="1:12">
      <c r="A3015" s="6">
        <v>46213</v>
      </c>
      <c r="B3015" t="s">
        <v>34</v>
      </c>
      <c r="C3015" t="s">
        <v>35</v>
      </c>
      <c r="D3015" s="2">
        <v>3905</v>
      </c>
      <c r="E3015" s="2">
        <v>3953.800048828125</v>
      </c>
      <c r="F3015" s="2">
        <v>3905</v>
      </c>
      <c r="G3015" s="2">
        <v>3945.800048828125</v>
      </c>
      <c r="H3015" s="3">
        <v>1283990</v>
      </c>
      <c r="I3015" s="4">
        <f t="shared" si="188"/>
        <v>0</v>
      </c>
      <c r="J3015" s="2">
        <f t="shared" si="189"/>
        <v>8</v>
      </c>
      <c r="K3015" s="7">
        <f t="shared" si="190"/>
        <v>46204</v>
      </c>
      <c r="L3015" t="str">
        <f t="shared" si="191"/>
        <v>Q3-2026</v>
      </c>
    </row>
    <row r="3016" spans="1:12">
      <c r="A3016" s="6">
        <v>46213</v>
      </c>
      <c r="B3016" t="s">
        <v>36</v>
      </c>
      <c r="C3016" t="s">
        <v>37</v>
      </c>
      <c r="D3016" s="2">
        <v>1304</v>
      </c>
      <c r="E3016" s="2">
        <v>1326.599975585938</v>
      </c>
      <c r="F3016" s="2">
        <v>1303.900024414062</v>
      </c>
      <c r="G3016" s="2">
        <v>1323.699951171875</v>
      </c>
      <c r="H3016" s="3">
        <v>3549139</v>
      </c>
      <c r="I3016" s="4">
        <f t="shared" si="188"/>
        <v>-0.01</v>
      </c>
      <c r="J3016" s="2">
        <f t="shared" si="189"/>
        <v>2.9</v>
      </c>
      <c r="K3016" s="7">
        <f t="shared" si="190"/>
        <v>46204</v>
      </c>
      <c r="L3016" t="str">
        <f t="shared" si="191"/>
        <v>Q3-2026</v>
      </c>
    </row>
    <row r="3017" spans="1:12">
      <c r="A3017" s="6">
        <v>46216</v>
      </c>
      <c r="B3017" t="s">
        <v>8</v>
      </c>
      <c r="C3017" t="s">
        <v>9</v>
      </c>
      <c r="D3017" s="2">
        <v>1300</v>
      </c>
      <c r="E3017" s="2">
        <v>1306.400024414062</v>
      </c>
      <c r="F3017" s="2">
        <v>1295</v>
      </c>
      <c r="G3017" s="2">
        <v>1296.900024414062</v>
      </c>
      <c r="H3017" s="3">
        <v>9488352</v>
      </c>
      <c r="I3017" s="4">
        <f t="shared" si="188"/>
        <v>-0.38</v>
      </c>
      <c r="J3017" s="2">
        <f t="shared" si="189"/>
        <v>9.5</v>
      </c>
      <c r="K3017" s="7">
        <f t="shared" si="190"/>
        <v>46204</v>
      </c>
      <c r="L3017" t="str">
        <f t="shared" si="191"/>
        <v>Q3-2026</v>
      </c>
    </row>
    <row r="3018" spans="1:12">
      <c r="A3018" s="6">
        <v>46216</v>
      </c>
      <c r="B3018" t="s">
        <v>10</v>
      </c>
      <c r="C3018" t="s">
        <v>11</v>
      </c>
      <c r="D3018" s="2">
        <v>2063.6849941312239</v>
      </c>
      <c r="E3018" s="2">
        <v>2192.876550375036</v>
      </c>
      <c r="F3018" s="2">
        <v>2053.839076102231</v>
      </c>
      <c r="G3018" s="2">
        <v>2169.604248046875</v>
      </c>
      <c r="H3018" s="3">
        <v>12382622</v>
      </c>
      <c r="I3018" s="4">
        <f t="shared" si="188"/>
        <v>-0.48</v>
      </c>
      <c r="J3018" s="2">
        <f t="shared" si="189"/>
        <v>23.27</v>
      </c>
      <c r="K3018" s="7">
        <f t="shared" si="190"/>
        <v>46204</v>
      </c>
      <c r="L3018" t="str">
        <f t="shared" si="191"/>
        <v>Q3-2026</v>
      </c>
    </row>
    <row r="3019" spans="1:12">
      <c r="A3019" s="6">
        <v>46216</v>
      </c>
      <c r="B3019" t="s">
        <v>12</v>
      </c>
      <c r="C3019" t="s">
        <v>13</v>
      </c>
      <c r="D3019" s="2">
        <v>1057.099975585938</v>
      </c>
      <c r="E3019" s="2">
        <v>1114.900024414062</v>
      </c>
      <c r="F3019" s="2">
        <v>1057.099975585938</v>
      </c>
      <c r="G3019" s="2">
        <v>1102.599975585938</v>
      </c>
      <c r="H3019" s="3">
        <v>20994760</v>
      </c>
      <c r="I3019" s="4">
        <f t="shared" si="188"/>
        <v>0</v>
      </c>
      <c r="J3019" s="2">
        <f t="shared" si="189"/>
        <v>12.3</v>
      </c>
      <c r="K3019" s="7">
        <f t="shared" si="190"/>
        <v>46204</v>
      </c>
      <c r="L3019" t="str">
        <f t="shared" si="191"/>
        <v>Q3-2026</v>
      </c>
    </row>
    <row r="3020" spans="1:12">
      <c r="A3020" s="6">
        <v>46216</v>
      </c>
      <c r="B3020" t="s">
        <v>14</v>
      </c>
      <c r="C3020" t="s">
        <v>15</v>
      </c>
      <c r="D3020" s="2">
        <v>817</v>
      </c>
      <c r="E3020" s="2">
        <v>821.95001220703125</v>
      </c>
      <c r="F3020" s="2">
        <v>811</v>
      </c>
      <c r="G3020" s="2">
        <v>817.95001220703125</v>
      </c>
      <c r="H3020" s="3">
        <v>21741736</v>
      </c>
      <c r="I3020" s="4">
        <f t="shared" si="188"/>
        <v>-0.73</v>
      </c>
      <c r="J3020" s="2">
        <f t="shared" si="189"/>
        <v>4</v>
      </c>
      <c r="K3020" s="7">
        <f t="shared" si="190"/>
        <v>46204</v>
      </c>
      <c r="L3020" t="str">
        <f t="shared" si="191"/>
        <v>Q3-2026</v>
      </c>
    </row>
    <row r="3021" spans="1:12">
      <c r="A3021" s="6">
        <v>46216</v>
      </c>
      <c r="B3021" t="s">
        <v>16</v>
      </c>
      <c r="C3021" t="s">
        <v>17</v>
      </c>
      <c r="D3021" s="2">
        <v>1381.8503130438819</v>
      </c>
      <c r="E3021" s="2">
        <v>1401.1872926666699</v>
      </c>
      <c r="F3021" s="2">
        <v>1374.7105536030811</v>
      </c>
      <c r="G3021" s="2">
        <v>1397.716552734375</v>
      </c>
      <c r="H3021" s="3">
        <v>10091437</v>
      </c>
      <c r="I3021" s="4">
        <f t="shared" si="188"/>
        <v>-0.52</v>
      </c>
      <c r="J3021" s="2">
        <f t="shared" si="189"/>
        <v>3.47</v>
      </c>
      <c r="K3021" s="7">
        <f t="shared" si="190"/>
        <v>46204</v>
      </c>
      <c r="L3021" t="str">
        <f t="shared" si="191"/>
        <v>Q3-2026</v>
      </c>
    </row>
    <row r="3022" spans="1:12">
      <c r="A3022" s="6">
        <v>46216</v>
      </c>
      <c r="B3022" t="s">
        <v>18</v>
      </c>
      <c r="C3022" t="s">
        <v>19</v>
      </c>
      <c r="D3022" s="2">
        <v>172.62845263285121</v>
      </c>
      <c r="E3022" s="2">
        <v>177.9180322940197</v>
      </c>
      <c r="F3022" s="2">
        <v>172.39115724075509</v>
      </c>
      <c r="G3022" s="2">
        <v>176.4151916503906</v>
      </c>
      <c r="H3022" s="3">
        <v>22417855</v>
      </c>
      <c r="I3022" s="4">
        <f t="shared" si="188"/>
        <v>-0.14000000000000001</v>
      </c>
      <c r="J3022" s="2">
        <f t="shared" si="189"/>
        <v>1.5</v>
      </c>
      <c r="K3022" s="7">
        <f t="shared" si="190"/>
        <v>46204</v>
      </c>
      <c r="L3022" t="str">
        <f t="shared" si="191"/>
        <v>Q3-2026</v>
      </c>
    </row>
    <row r="3023" spans="1:12">
      <c r="A3023" s="6">
        <v>46216</v>
      </c>
      <c r="B3023" t="s">
        <v>20</v>
      </c>
      <c r="C3023" t="s">
        <v>21</v>
      </c>
      <c r="D3023" s="2">
        <v>1150.2567271120649</v>
      </c>
      <c r="E3023" s="2">
        <v>1224.498770600366</v>
      </c>
      <c r="F3023" s="2">
        <v>1150.2567271120649</v>
      </c>
      <c r="G3023" s="2">
        <v>1208.8583984375</v>
      </c>
      <c r="H3023" s="3">
        <v>9028077</v>
      </c>
      <c r="I3023" s="4">
        <f t="shared" si="188"/>
        <v>0</v>
      </c>
      <c r="J3023" s="2">
        <f t="shared" si="189"/>
        <v>15.64</v>
      </c>
      <c r="K3023" s="7">
        <f t="shared" si="190"/>
        <v>46204</v>
      </c>
      <c r="L3023" t="str">
        <f t="shared" si="191"/>
        <v>Q3-2026</v>
      </c>
    </row>
    <row r="3024" spans="1:12">
      <c r="A3024" s="6">
        <v>46216</v>
      </c>
      <c r="B3024" t="s">
        <v>22</v>
      </c>
      <c r="C3024" t="s">
        <v>23</v>
      </c>
      <c r="D3024" s="2">
        <v>1014</v>
      </c>
      <c r="E3024" s="2">
        <v>1028</v>
      </c>
      <c r="F3024" s="2">
        <v>1003.700012207031</v>
      </c>
      <c r="G3024" s="2">
        <v>1022.599975585938</v>
      </c>
      <c r="H3024" s="3">
        <v>4874070</v>
      </c>
      <c r="I3024" s="4">
        <f t="shared" si="188"/>
        <v>-1.02</v>
      </c>
      <c r="J3024" s="2">
        <f t="shared" si="189"/>
        <v>5.4</v>
      </c>
      <c r="K3024" s="7">
        <f t="shared" si="190"/>
        <v>46204</v>
      </c>
      <c r="L3024" t="str">
        <f t="shared" si="191"/>
        <v>Q3-2026</v>
      </c>
    </row>
    <row r="3025" spans="1:12">
      <c r="A3025" s="6">
        <v>46216</v>
      </c>
      <c r="B3025" t="s">
        <v>24</v>
      </c>
      <c r="C3025" t="s">
        <v>25</v>
      </c>
      <c r="D3025" s="2">
        <v>13545.95738636364</v>
      </c>
      <c r="E3025" s="2">
        <v>13703.37642045455</v>
      </c>
      <c r="F3025" s="2">
        <v>13401.40909090909</v>
      </c>
      <c r="G3025" s="2">
        <v>13558.828125</v>
      </c>
      <c r="H3025" s="3">
        <v>458633</v>
      </c>
      <c r="I3025" s="4">
        <f t="shared" si="188"/>
        <v>-1.07</v>
      </c>
      <c r="J3025" s="2">
        <f t="shared" si="189"/>
        <v>144.55000000000001</v>
      </c>
      <c r="K3025" s="7">
        <f t="shared" si="190"/>
        <v>46204</v>
      </c>
      <c r="L3025" t="str">
        <f t="shared" si="191"/>
        <v>Q3-2026</v>
      </c>
    </row>
    <row r="3026" spans="1:12">
      <c r="A3026" s="6">
        <v>46216</v>
      </c>
      <c r="B3026" t="s">
        <v>26</v>
      </c>
      <c r="C3026" t="s">
        <v>27</v>
      </c>
      <c r="D3026" s="2">
        <v>339.35000610351563</v>
      </c>
      <c r="E3026" s="2">
        <v>344</v>
      </c>
      <c r="F3026" s="2">
        <v>334.39999389648438</v>
      </c>
      <c r="G3026" s="2">
        <v>342.25</v>
      </c>
      <c r="H3026" s="3">
        <v>8402444</v>
      </c>
      <c r="I3026" s="4">
        <f t="shared" si="188"/>
        <v>-1.46</v>
      </c>
      <c r="J3026" s="2">
        <f t="shared" si="189"/>
        <v>1.75</v>
      </c>
      <c r="K3026" s="7">
        <f t="shared" si="190"/>
        <v>46204</v>
      </c>
      <c r="L3026" t="str">
        <f t="shared" si="191"/>
        <v>Q3-2026</v>
      </c>
    </row>
    <row r="3027" spans="1:12">
      <c r="A3027" s="6">
        <v>46216</v>
      </c>
      <c r="B3027" t="s">
        <v>28</v>
      </c>
      <c r="C3027" t="s">
        <v>29</v>
      </c>
      <c r="D3027" s="2">
        <v>1925.900024414062</v>
      </c>
      <c r="E3027" s="2">
        <v>1933.099975585938</v>
      </c>
      <c r="F3027" s="2">
        <v>1911</v>
      </c>
      <c r="G3027" s="2">
        <v>1921.400024414062</v>
      </c>
      <c r="H3027" s="3">
        <v>1573176</v>
      </c>
      <c r="I3027" s="4">
        <f t="shared" si="188"/>
        <v>-0.77</v>
      </c>
      <c r="J3027" s="2">
        <f t="shared" si="189"/>
        <v>11.7</v>
      </c>
      <c r="K3027" s="7">
        <f t="shared" si="190"/>
        <v>46204</v>
      </c>
      <c r="L3027" t="str">
        <f t="shared" si="191"/>
        <v>Q3-2026</v>
      </c>
    </row>
    <row r="3028" spans="1:12">
      <c r="A3028" s="6">
        <v>46216</v>
      </c>
      <c r="B3028" t="s">
        <v>30</v>
      </c>
      <c r="C3028" t="s">
        <v>31</v>
      </c>
      <c r="D3028" s="2">
        <v>2650.5</v>
      </c>
      <c r="E3028" s="2">
        <v>2664.39990234375</v>
      </c>
      <c r="F3028" s="2">
        <v>2630.10009765625</v>
      </c>
      <c r="G3028" s="2">
        <v>2652.10009765625</v>
      </c>
      <c r="H3028" s="3">
        <v>1107802</v>
      </c>
      <c r="I3028" s="4">
        <f t="shared" si="188"/>
        <v>-0.77</v>
      </c>
      <c r="J3028" s="2">
        <f t="shared" si="189"/>
        <v>12.3</v>
      </c>
      <c r="K3028" s="7">
        <f t="shared" si="190"/>
        <v>46204</v>
      </c>
      <c r="L3028" t="str">
        <f t="shared" si="191"/>
        <v>Q3-2026</v>
      </c>
    </row>
    <row r="3029" spans="1:12">
      <c r="A3029" s="6">
        <v>46216</v>
      </c>
      <c r="B3029" t="s">
        <v>32</v>
      </c>
      <c r="C3029" t="s">
        <v>33</v>
      </c>
      <c r="D3029" s="2">
        <v>2143</v>
      </c>
      <c r="E3029" s="2">
        <v>2143</v>
      </c>
      <c r="F3029" s="2">
        <v>2120</v>
      </c>
      <c r="G3029" s="2">
        <v>2130.60009765625</v>
      </c>
      <c r="H3029" s="3">
        <v>1833988</v>
      </c>
      <c r="I3029" s="4">
        <f t="shared" si="188"/>
        <v>-1.07</v>
      </c>
      <c r="J3029" s="2">
        <f t="shared" si="189"/>
        <v>12.4</v>
      </c>
      <c r="K3029" s="7">
        <f t="shared" si="190"/>
        <v>46204</v>
      </c>
      <c r="L3029" t="str">
        <f t="shared" si="191"/>
        <v>Q3-2026</v>
      </c>
    </row>
    <row r="3030" spans="1:12">
      <c r="A3030" s="6">
        <v>46216</v>
      </c>
      <c r="B3030" t="s">
        <v>34</v>
      </c>
      <c r="C3030" t="s">
        <v>35</v>
      </c>
      <c r="D3030" s="2">
        <v>3895</v>
      </c>
      <c r="E3030" s="2">
        <v>3939</v>
      </c>
      <c r="F3030" s="2">
        <v>3875.60009765625</v>
      </c>
      <c r="G3030" s="2">
        <v>3928.5</v>
      </c>
      <c r="H3030" s="3">
        <v>1744547</v>
      </c>
      <c r="I3030" s="4">
        <f t="shared" si="188"/>
        <v>-0.5</v>
      </c>
      <c r="J3030" s="2">
        <f t="shared" si="189"/>
        <v>10.5</v>
      </c>
      <c r="K3030" s="7">
        <f t="shared" si="190"/>
        <v>46204</v>
      </c>
      <c r="L3030" t="str">
        <f t="shared" si="191"/>
        <v>Q3-2026</v>
      </c>
    </row>
    <row r="3031" spans="1:12">
      <c r="A3031" s="6">
        <v>46216</v>
      </c>
      <c r="B3031" t="s">
        <v>36</v>
      </c>
      <c r="C3031" t="s">
        <v>37</v>
      </c>
      <c r="D3031" s="2">
        <v>1315.900024414062</v>
      </c>
      <c r="E3031" s="2">
        <v>1329.900024414062</v>
      </c>
      <c r="F3031" s="2">
        <v>1313.5</v>
      </c>
      <c r="G3031" s="2">
        <v>1319.400024414062</v>
      </c>
      <c r="H3031" s="3">
        <v>3674483</v>
      </c>
      <c r="I3031" s="4">
        <f t="shared" si="188"/>
        <v>-0.18</v>
      </c>
      <c r="J3031" s="2">
        <f t="shared" si="189"/>
        <v>10.5</v>
      </c>
      <c r="K3031" s="7">
        <f t="shared" si="190"/>
        <v>46204</v>
      </c>
      <c r="L3031" t="str">
        <f t="shared" si="191"/>
        <v>Q3-2026</v>
      </c>
    </row>
    <row r="3032" spans="1:12">
      <c r="A3032" s="6">
        <v>46217</v>
      </c>
      <c r="B3032" t="s">
        <v>8</v>
      </c>
      <c r="C3032" t="s">
        <v>9</v>
      </c>
      <c r="D3032" s="2">
        <v>1290</v>
      </c>
      <c r="E3032" s="2">
        <v>1308</v>
      </c>
      <c r="F3032" s="2">
        <v>1286.900024414062</v>
      </c>
      <c r="G3032" s="2">
        <v>1293</v>
      </c>
      <c r="H3032" s="3">
        <v>13511284</v>
      </c>
      <c r="I3032" s="4">
        <f t="shared" si="188"/>
        <v>-0.24</v>
      </c>
      <c r="J3032" s="2">
        <f t="shared" si="189"/>
        <v>15</v>
      </c>
      <c r="K3032" s="7">
        <f t="shared" si="190"/>
        <v>46204</v>
      </c>
      <c r="L3032" t="str">
        <f t="shared" si="191"/>
        <v>Q3-2026</v>
      </c>
    </row>
    <row r="3033" spans="1:12">
      <c r="A3033" s="6">
        <v>46217</v>
      </c>
      <c r="B3033" t="s">
        <v>10</v>
      </c>
      <c r="C3033" t="s">
        <v>11</v>
      </c>
      <c r="D3033" s="2">
        <v>2170.996422535663</v>
      </c>
      <c r="E3033" s="2">
        <v>2215.850586742918</v>
      </c>
      <c r="F3033" s="2">
        <v>2167.1177865856462</v>
      </c>
      <c r="G3033" s="2">
        <v>2188.60009765625</v>
      </c>
      <c r="H3033" s="3">
        <v>9546290</v>
      </c>
      <c r="I3033" s="4">
        <f t="shared" si="188"/>
        <v>-0.18</v>
      </c>
      <c r="J3033" s="2">
        <f t="shared" si="189"/>
        <v>27.25</v>
      </c>
      <c r="K3033" s="7">
        <f t="shared" si="190"/>
        <v>46204</v>
      </c>
      <c r="L3033" t="str">
        <f t="shared" si="191"/>
        <v>Q3-2026</v>
      </c>
    </row>
    <row r="3034" spans="1:12">
      <c r="A3034" s="6">
        <v>46217</v>
      </c>
      <c r="B3034" t="s">
        <v>12</v>
      </c>
      <c r="C3034" t="s">
        <v>13</v>
      </c>
      <c r="D3034" s="2">
        <v>1107.800048828125</v>
      </c>
      <c r="E3034" s="2">
        <v>1113.5</v>
      </c>
      <c r="F3034" s="2">
        <v>1090</v>
      </c>
      <c r="G3034" s="2">
        <v>1092.900024414062</v>
      </c>
      <c r="H3034" s="3">
        <v>14819413</v>
      </c>
      <c r="I3034" s="4">
        <f t="shared" si="188"/>
        <v>-1.61</v>
      </c>
      <c r="J3034" s="2">
        <f t="shared" si="189"/>
        <v>20.6</v>
      </c>
      <c r="K3034" s="7">
        <f t="shared" si="190"/>
        <v>46204</v>
      </c>
      <c r="L3034" t="str">
        <f t="shared" si="191"/>
        <v>Q3-2026</v>
      </c>
    </row>
    <row r="3035" spans="1:12">
      <c r="A3035" s="6">
        <v>46217</v>
      </c>
      <c r="B3035" t="s">
        <v>14</v>
      </c>
      <c r="C3035" t="s">
        <v>15</v>
      </c>
      <c r="D3035" s="2">
        <v>811.4000244140625</v>
      </c>
      <c r="E3035" s="2">
        <v>818.4000244140625</v>
      </c>
      <c r="F3035" s="2">
        <v>807</v>
      </c>
      <c r="G3035" s="2">
        <v>809.4000244140625</v>
      </c>
      <c r="H3035" s="3">
        <v>25605395</v>
      </c>
      <c r="I3035" s="4">
        <f t="shared" si="188"/>
        <v>-0.54</v>
      </c>
      <c r="J3035" s="2">
        <f t="shared" si="189"/>
        <v>9</v>
      </c>
      <c r="K3035" s="7">
        <f t="shared" si="190"/>
        <v>46204</v>
      </c>
      <c r="L3035" t="str">
        <f t="shared" si="191"/>
        <v>Q3-2026</v>
      </c>
    </row>
    <row r="3036" spans="1:12">
      <c r="A3036" s="6">
        <v>46217</v>
      </c>
      <c r="B3036" t="s">
        <v>16</v>
      </c>
      <c r="C3036" t="s">
        <v>17</v>
      </c>
      <c r="D3036" s="2">
        <v>1388.2959393084111</v>
      </c>
      <c r="E3036" s="2">
        <v>1399.9973392167869</v>
      </c>
      <c r="F3036" s="2">
        <v>1380.3628196552199</v>
      </c>
      <c r="G3036" s="2">
        <v>1395.931518554688</v>
      </c>
      <c r="H3036" s="3">
        <v>14133017</v>
      </c>
      <c r="I3036" s="4">
        <f t="shared" si="188"/>
        <v>-0.56999999999999995</v>
      </c>
      <c r="J3036" s="2">
        <f t="shared" si="189"/>
        <v>4.07</v>
      </c>
      <c r="K3036" s="7">
        <f t="shared" si="190"/>
        <v>46204</v>
      </c>
      <c r="L3036" t="str">
        <f t="shared" si="191"/>
        <v>Q3-2026</v>
      </c>
    </row>
    <row r="3037" spans="1:12">
      <c r="A3037" s="6">
        <v>46217</v>
      </c>
      <c r="B3037" t="s">
        <v>18</v>
      </c>
      <c r="C3037" t="s">
        <v>19</v>
      </c>
      <c r="D3037" s="2">
        <v>176.48441426759661</v>
      </c>
      <c r="E3037" s="2">
        <v>178.46183067395631</v>
      </c>
      <c r="F3037" s="2">
        <v>174.7146332219603</v>
      </c>
      <c r="G3037" s="2">
        <v>175.1397705078125</v>
      </c>
      <c r="H3037" s="3">
        <v>14461463</v>
      </c>
      <c r="I3037" s="4">
        <f t="shared" si="188"/>
        <v>-1</v>
      </c>
      <c r="J3037" s="2">
        <f t="shared" si="189"/>
        <v>3.32</v>
      </c>
      <c r="K3037" s="7">
        <f t="shared" si="190"/>
        <v>46204</v>
      </c>
      <c r="L3037" t="str">
        <f t="shared" si="191"/>
        <v>Q3-2026</v>
      </c>
    </row>
    <row r="3038" spans="1:12">
      <c r="A3038" s="6">
        <v>46217</v>
      </c>
      <c r="B3038" t="s">
        <v>20</v>
      </c>
      <c r="C3038" t="s">
        <v>21</v>
      </c>
      <c r="D3038" s="2">
        <v>1187.8726953172161</v>
      </c>
      <c r="E3038" s="2">
        <v>1196.88070575604</v>
      </c>
      <c r="F3038" s="2">
        <v>1152.2365144577</v>
      </c>
      <c r="G3038" s="2">
        <v>1154.9091796875</v>
      </c>
      <c r="H3038" s="3">
        <v>9754723</v>
      </c>
      <c r="I3038" s="4">
        <f t="shared" si="188"/>
        <v>-3</v>
      </c>
      <c r="J3038" s="2">
        <f t="shared" si="189"/>
        <v>41.97</v>
      </c>
      <c r="K3038" s="7">
        <f t="shared" si="190"/>
        <v>46204</v>
      </c>
      <c r="L3038" t="str">
        <f t="shared" si="191"/>
        <v>Q3-2026</v>
      </c>
    </row>
    <row r="3039" spans="1:12">
      <c r="A3039" s="6">
        <v>46217</v>
      </c>
      <c r="B3039" t="s">
        <v>22</v>
      </c>
      <c r="C3039" t="s">
        <v>23</v>
      </c>
      <c r="D3039" s="2">
        <v>1007</v>
      </c>
      <c r="E3039" s="2">
        <v>1022</v>
      </c>
      <c r="F3039" s="2">
        <v>995.20001220703125</v>
      </c>
      <c r="G3039" s="2">
        <v>1006.599975585938</v>
      </c>
      <c r="H3039" s="3">
        <v>6458393</v>
      </c>
      <c r="I3039" s="4">
        <f t="shared" si="188"/>
        <v>-1.17</v>
      </c>
      <c r="J3039" s="2">
        <f t="shared" si="189"/>
        <v>15.4</v>
      </c>
      <c r="K3039" s="7">
        <f t="shared" si="190"/>
        <v>46204</v>
      </c>
      <c r="L3039" t="str">
        <f t="shared" si="191"/>
        <v>Q3-2026</v>
      </c>
    </row>
    <row r="3040" spans="1:12">
      <c r="A3040" s="6">
        <v>46217</v>
      </c>
      <c r="B3040" t="s">
        <v>24</v>
      </c>
      <c r="C3040" t="s">
        <v>25</v>
      </c>
      <c r="D3040" s="2">
        <v>13483.583358648129</v>
      </c>
      <c r="E3040" s="2">
        <v>13553.8773904026</v>
      </c>
      <c r="F3040" s="2">
        <v>13336.064897642291</v>
      </c>
      <c r="G3040" s="2">
        <v>13354.8759765625</v>
      </c>
      <c r="H3040" s="3">
        <v>368645</v>
      </c>
      <c r="I3040" s="4">
        <f t="shared" si="188"/>
        <v>-1.0900000000000001</v>
      </c>
      <c r="J3040" s="2">
        <f t="shared" si="189"/>
        <v>199</v>
      </c>
      <c r="K3040" s="7">
        <f t="shared" si="190"/>
        <v>46204</v>
      </c>
      <c r="L3040" t="str">
        <f t="shared" si="191"/>
        <v>Q3-2026</v>
      </c>
    </row>
    <row r="3041" spans="1:12">
      <c r="A3041" s="6">
        <v>46217</v>
      </c>
      <c r="B3041" t="s">
        <v>26</v>
      </c>
      <c r="C3041" t="s">
        <v>27</v>
      </c>
      <c r="D3041" s="2">
        <v>340.04998779296881</v>
      </c>
      <c r="E3041" s="2">
        <v>340.75</v>
      </c>
      <c r="F3041" s="2">
        <v>332.54998779296881</v>
      </c>
      <c r="G3041" s="2">
        <v>333.35000610351563</v>
      </c>
      <c r="H3041" s="3">
        <v>8043834</v>
      </c>
      <c r="I3041" s="4">
        <f t="shared" si="188"/>
        <v>-2.21</v>
      </c>
      <c r="J3041" s="2">
        <f t="shared" si="189"/>
        <v>7.4</v>
      </c>
      <c r="K3041" s="7">
        <f t="shared" si="190"/>
        <v>46204</v>
      </c>
      <c r="L3041" t="str">
        <f t="shared" si="191"/>
        <v>Q3-2026</v>
      </c>
    </row>
    <row r="3042" spans="1:12">
      <c r="A3042" s="6">
        <v>46217</v>
      </c>
      <c r="B3042" t="s">
        <v>28</v>
      </c>
      <c r="C3042" t="s">
        <v>29</v>
      </c>
      <c r="D3042" s="2">
        <v>1910</v>
      </c>
      <c r="E3042" s="2">
        <v>1950.800048828125</v>
      </c>
      <c r="F3042" s="2">
        <v>1910</v>
      </c>
      <c r="G3042" s="2">
        <v>1942.599975585938</v>
      </c>
      <c r="H3042" s="3">
        <v>2822124</v>
      </c>
      <c r="I3042" s="4">
        <f t="shared" si="188"/>
        <v>0</v>
      </c>
      <c r="J3042" s="2">
        <f t="shared" si="189"/>
        <v>8.1999999999999993</v>
      </c>
      <c r="K3042" s="7">
        <f t="shared" si="190"/>
        <v>46204</v>
      </c>
      <c r="L3042" t="str">
        <f t="shared" si="191"/>
        <v>Q3-2026</v>
      </c>
    </row>
    <row r="3043" spans="1:12">
      <c r="A3043" s="6">
        <v>46217</v>
      </c>
      <c r="B3043" t="s">
        <v>30</v>
      </c>
      <c r="C3043" t="s">
        <v>31</v>
      </c>
      <c r="D3043" s="2">
        <v>2604</v>
      </c>
      <c r="E3043" s="2">
        <v>2655.89990234375</v>
      </c>
      <c r="F3043" s="2">
        <v>2579.89990234375</v>
      </c>
      <c r="G3043" s="2">
        <v>2641</v>
      </c>
      <c r="H3043" s="3">
        <v>975301</v>
      </c>
      <c r="I3043" s="4">
        <f t="shared" si="188"/>
        <v>-0.93</v>
      </c>
      <c r="J3043" s="2">
        <f t="shared" si="189"/>
        <v>14.9</v>
      </c>
      <c r="K3043" s="7">
        <f t="shared" si="190"/>
        <v>46204</v>
      </c>
      <c r="L3043" t="str">
        <f t="shared" si="191"/>
        <v>Q3-2026</v>
      </c>
    </row>
    <row r="3044" spans="1:12">
      <c r="A3044" s="6">
        <v>46217</v>
      </c>
      <c r="B3044" t="s">
        <v>32</v>
      </c>
      <c r="C3044" t="s">
        <v>33</v>
      </c>
      <c r="D3044" s="2">
        <v>2125</v>
      </c>
      <c r="E3044" s="2">
        <v>2145</v>
      </c>
      <c r="F3044" s="2">
        <v>2116.10009765625</v>
      </c>
      <c r="G3044" s="2">
        <v>2120.199951171875</v>
      </c>
      <c r="H3044" s="3">
        <v>2681897</v>
      </c>
      <c r="I3044" s="4">
        <f t="shared" si="188"/>
        <v>-0.42</v>
      </c>
      <c r="J3044" s="2">
        <f t="shared" si="189"/>
        <v>24.8</v>
      </c>
      <c r="K3044" s="7">
        <f t="shared" si="190"/>
        <v>46204</v>
      </c>
      <c r="L3044" t="str">
        <f t="shared" si="191"/>
        <v>Q3-2026</v>
      </c>
    </row>
    <row r="3045" spans="1:12">
      <c r="A3045" s="6">
        <v>46217</v>
      </c>
      <c r="B3045" t="s">
        <v>34</v>
      </c>
      <c r="C3045" t="s">
        <v>35</v>
      </c>
      <c r="D3045" s="2">
        <v>3892</v>
      </c>
      <c r="E3045" s="2">
        <v>3897.89990234375</v>
      </c>
      <c r="F3045" s="2">
        <v>3843</v>
      </c>
      <c r="G3045" s="2">
        <v>3848.699951171875</v>
      </c>
      <c r="H3045" s="3">
        <v>2409089</v>
      </c>
      <c r="I3045" s="4">
        <f t="shared" si="188"/>
        <v>-1.26</v>
      </c>
      <c r="J3045" s="2">
        <f t="shared" si="189"/>
        <v>49.2</v>
      </c>
      <c r="K3045" s="7">
        <f t="shared" si="190"/>
        <v>46204</v>
      </c>
      <c r="L3045" t="str">
        <f t="shared" si="191"/>
        <v>Q3-2026</v>
      </c>
    </row>
    <row r="3046" spans="1:12">
      <c r="A3046" s="6">
        <v>46217</v>
      </c>
      <c r="B3046" t="s">
        <v>36</v>
      </c>
      <c r="C3046" t="s">
        <v>37</v>
      </c>
      <c r="D3046" s="2">
        <v>1320.099975585938</v>
      </c>
      <c r="E3046" s="2">
        <v>1323.699951171875</v>
      </c>
      <c r="F3046" s="2">
        <v>1298.599975585938</v>
      </c>
      <c r="G3046" s="2">
        <v>1317.599975585938</v>
      </c>
      <c r="H3046" s="3">
        <v>6005505</v>
      </c>
      <c r="I3046" s="4">
        <f t="shared" si="188"/>
        <v>-1.63</v>
      </c>
      <c r="J3046" s="2">
        <f t="shared" si="189"/>
        <v>6.1</v>
      </c>
      <c r="K3046" s="7">
        <f t="shared" si="190"/>
        <v>46204</v>
      </c>
      <c r="L3046" t="str">
        <f t="shared" si="191"/>
        <v>Q3-2026</v>
      </c>
    </row>
    <row r="3047" spans="1:12">
      <c r="A3047" s="6">
        <v>46218</v>
      </c>
      <c r="B3047" t="s">
        <v>8</v>
      </c>
      <c r="C3047" t="s">
        <v>9</v>
      </c>
      <c r="D3047" s="2">
        <v>1294.099975585938</v>
      </c>
      <c r="E3047" s="2">
        <v>1310.900024414062</v>
      </c>
      <c r="F3047" s="2">
        <v>1294.099975585938</v>
      </c>
      <c r="G3047" s="2">
        <v>1295.5</v>
      </c>
      <c r="H3047" s="3">
        <v>9577965</v>
      </c>
      <c r="I3047" s="4">
        <f t="shared" si="188"/>
        <v>0</v>
      </c>
      <c r="J3047" s="2">
        <f t="shared" si="189"/>
        <v>15.4</v>
      </c>
      <c r="K3047" s="7">
        <f t="shared" si="190"/>
        <v>46204</v>
      </c>
      <c r="L3047" t="str">
        <f t="shared" si="191"/>
        <v>Q3-2026</v>
      </c>
    </row>
    <row r="3048" spans="1:12">
      <c r="A3048" s="6">
        <v>46218</v>
      </c>
      <c r="B3048" t="s">
        <v>10</v>
      </c>
      <c r="C3048" t="s">
        <v>11</v>
      </c>
      <c r="D3048" s="2">
        <v>2174.10009765625</v>
      </c>
      <c r="E3048" s="2">
        <v>2202.89990234375</v>
      </c>
      <c r="F3048" s="2">
        <v>2145.39990234375</v>
      </c>
      <c r="G3048" s="2">
        <v>2189.199951171875</v>
      </c>
      <c r="H3048" s="3">
        <v>5426489</v>
      </c>
      <c r="I3048" s="4">
        <f t="shared" si="188"/>
        <v>-1.32</v>
      </c>
      <c r="J3048" s="2">
        <f t="shared" si="189"/>
        <v>13.7</v>
      </c>
      <c r="K3048" s="7">
        <f t="shared" si="190"/>
        <v>46204</v>
      </c>
      <c r="L3048" t="str">
        <f t="shared" si="191"/>
        <v>Q3-2026</v>
      </c>
    </row>
    <row r="3049" spans="1:12">
      <c r="A3049" s="6">
        <v>46218</v>
      </c>
      <c r="B3049" t="s">
        <v>12</v>
      </c>
      <c r="C3049" t="s">
        <v>13</v>
      </c>
      <c r="D3049" s="2">
        <v>1079</v>
      </c>
      <c r="E3049" s="2">
        <v>1088.099975585938</v>
      </c>
      <c r="F3049" s="2">
        <v>1073</v>
      </c>
      <c r="G3049" s="2">
        <v>1076.300048828125</v>
      </c>
      <c r="H3049" s="3">
        <v>8501933</v>
      </c>
      <c r="I3049" s="4">
        <f t="shared" si="188"/>
        <v>-0.56000000000000005</v>
      </c>
      <c r="J3049" s="2">
        <f t="shared" si="189"/>
        <v>11.8</v>
      </c>
      <c r="K3049" s="7">
        <f t="shared" si="190"/>
        <v>46204</v>
      </c>
      <c r="L3049" t="str">
        <f t="shared" si="191"/>
        <v>Q3-2026</v>
      </c>
    </row>
    <row r="3050" spans="1:12">
      <c r="A3050" s="6">
        <v>46218</v>
      </c>
      <c r="B3050" t="s">
        <v>14</v>
      </c>
      <c r="C3050" t="s">
        <v>15</v>
      </c>
      <c r="D3050" s="2">
        <v>811</v>
      </c>
      <c r="E3050" s="2">
        <v>819.70001220703125</v>
      </c>
      <c r="F3050" s="2">
        <v>809.70001220703125</v>
      </c>
      <c r="G3050" s="2">
        <v>815.45001220703125</v>
      </c>
      <c r="H3050" s="3">
        <v>21488739</v>
      </c>
      <c r="I3050" s="4">
        <f t="shared" si="188"/>
        <v>-0.16</v>
      </c>
      <c r="J3050" s="2">
        <f t="shared" si="189"/>
        <v>4.25</v>
      </c>
      <c r="K3050" s="7">
        <f t="shared" si="190"/>
        <v>46204</v>
      </c>
      <c r="L3050" t="str">
        <f t="shared" si="191"/>
        <v>Q3-2026</v>
      </c>
    </row>
    <row r="3051" spans="1:12">
      <c r="A3051" s="6">
        <v>46218</v>
      </c>
      <c r="B3051" t="s">
        <v>16</v>
      </c>
      <c r="C3051" t="s">
        <v>17</v>
      </c>
      <c r="D3051" s="2">
        <v>1401.0881343697581</v>
      </c>
      <c r="E3051" s="2">
        <v>1416.061873669893</v>
      </c>
      <c r="F3051" s="2">
        <v>1397.4189938599211</v>
      </c>
      <c r="G3051" s="2">
        <v>1404.360473632812</v>
      </c>
      <c r="H3051" s="3">
        <v>12961648</v>
      </c>
      <c r="I3051" s="4">
        <f t="shared" si="188"/>
        <v>-0.26</v>
      </c>
      <c r="J3051" s="2">
        <f t="shared" si="189"/>
        <v>11.7</v>
      </c>
      <c r="K3051" s="7">
        <f t="shared" si="190"/>
        <v>46204</v>
      </c>
      <c r="L3051" t="str">
        <f t="shared" si="191"/>
        <v>Q3-2026</v>
      </c>
    </row>
    <row r="3052" spans="1:12">
      <c r="A3052" s="6">
        <v>46218</v>
      </c>
      <c r="B3052" t="s">
        <v>18</v>
      </c>
      <c r="C3052" t="s">
        <v>19</v>
      </c>
      <c r="D3052" s="2">
        <v>173.1425810395998</v>
      </c>
      <c r="E3052" s="2">
        <v>174.6058800875945</v>
      </c>
      <c r="F3052" s="2">
        <v>172.51970511124799</v>
      </c>
      <c r="G3052" s="2">
        <v>172.6778869628906</v>
      </c>
      <c r="H3052" s="3">
        <v>10398720</v>
      </c>
      <c r="I3052" s="4">
        <f t="shared" si="188"/>
        <v>-0.36</v>
      </c>
      <c r="J3052" s="2">
        <f t="shared" si="189"/>
        <v>1.93</v>
      </c>
      <c r="K3052" s="7">
        <f t="shared" si="190"/>
        <v>46204</v>
      </c>
      <c r="L3052" t="str">
        <f t="shared" si="191"/>
        <v>Q3-2026</v>
      </c>
    </row>
    <row r="3053" spans="1:12">
      <c r="A3053" s="6">
        <v>46218</v>
      </c>
      <c r="B3053" t="s">
        <v>20</v>
      </c>
      <c r="C3053" t="s">
        <v>21</v>
      </c>
      <c r="D3053" s="2">
        <v>1145.307212307029</v>
      </c>
      <c r="E3053" s="2">
        <v>1169.65857744199</v>
      </c>
      <c r="F3053" s="2">
        <v>1132.9335388810671</v>
      </c>
      <c r="G3053" s="2">
        <v>1156.196044921875</v>
      </c>
      <c r="H3053" s="3">
        <v>3253196</v>
      </c>
      <c r="I3053" s="4">
        <f t="shared" si="188"/>
        <v>-1.08</v>
      </c>
      <c r="J3053" s="2">
        <f t="shared" si="189"/>
        <v>13.46</v>
      </c>
      <c r="K3053" s="7">
        <f t="shared" si="190"/>
        <v>46204</v>
      </c>
      <c r="L3053" t="str">
        <f t="shared" si="191"/>
        <v>Q3-2026</v>
      </c>
    </row>
    <row r="3054" spans="1:12">
      <c r="A3054" s="6">
        <v>46218</v>
      </c>
      <c r="B3054" t="s">
        <v>22</v>
      </c>
      <c r="C3054" t="s">
        <v>23</v>
      </c>
      <c r="D3054" s="2">
        <v>1006.599975585938</v>
      </c>
      <c r="E3054" s="2">
        <v>1037.300048828125</v>
      </c>
      <c r="F3054" s="2">
        <v>1006.599975585938</v>
      </c>
      <c r="G3054" s="2">
        <v>1021.299987792969</v>
      </c>
      <c r="H3054" s="3">
        <v>5538356</v>
      </c>
      <c r="I3054" s="4">
        <f t="shared" si="188"/>
        <v>0</v>
      </c>
      <c r="J3054" s="2">
        <f t="shared" si="189"/>
        <v>16</v>
      </c>
      <c r="K3054" s="7">
        <f t="shared" si="190"/>
        <v>46204</v>
      </c>
      <c r="L3054" t="str">
        <f t="shared" si="191"/>
        <v>Q3-2026</v>
      </c>
    </row>
    <row r="3055" spans="1:12">
      <c r="A3055" s="6">
        <v>46218</v>
      </c>
      <c r="B3055" t="s">
        <v>24</v>
      </c>
      <c r="C3055" t="s">
        <v>25</v>
      </c>
      <c r="D3055" s="2">
        <v>13368.73686288697</v>
      </c>
      <c r="E3055" s="2">
        <v>13470.71271246687</v>
      </c>
      <c r="F3055" s="2">
        <v>13301.413001028401</v>
      </c>
      <c r="G3055" s="2">
        <v>13447.94140625</v>
      </c>
      <c r="H3055" s="3">
        <v>456369</v>
      </c>
      <c r="I3055" s="4">
        <f t="shared" si="188"/>
        <v>-0.5</v>
      </c>
      <c r="J3055" s="2">
        <f t="shared" si="189"/>
        <v>22.77</v>
      </c>
      <c r="K3055" s="7">
        <f t="shared" si="190"/>
        <v>46204</v>
      </c>
      <c r="L3055" t="str">
        <f t="shared" si="191"/>
        <v>Q3-2026</v>
      </c>
    </row>
    <row r="3056" spans="1:12">
      <c r="A3056" s="6">
        <v>46218</v>
      </c>
      <c r="B3056" t="s">
        <v>26</v>
      </c>
      <c r="C3056" t="s">
        <v>27</v>
      </c>
      <c r="D3056" s="2">
        <v>335</v>
      </c>
      <c r="E3056" s="2">
        <v>335.10000610351563</v>
      </c>
      <c r="F3056" s="2">
        <v>330.79998779296881</v>
      </c>
      <c r="G3056" s="2">
        <v>333</v>
      </c>
      <c r="H3056" s="3">
        <v>7144390</v>
      </c>
      <c r="I3056" s="4">
        <f t="shared" si="188"/>
        <v>-1.25</v>
      </c>
      <c r="J3056" s="2">
        <f t="shared" si="189"/>
        <v>2.1</v>
      </c>
      <c r="K3056" s="7">
        <f t="shared" si="190"/>
        <v>46204</v>
      </c>
      <c r="L3056" t="str">
        <f t="shared" si="191"/>
        <v>Q3-2026</v>
      </c>
    </row>
    <row r="3057" spans="1:12">
      <c r="A3057" s="6">
        <v>46218</v>
      </c>
      <c r="B3057" t="s">
        <v>28</v>
      </c>
      <c r="C3057" t="s">
        <v>29</v>
      </c>
      <c r="D3057" s="2">
        <v>1955</v>
      </c>
      <c r="E3057" s="2">
        <v>1962.699951171875</v>
      </c>
      <c r="F3057" s="2">
        <v>1943.300048828125</v>
      </c>
      <c r="G3057" s="2">
        <v>1951.5</v>
      </c>
      <c r="H3057" s="3">
        <v>2283494</v>
      </c>
      <c r="I3057" s="4">
        <f t="shared" si="188"/>
        <v>-0.6</v>
      </c>
      <c r="J3057" s="2">
        <f t="shared" si="189"/>
        <v>11.2</v>
      </c>
      <c r="K3057" s="7">
        <f t="shared" si="190"/>
        <v>46204</v>
      </c>
      <c r="L3057" t="str">
        <f t="shared" si="191"/>
        <v>Q3-2026</v>
      </c>
    </row>
    <row r="3058" spans="1:12">
      <c r="A3058" s="6">
        <v>46218</v>
      </c>
      <c r="B3058" t="s">
        <v>30</v>
      </c>
      <c r="C3058" t="s">
        <v>31</v>
      </c>
      <c r="D3058" s="2">
        <v>2644.89990234375</v>
      </c>
      <c r="E3058" s="2">
        <v>2684</v>
      </c>
      <c r="F3058" s="2">
        <v>2644.89990234375</v>
      </c>
      <c r="G3058" s="2">
        <v>2670</v>
      </c>
      <c r="H3058" s="3">
        <v>809114</v>
      </c>
      <c r="I3058" s="4">
        <f t="shared" si="188"/>
        <v>0</v>
      </c>
      <c r="J3058" s="2">
        <f t="shared" si="189"/>
        <v>14</v>
      </c>
      <c r="K3058" s="7">
        <f t="shared" si="190"/>
        <v>46204</v>
      </c>
      <c r="L3058" t="str">
        <f t="shared" si="191"/>
        <v>Q3-2026</v>
      </c>
    </row>
    <row r="3059" spans="1:12">
      <c r="A3059" s="6">
        <v>46218</v>
      </c>
      <c r="B3059" t="s">
        <v>32</v>
      </c>
      <c r="C3059" t="s">
        <v>33</v>
      </c>
      <c r="D3059" s="2">
        <v>2121</v>
      </c>
      <c r="E3059" s="2">
        <v>2128.5</v>
      </c>
      <c r="F3059" s="2">
        <v>2091</v>
      </c>
      <c r="G3059" s="2">
        <v>2102.60009765625</v>
      </c>
      <c r="H3059" s="3">
        <v>2029614</v>
      </c>
      <c r="I3059" s="4">
        <f t="shared" si="188"/>
        <v>-1.41</v>
      </c>
      <c r="J3059" s="2">
        <f t="shared" si="189"/>
        <v>25.9</v>
      </c>
      <c r="K3059" s="7">
        <f t="shared" si="190"/>
        <v>46204</v>
      </c>
      <c r="L3059" t="str">
        <f t="shared" si="191"/>
        <v>Q3-2026</v>
      </c>
    </row>
    <row r="3060" spans="1:12">
      <c r="A3060" s="6">
        <v>46218</v>
      </c>
      <c r="B3060" t="s">
        <v>34</v>
      </c>
      <c r="C3060" t="s">
        <v>35</v>
      </c>
      <c r="D3060" s="2">
        <v>3868</v>
      </c>
      <c r="E3060" s="2">
        <v>3868</v>
      </c>
      <c r="F3060" s="2">
        <v>3778.60009765625</v>
      </c>
      <c r="G3060" s="2">
        <v>3783.89990234375</v>
      </c>
      <c r="H3060" s="3">
        <v>3602201</v>
      </c>
      <c r="I3060" s="4">
        <f t="shared" si="188"/>
        <v>-2.31</v>
      </c>
      <c r="J3060" s="2">
        <f t="shared" si="189"/>
        <v>84.1</v>
      </c>
      <c r="K3060" s="7">
        <f t="shared" si="190"/>
        <v>46204</v>
      </c>
      <c r="L3060" t="str">
        <f t="shared" si="191"/>
        <v>Q3-2026</v>
      </c>
    </row>
    <row r="3061" spans="1:12">
      <c r="A3061" s="6">
        <v>46218</v>
      </c>
      <c r="B3061" t="s">
        <v>36</v>
      </c>
      <c r="C3061" t="s">
        <v>37</v>
      </c>
      <c r="D3061" s="2">
        <v>1328</v>
      </c>
      <c r="E3061" s="2">
        <v>1348</v>
      </c>
      <c r="F3061" s="2">
        <v>1303.300048828125</v>
      </c>
      <c r="G3061" s="2">
        <v>1312.300048828125</v>
      </c>
      <c r="H3061" s="3">
        <v>9442403</v>
      </c>
      <c r="I3061" s="4">
        <f t="shared" si="188"/>
        <v>-1.86</v>
      </c>
      <c r="J3061" s="2">
        <f t="shared" si="189"/>
        <v>35.700000000000003</v>
      </c>
      <c r="K3061" s="7">
        <f t="shared" si="190"/>
        <v>46204</v>
      </c>
      <c r="L3061" t="str">
        <f t="shared" si="191"/>
        <v>Q3-2026</v>
      </c>
    </row>
    <row r="3062" spans="1:12">
      <c r="A3062" s="6">
        <v>46219</v>
      </c>
      <c r="B3062" t="s">
        <v>8</v>
      </c>
      <c r="C3062" t="s">
        <v>9</v>
      </c>
      <c r="D3062" s="2">
        <v>1295.5</v>
      </c>
      <c r="E3062" s="2">
        <v>1309.400024414062</v>
      </c>
      <c r="F3062" s="2">
        <v>1291.800048828125</v>
      </c>
      <c r="G3062" s="2">
        <v>1296.599975585938</v>
      </c>
      <c r="H3062" s="3">
        <v>15631046</v>
      </c>
      <c r="I3062" s="4">
        <f t="shared" si="188"/>
        <v>-0.28999999999999998</v>
      </c>
      <c r="J3062" s="2">
        <f t="shared" si="189"/>
        <v>12.8</v>
      </c>
      <c r="K3062" s="7">
        <f t="shared" si="190"/>
        <v>46204</v>
      </c>
      <c r="L3062" t="str">
        <f t="shared" si="191"/>
        <v>Q3-2026</v>
      </c>
    </row>
    <row r="3063" spans="1:12">
      <c r="A3063" s="6">
        <v>46219</v>
      </c>
      <c r="B3063" t="s">
        <v>10</v>
      </c>
      <c r="C3063" t="s">
        <v>11</v>
      </c>
      <c r="D3063" s="2">
        <v>2206</v>
      </c>
      <c r="E3063" s="2">
        <v>2231.39990234375</v>
      </c>
      <c r="F3063" s="2">
        <v>2187.800048828125</v>
      </c>
      <c r="G3063" s="2">
        <v>2201</v>
      </c>
      <c r="H3063" s="3">
        <v>5197595</v>
      </c>
      <c r="I3063" s="4">
        <f t="shared" si="188"/>
        <v>-0.83</v>
      </c>
      <c r="J3063" s="2">
        <f t="shared" si="189"/>
        <v>30.4</v>
      </c>
      <c r="K3063" s="7">
        <f t="shared" si="190"/>
        <v>46204</v>
      </c>
      <c r="L3063" t="str">
        <f t="shared" si="191"/>
        <v>Q3-2026</v>
      </c>
    </row>
    <row r="3064" spans="1:12">
      <c r="A3064" s="6">
        <v>46219</v>
      </c>
      <c r="B3064" t="s">
        <v>12</v>
      </c>
      <c r="C3064" t="s">
        <v>13</v>
      </c>
      <c r="D3064" s="2">
        <v>1082.5</v>
      </c>
      <c r="E3064" s="2">
        <v>1097.300048828125</v>
      </c>
      <c r="F3064" s="2">
        <v>1077.900024414062</v>
      </c>
      <c r="G3064" s="2">
        <v>1082.400024414062</v>
      </c>
      <c r="H3064" s="3">
        <v>8592146</v>
      </c>
      <c r="I3064" s="4">
        <f t="shared" si="188"/>
        <v>-0.42</v>
      </c>
      <c r="J3064" s="2">
        <f t="shared" si="189"/>
        <v>14.9</v>
      </c>
      <c r="K3064" s="7">
        <f t="shared" si="190"/>
        <v>46204</v>
      </c>
      <c r="L3064" t="str">
        <f t="shared" si="191"/>
        <v>Q3-2026</v>
      </c>
    </row>
    <row r="3065" spans="1:12">
      <c r="A3065" s="6">
        <v>46219</v>
      </c>
      <c r="B3065" t="s">
        <v>14</v>
      </c>
      <c r="C3065" t="s">
        <v>15</v>
      </c>
      <c r="D3065" s="2">
        <v>814.5</v>
      </c>
      <c r="E3065" s="2">
        <v>818</v>
      </c>
      <c r="F3065" s="2">
        <v>806.5</v>
      </c>
      <c r="G3065" s="2">
        <v>808.29998779296875</v>
      </c>
      <c r="H3065" s="3">
        <v>18698186</v>
      </c>
      <c r="I3065" s="4">
        <f t="shared" si="188"/>
        <v>-0.98</v>
      </c>
      <c r="J3065" s="2">
        <f t="shared" si="189"/>
        <v>9.6999999999999993</v>
      </c>
      <c r="K3065" s="7">
        <f t="shared" si="190"/>
        <v>46204</v>
      </c>
      <c r="L3065" t="str">
        <f t="shared" si="191"/>
        <v>Q3-2026</v>
      </c>
    </row>
    <row r="3066" spans="1:12">
      <c r="A3066" s="6">
        <v>46219</v>
      </c>
      <c r="B3066" t="s">
        <v>16</v>
      </c>
      <c r="C3066" t="s">
        <v>17</v>
      </c>
      <c r="D3066" s="2">
        <v>1408.2278901435359</v>
      </c>
      <c r="E3066" s="2">
        <v>1411.7977698077209</v>
      </c>
      <c r="F3066" s="2">
        <v>1394.4440704195181</v>
      </c>
      <c r="G3066" s="2">
        <v>1406.34375</v>
      </c>
      <c r="H3066" s="3">
        <v>10165264</v>
      </c>
      <c r="I3066" s="4">
        <f t="shared" si="188"/>
        <v>-0.98</v>
      </c>
      <c r="J3066" s="2">
        <f t="shared" si="189"/>
        <v>5.45</v>
      </c>
      <c r="K3066" s="7">
        <f t="shared" si="190"/>
        <v>46204</v>
      </c>
      <c r="L3066" t="str">
        <f t="shared" si="191"/>
        <v>Q3-2026</v>
      </c>
    </row>
    <row r="3067" spans="1:12">
      <c r="A3067" s="6">
        <v>46219</v>
      </c>
      <c r="B3067" t="s">
        <v>18</v>
      </c>
      <c r="C3067" t="s">
        <v>19</v>
      </c>
      <c r="D3067" s="2">
        <v>173.61716675469339</v>
      </c>
      <c r="E3067" s="2">
        <v>175.98017876012349</v>
      </c>
      <c r="F3067" s="2">
        <v>173.42930978198919</v>
      </c>
      <c r="G3067" s="2">
        <v>175.7330017089844</v>
      </c>
      <c r="H3067" s="3">
        <v>11184572</v>
      </c>
      <c r="I3067" s="4">
        <f t="shared" si="188"/>
        <v>-0.11</v>
      </c>
      <c r="J3067" s="2">
        <f t="shared" si="189"/>
        <v>0.25</v>
      </c>
      <c r="K3067" s="7">
        <f t="shared" si="190"/>
        <v>46204</v>
      </c>
      <c r="L3067" t="str">
        <f t="shared" si="191"/>
        <v>Q3-2026</v>
      </c>
    </row>
    <row r="3068" spans="1:12">
      <c r="A3068" s="6">
        <v>46219</v>
      </c>
      <c r="B3068" t="s">
        <v>20</v>
      </c>
      <c r="C3068" t="s">
        <v>21</v>
      </c>
      <c r="D3068" s="2">
        <v>1163.5212977819581</v>
      </c>
      <c r="E3068" s="2">
        <v>1191.8322387544761</v>
      </c>
      <c r="F3068" s="2">
        <v>1162.8282995597581</v>
      </c>
      <c r="G3068" s="2">
        <v>1175.400024414062</v>
      </c>
      <c r="H3068" s="3">
        <v>5147444</v>
      </c>
      <c r="I3068" s="4">
        <f t="shared" si="188"/>
        <v>-0.06</v>
      </c>
      <c r="J3068" s="2">
        <f t="shared" si="189"/>
        <v>16.43</v>
      </c>
      <c r="K3068" s="7">
        <f t="shared" si="190"/>
        <v>46204</v>
      </c>
      <c r="L3068" t="str">
        <f t="shared" si="191"/>
        <v>Q3-2026</v>
      </c>
    </row>
    <row r="3069" spans="1:12">
      <c r="A3069" s="6">
        <v>46219</v>
      </c>
      <c r="B3069" t="s">
        <v>22</v>
      </c>
      <c r="C3069" t="s">
        <v>23</v>
      </c>
      <c r="D3069" s="2">
        <v>1024</v>
      </c>
      <c r="E3069" s="2">
        <v>1042.400024414062</v>
      </c>
      <c r="F3069" s="2">
        <v>1021.200012207031</v>
      </c>
      <c r="G3069" s="2">
        <v>1037.599975585938</v>
      </c>
      <c r="H3069" s="3">
        <v>9079076</v>
      </c>
      <c r="I3069" s="4">
        <f t="shared" si="188"/>
        <v>-0.27</v>
      </c>
      <c r="J3069" s="2">
        <f t="shared" si="189"/>
        <v>4.8</v>
      </c>
      <c r="K3069" s="7">
        <f t="shared" si="190"/>
        <v>46204</v>
      </c>
      <c r="L3069" t="str">
        <f t="shared" si="191"/>
        <v>Q3-2026</v>
      </c>
    </row>
    <row r="3070" spans="1:12">
      <c r="A3070" s="6">
        <v>46219</v>
      </c>
      <c r="B3070" t="s">
        <v>24</v>
      </c>
      <c r="C3070" t="s">
        <v>25</v>
      </c>
      <c r="D3070" s="2">
        <v>13469.72301136364</v>
      </c>
      <c r="E3070" s="2">
        <v>13707.33664772727</v>
      </c>
      <c r="F3070" s="2">
        <v>13448.93181818182</v>
      </c>
      <c r="G3070" s="2">
        <v>13645.953125</v>
      </c>
      <c r="H3070" s="3">
        <v>356847</v>
      </c>
      <c r="I3070" s="4">
        <f t="shared" si="188"/>
        <v>-0.15</v>
      </c>
      <c r="J3070" s="2">
        <f t="shared" si="189"/>
        <v>61.38</v>
      </c>
      <c r="K3070" s="7">
        <f t="shared" si="190"/>
        <v>46204</v>
      </c>
      <c r="L3070" t="str">
        <f t="shared" si="191"/>
        <v>Q3-2026</v>
      </c>
    </row>
    <row r="3071" spans="1:12">
      <c r="A3071" s="6">
        <v>46219</v>
      </c>
      <c r="B3071" t="s">
        <v>26</v>
      </c>
      <c r="C3071" t="s">
        <v>27</v>
      </c>
      <c r="D3071" s="2">
        <v>334.64999389648438</v>
      </c>
      <c r="E3071" s="2">
        <v>339.20001220703119</v>
      </c>
      <c r="F3071" s="2">
        <v>331.29998779296881</v>
      </c>
      <c r="G3071" s="2">
        <v>331.79998779296881</v>
      </c>
      <c r="H3071" s="3">
        <v>8194443</v>
      </c>
      <c r="I3071" s="4">
        <f t="shared" si="188"/>
        <v>-1</v>
      </c>
      <c r="J3071" s="2">
        <f t="shared" si="189"/>
        <v>7.4</v>
      </c>
      <c r="K3071" s="7">
        <f t="shared" si="190"/>
        <v>46204</v>
      </c>
      <c r="L3071" t="str">
        <f t="shared" si="191"/>
        <v>Q3-2026</v>
      </c>
    </row>
    <row r="3072" spans="1:12">
      <c r="A3072" s="6">
        <v>46219</v>
      </c>
      <c r="B3072" t="s">
        <v>28</v>
      </c>
      <c r="C3072" t="s">
        <v>29</v>
      </c>
      <c r="D3072" s="2">
        <v>1950</v>
      </c>
      <c r="E3072" s="2">
        <v>1957.699951171875</v>
      </c>
      <c r="F3072" s="2">
        <v>1943</v>
      </c>
      <c r="G3072" s="2">
        <v>1950.099975585938</v>
      </c>
      <c r="H3072" s="3">
        <v>1396189</v>
      </c>
      <c r="I3072" s="4">
        <f t="shared" si="188"/>
        <v>-0.36</v>
      </c>
      <c r="J3072" s="2">
        <f t="shared" si="189"/>
        <v>7.6</v>
      </c>
      <c r="K3072" s="7">
        <f t="shared" si="190"/>
        <v>46204</v>
      </c>
      <c r="L3072" t="str">
        <f t="shared" si="191"/>
        <v>Q3-2026</v>
      </c>
    </row>
    <row r="3073" spans="1:12">
      <c r="A3073" s="6">
        <v>46219</v>
      </c>
      <c r="B3073" t="s">
        <v>30</v>
      </c>
      <c r="C3073" t="s">
        <v>31</v>
      </c>
      <c r="D3073" s="2">
        <v>2688</v>
      </c>
      <c r="E3073" s="2">
        <v>2693.10009765625</v>
      </c>
      <c r="F3073" s="2">
        <v>2660.10009765625</v>
      </c>
      <c r="G3073" s="2">
        <v>2674.699951171875</v>
      </c>
      <c r="H3073" s="3">
        <v>455037</v>
      </c>
      <c r="I3073" s="4">
        <f t="shared" si="188"/>
        <v>-1.04</v>
      </c>
      <c r="J3073" s="2">
        <f t="shared" si="189"/>
        <v>18.399999999999999</v>
      </c>
      <c r="K3073" s="7">
        <f t="shared" si="190"/>
        <v>46204</v>
      </c>
      <c r="L3073" t="str">
        <f t="shared" si="191"/>
        <v>Q3-2026</v>
      </c>
    </row>
    <row r="3074" spans="1:12">
      <c r="A3074" s="6">
        <v>46219</v>
      </c>
      <c r="B3074" t="s">
        <v>32</v>
      </c>
      <c r="C3074" t="s">
        <v>33</v>
      </c>
      <c r="D3074" s="2">
        <v>2104.89990234375</v>
      </c>
      <c r="E3074" s="2">
        <v>2123</v>
      </c>
      <c r="F3074" s="2">
        <v>2096</v>
      </c>
      <c r="G3074" s="2">
        <v>2098.39990234375</v>
      </c>
      <c r="H3074" s="3">
        <v>2143092</v>
      </c>
      <c r="I3074" s="4">
        <f t="shared" ref="I3074:I3137" si="192">ROUND(((F3074-D3074)/D3074)*100, 2)</f>
        <v>-0.42</v>
      </c>
      <c r="J3074" s="2">
        <f t="shared" ref="J3074:J3137" si="193">ROUND(E3074-G3074, 2)</f>
        <v>24.6</v>
      </c>
      <c r="K3074" s="7">
        <f t="shared" ref="K3074:K3137" si="194">DATE(YEAR(A3074),MONTH(A3074),1)</f>
        <v>46204</v>
      </c>
      <c r="L3074" t="str">
        <f t="shared" ref="L3074:L3137" si="195">"Q"&amp;INT((MONTH(A3074)-1)/3)+1&amp;"-"&amp;YEAR(A3074)</f>
        <v>Q3-2026</v>
      </c>
    </row>
    <row r="3075" spans="1:12">
      <c r="A3075" s="6">
        <v>46219</v>
      </c>
      <c r="B3075" t="s">
        <v>34</v>
      </c>
      <c r="C3075" t="s">
        <v>35</v>
      </c>
      <c r="D3075" s="2">
        <v>3795</v>
      </c>
      <c r="E3075" s="2">
        <v>3802</v>
      </c>
      <c r="F3075" s="2">
        <v>3762.300048828125</v>
      </c>
      <c r="G3075" s="2">
        <v>3775.60009765625</v>
      </c>
      <c r="H3075" s="3">
        <v>2936753</v>
      </c>
      <c r="I3075" s="4">
        <f t="shared" si="192"/>
        <v>-0.86</v>
      </c>
      <c r="J3075" s="2">
        <f t="shared" si="193"/>
        <v>26.4</v>
      </c>
      <c r="K3075" s="7">
        <f t="shared" si="194"/>
        <v>46204</v>
      </c>
      <c r="L3075" t="str">
        <f t="shared" si="195"/>
        <v>Q3-2026</v>
      </c>
    </row>
    <row r="3076" spans="1:12">
      <c r="A3076" s="6">
        <v>46219</v>
      </c>
      <c r="B3076" t="s">
        <v>36</v>
      </c>
      <c r="C3076" t="s">
        <v>37</v>
      </c>
      <c r="D3076" s="2">
        <v>1315.099975585938</v>
      </c>
      <c r="E3076" s="2">
        <v>1315.5</v>
      </c>
      <c r="F3076" s="2">
        <v>1299.400024414062</v>
      </c>
      <c r="G3076" s="2">
        <v>1307.599975585938</v>
      </c>
      <c r="H3076" s="3">
        <v>5001226</v>
      </c>
      <c r="I3076" s="4">
        <f t="shared" si="192"/>
        <v>-1.19</v>
      </c>
      <c r="J3076" s="2">
        <f t="shared" si="193"/>
        <v>7.9</v>
      </c>
      <c r="K3076" s="7">
        <f t="shared" si="194"/>
        <v>46204</v>
      </c>
      <c r="L3076" t="str">
        <f t="shared" si="195"/>
        <v>Q3-2026</v>
      </c>
    </row>
    <row r="3077" spans="1:12">
      <c r="A3077" s="6">
        <v>46220</v>
      </c>
      <c r="B3077" t="s">
        <v>8</v>
      </c>
      <c r="C3077" t="s">
        <v>9</v>
      </c>
      <c r="D3077" s="2">
        <v>1300</v>
      </c>
      <c r="E3077" s="2">
        <v>1330.300048828125</v>
      </c>
      <c r="F3077" s="2">
        <v>1296.099975585938</v>
      </c>
      <c r="G3077" s="2">
        <v>1327.199951171875</v>
      </c>
      <c r="H3077" s="3">
        <v>18302218</v>
      </c>
      <c r="I3077" s="4">
        <f t="shared" si="192"/>
        <v>-0.3</v>
      </c>
      <c r="J3077" s="2">
        <f t="shared" si="193"/>
        <v>3.1</v>
      </c>
      <c r="K3077" s="7">
        <f t="shared" si="194"/>
        <v>46204</v>
      </c>
      <c r="L3077" t="str">
        <f t="shared" si="195"/>
        <v>Q3-2026</v>
      </c>
    </row>
    <row r="3078" spans="1:12">
      <c r="A3078" s="6">
        <v>46220</v>
      </c>
      <c r="B3078" t="s">
        <v>10</v>
      </c>
      <c r="C3078" t="s">
        <v>11</v>
      </c>
      <c r="D3078" s="2">
        <v>2224.800048828125</v>
      </c>
      <c r="E3078" s="2">
        <v>2275</v>
      </c>
      <c r="F3078" s="2">
        <v>2215.10009765625</v>
      </c>
      <c r="G3078" s="2">
        <v>2269</v>
      </c>
      <c r="H3078" s="3">
        <v>5615138</v>
      </c>
      <c r="I3078" s="4">
        <f t="shared" si="192"/>
        <v>-0.44</v>
      </c>
      <c r="J3078" s="2">
        <f t="shared" si="193"/>
        <v>6</v>
      </c>
      <c r="K3078" s="7">
        <f t="shared" si="194"/>
        <v>46204</v>
      </c>
      <c r="L3078" t="str">
        <f t="shared" si="195"/>
        <v>Q3-2026</v>
      </c>
    </row>
    <row r="3079" spans="1:12">
      <c r="A3079" s="6">
        <v>46220</v>
      </c>
      <c r="B3079" t="s">
        <v>12</v>
      </c>
      <c r="C3079" t="s">
        <v>13</v>
      </c>
      <c r="D3079" s="2">
        <v>1105</v>
      </c>
      <c r="E3079" s="2">
        <v>1116.800048828125</v>
      </c>
      <c r="F3079" s="2">
        <v>1092</v>
      </c>
      <c r="G3079" s="2">
        <v>1096.5</v>
      </c>
      <c r="H3079" s="3">
        <v>12547728</v>
      </c>
      <c r="I3079" s="4">
        <f t="shared" si="192"/>
        <v>-1.18</v>
      </c>
      <c r="J3079" s="2">
        <f t="shared" si="193"/>
        <v>20.3</v>
      </c>
      <c r="K3079" s="7">
        <f t="shared" si="194"/>
        <v>46204</v>
      </c>
      <c r="L3079" t="str">
        <f t="shared" si="195"/>
        <v>Q3-2026</v>
      </c>
    </row>
    <row r="3080" spans="1:12">
      <c r="A3080" s="6">
        <v>46220</v>
      </c>
      <c r="B3080" t="s">
        <v>14</v>
      </c>
      <c r="C3080" t="s">
        <v>15</v>
      </c>
      <c r="D3080" s="2">
        <v>810</v>
      </c>
      <c r="E3080" s="2">
        <v>823.70001220703125</v>
      </c>
      <c r="F3080" s="2">
        <v>808.5</v>
      </c>
      <c r="G3080" s="2">
        <v>819.5999755859375</v>
      </c>
      <c r="H3080" s="3">
        <v>17415322</v>
      </c>
      <c r="I3080" s="4">
        <f t="shared" si="192"/>
        <v>-0.19</v>
      </c>
      <c r="J3080" s="2">
        <f t="shared" si="193"/>
        <v>4.0999999999999996</v>
      </c>
      <c r="K3080" s="7">
        <f t="shared" si="194"/>
        <v>46204</v>
      </c>
      <c r="L3080" t="str">
        <f t="shared" si="195"/>
        <v>Q3-2026</v>
      </c>
    </row>
    <row r="3081" spans="1:12">
      <c r="A3081" s="6">
        <v>46220</v>
      </c>
      <c r="B3081" t="s">
        <v>16</v>
      </c>
      <c r="C3081" t="s">
        <v>17</v>
      </c>
      <c r="D3081" s="2">
        <v>1410.2112272612981</v>
      </c>
      <c r="E3081" s="2">
        <v>1442.935347434669</v>
      </c>
      <c r="F3081" s="2">
        <v>1407.8312670387279</v>
      </c>
      <c r="G3081" s="2">
        <v>1432.225708007812</v>
      </c>
      <c r="H3081" s="3">
        <v>11112550</v>
      </c>
      <c r="I3081" s="4">
        <f t="shared" si="192"/>
        <v>-0.17</v>
      </c>
      <c r="J3081" s="2">
        <f t="shared" si="193"/>
        <v>10.71</v>
      </c>
      <c r="K3081" s="7">
        <f t="shared" si="194"/>
        <v>46204</v>
      </c>
      <c r="L3081" t="str">
        <f t="shared" si="195"/>
        <v>Q3-2026</v>
      </c>
    </row>
    <row r="3082" spans="1:12">
      <c r="A3082" s="6">
        <v>46220</v>
      </c>
      <c r="B3082" t="s">
        <v>18</v>
      </c>
      <c r="C3082" t="s">
        <v>19</v>
      </c>
      <c r="D3082" s="2">
        <v>171.59031737522909</v>
      </c>
      <c r="E3082" s="2">
        <v>174.26970824635649</v>
      </c>
      <c r="F3082" s="2">
        <v>171.59031737522909</v>
      </c>
      <c r="G3082" s="2">
        <v>174.01264953613281</v>
      </c>
      <c r="H3082" s="3">
        <v>22960032</v>
      </c>
      <c r="I3082" s="4">
        <f t="shared" si="192"/>
        <v>0</v>
      </c>
      <c r="J3082" s="2">
        <f t="shared" si="193"/>
        <v>0.26</v>
      </c>
      <c r="K3082" s="7">
        <f t="shared" si="194"/>
        <v>46204</v>
      </c>
      <c r="L3082" t="str">
        <f t="shared" si="195"/>
        <v>Q3-2026</v>
      </c>
    </row>
    <row r="3083" spans="1:12">
      <c r="A3083" s="6">
        <v>46220</v>
      </c>
      <c r="B3083" t="s">
        <v>20</v>
      </c>
      <c r="C3083" t="s">
        <v>21</v>
      </c>
      <c r="D3083" s="2">
        <v>1197.800048828125</v>
      </c>
      <c r="E3083" s="2">
        <v>1223.5</v>
      </c>
      <c r="F3083" s="2">
        <v>1195.800048828125</v>
      </c>
      <c r="G3083" s="2">
        <v>1203.900024414062</v>
      </c>
      <c r="H3083" s="3">
        <v>5037972</v>
      </c>
      <c r="I3083" s="4">
        <f t="shared" si="192"/>
        <v>-0.17</v>
      </c>
      <c r="J3083" s="2">
        <f t="shared" si="193"/>
        <v>19.600000000000001</v>
      </c>
      <c r="K3083" s="7">
        <f t="shared" si="194"/>
        <v>46204</v>
      </c>
      <c r="L3083" t="str">
        <f t="shared" si="195"/>
        <v>Q3-2026</v>
      </c>
    </row>
    <row r="3084" spans="1:12">
      <c r="A3084" s="6">
        <v>46220</v>
      </c>
      <c r="B3084" t="s">
        <v>22</v>
      </c>
      <c r="C3084" t="s">
        <v>23</v>
      </c>
      <c r="D3084" s="2">
        <v>1044.900024414062</v>
      </c>
      <c r="E3084" s="2">
        <v>1058.5</v>
      </c>
      <c r="F3084" s="2">
        <v>1037.599975585938</v>
      </c>
      <c r="G3084" s="2">
        <v>1056.300048828125</v>
      </c>
      <c r="H3084" s="3">
        <v>12882360</v>
      </c>
      <c r="I3084" s="4">
        <f t="shared" si="192"/>
        <v>-0.7</v>
      </c>
      <c r="J3084" s="2">
        <f t="shared" si="193"/>
        <v>2.2000000000000002</v>
      </c>
      <c r="K3084" s="7">
        <f t="shared" si="194"/>
        <v>46204</v>
      </c>
      <c r="L3084" t="str">
        <f t="shared" si="195"/>
        <v>Q3-2026</v>
      </c>
    </row>
    <row r="3085" spans="1:12">
      <c r="A3085" s="6">
        <v>46220</v>
      </c>
      <c r="B3085" t="s">
        <v>24</v>
      </c>
      <c r="C3085" t="s">
        <v>25</v>
      </c>
      <c r="D3085" s="2">
        <v>13613.280896249909</v>
      </c>
      <c r="E3085" s="2">
        <v>13746.93856323127</v>
      </c>
      <c r="F3085" s="2">
        <v>13563.778056627179</v>
      </c>
      <c r="G3085" s="2">
        <v>13665.75390625</v>
      </c>
      <c r="H3085" s="3">
        <v>237330</v>
      </c>
      <c r="I3085" s="4">
        <f t="shared" si="192"/>
        <v>-0.36</v>
      </c>
      <c r="J3085" s="2">
        <f t="shared" si="193"/>
        <v>81.180000000000007</v>
      </c>
      <c r="K3085" s="7">
        <f t="shared" si="194"/>
        <v>46204</v>
      </c>
      <c r="L3085" t="str">
        <f t="shared" si="195"/>
        <v>Q3-2026</v>
      </c>
    </row>
    <row r="3086" spans="1:12">
      <c r="A3086" s="6">
        <v>46220</v>
      </c>
      <c r="B3086" t="s">
        <v>26</v>
      </c>
      <c r="C3086" t="s">
        <v>27</v>
      </c>
      <c r="D3086" s="2">
        <v>332.10000610351563</v>
      </c>
      <c r="E3086" s="2">
        <v>336.79998779296881</v>
      </c>
      <c r="F3086" s="2">
        <v>330.20001220703119</v>
      </c>
      <c r="G3086" s="2">
        <v>335.60000610351563</v>
      </c>
      <c r="H3086" s="3">
        <v>7785825</v>
      </c>
      <c r="I3086" s="4">
        <f t="shared" si="192"/>
        <v>-0.56999999999999995</v>
      </c>
      <c r="J3086" s="2">
        <f t="shared" si="193"/>
        <v>1.2</v>
      </c>
      <c r="K3086" s="7">
        <f t="shared" si="194"/>
        <v>46204</v>
      </c>
      <c r="L3086" t="str">
        <f t="shared" si="195"/>
        <v>Q3-2026</v>
      </c>
    </row>
    <row r="3087" spans="1:12">
      <c r="A3087" s="6">
        <v>46220</v>
      </c>
      <c r="B3087" t="s">
        <v>28</v>
      </c>
      <c r="C3087" t="s">
        <v>29</v>
      </c>
      <c r="D3087" s="2">
        <v>1948.699951171875</v>
      </c>
      <c r="E3087" s="2">
        <v>1952.599975585938</v>
      </c>
      <c r="F3087" s="2">
        <v>1922.5</v>
      </c>
      <c r="G3087" s="2">
        <v>1932.599975585938</v>
      </c>
      <c r="H3087" s="3">
        <v>2475664</v>
      </c>
      <c r="I3087" s="4">
        <f t="shared" si="192"/>
        <v>-1.34</v>
      </c>
      <c r="J3087" s="2">
        <f t="shared" si="193"/>
        <v>20</v>
      </c>
      <c r="K3087" s="7">
        <f t="shared" si="194"/>
        <v>46204</v>
      </c>
      <c r="L3087" t="str">
        <f t="shared" si="195"/>
        <v>Q3-2026</v>
      </c>
    </row>
    <row r="3088" spans="1:12">
      <c r="A3088" s="6">
        <v>46220</v>
      </c>
      <c r="B3088" t="s">
        <v>30</v>
      </c>
      <c r="C3088" t="s">
        <v>31</v>
      </c>
      <c r="D3088" s="2">
        <v>2665</v>
      </c>
      <c r="E3088" s="2">
        <v>2700</v>
      </c>
      <c r="F3088" s="2">
        <v>2665</v>
      </c>
      <c r="G3088" s="2">
        <v>2689</v>
      </c>
      <c r="H3088" s="3">
        <v>452284</v>
      </c>
      <c r="I3088" s="4">
        <f t="shared" si="192"/>
        <v>0</v>
      </c>
      <c r="J3088" s="2">
        <f t="shared" si="193"/>
        <v>11</v>
      </c>
      <c r="K3088" s="7">
        <f t="shared" si="194"/>
        <v>46204</v>
      </c>
      <c r="L3088" t="str">
        <f t="shared" si="195"/>
        <v>Q3-2026</v>
      </c>
    </row>
    <row r="3089" spans="1:12">
      <c r="A3089" s="6">
        <v>46220</v>
      </c>
      <c r="B3089" t="s">
        <v>32</v>
      </c>
      <c r="C3089" t="s">
        <v>33</v>
      </c>
      <c r="D3089" s="2">
        <v>2100</v>
      </c>
      <c r="E3089" s="2">
        <v>2154.5</v>
      </c>
      <c r="F3089" s="2">
        <v>2092.10009765625</v>
      </c>
      <c r="G3089" s="2">
        <v>2143.800048828125</v>
      </c>
      <c r="H3089" s="3">
        <v>1059832</v>
      </c>
      <c r="I3089" s="4">
        <f t="shared" si="192"/>
        <v>-0.38</v>
      </c>
      <c r="J3089" s="2">
        <f t="shared" si="193"/>
        <v>10.7</v>
      </c>
      <c r="K3089" s="7">
        <f t="shared" si="194"/>
        <v>46204</v>
      </c>
      <c r="L3089" t="str">
        <f t="shared" si="195"/>
        <v>Q3-2026</v>
      </c>
    </row>
    <row r="3090" spans="1:12">
      <c r="A3090" s="6">
        <v>46220</v>
      </c>
      <c r="B3090" t="s">
        <v>34</v>
      </c>
      <c r="C3090" t="s">
        <v>35</v>
      </c>
      <c r="D3090" s="2">
        <v>3788.89990234375</v>
      </c>
      <c r="E3090" s="2">
        <v>3828.89990234375</v>
      </c>
      <c r="F3090" s="2">
        <v>3767.699951171875</v>
      </c>
      <c r="G3090" s="2">
        <v>3814.5</v>
      </c>
      <c r="H3090" s="3">
        <v>1942610</v>
      </c>
      <c r="I3090" s="4">
        <f t="shared" si="192"/>
        <v>-0.56000000000000005</v>
      </c>
      <c r="J3090" s="2">
        <f t="shared" si="193"/>
        <v>14.4</v>
      </c>
      <c r="K3090" s="7">
        <f t="shared" si="194"/>
        <v>46204</v>
      </c>
      <c r="L3090" t="str">
        <f t="shared" si="195"/>
        <v>Q3-2026</v>
      </c>
    </row>
    <row r="3091" spans="1:12">
      <c r="A3091" s="6">
        <v>46220</v>
      </c>
      <c r="B3091" t="s">
        <v>36</v>
      </c>
      <c r="C3091" t="s">
        <v>37</v>
      </c>
      <c r="D3091" s="2">
        <v>1307</v>
      </c>
      <c r="E3091" s="2">
        <v>1333</v>
      </c>
      <c r="F3091" s="2">
        <v>1305</v>
      </c>
      <c r="G3091" s="2">
        <v>1328.5</v>
      </c>
      <c r="H3091" s="3">
        <v>11192836</v>
      </c>
      <c r="I3091" s="4">
        <f t="shared" si="192"/>
        <v>-0.15</v>
      </c>
      <c r="J3091" s="2">
        <f t="shared" si="193"/>
        <v>4.5</v>
      </c>
      <c r="K3091" s="7">
        <f t="shared" si="194"/>
        <v>46204</v>
      </c>
      <c r="L3091" t="str">
        <f t="shared" si="195"/>
        <v>Q3-2026</v>
      </c>
    </row>
    <row r="3092" spans="1:12">
      <c r="A3092" s="6">
        <v>46223</v>
      </c>
      <c r="B3092" t="s">
        <v>8</v>
      </c>
      <c r="C3092" t="s">
        <v>9</v>
      </c>
      <c r="D3092" s="2">
        <v>1317.199951171875</v>
      </c>
      <c r="E3092" s="2">
        <v>1345.900024414062</v>
      </c>
      <c r="F3092" s="2">
        <v>1314.900024414062</v>
      </c>
      <c r="G3092" s="2">
        <v>1323.099975585938</v>
      </c>
      <c r="H3092" s="3">
        <v>14305844</v>
      </c>
      <c r="I3092" s="4">
        <f t="shared" si="192"/>
        <v>-0.17</v>
      </c>
      <c r="J3092" s="2">
        <f t="shared" si="193"/>
        <v>22.8</v>
      </c>
      <c r="K3092" s="7">
        <f t="shared" si="194"/>
        <v>46204</v>
      </c>
      <c r="L3092" t="str">
        <f t="shared" si="195"/>
        <v>Q3-2026</v>
      </c>
    </row>
    <row r="3093" spans="1:12">
      <c r="A3093" s="6">
        <v>46223</v>
      </c>
      <c r="B3093" t="s">
        <v>10</v>
      </c>
      <c r="C3093" t="s">
        <v>11</v>
      </c>
      <c r="D3093" s="2">
        <v>2280.10009765625</v>
      </c>
      <c r="E3093" s="2">
        <v>2283.39990234375</v>
      </c>
      <c r="F3093" s="2">
        <v>2245.10009765625</v>
      </c>
      <c r="G3093" s="2">
        <v>2251.10009765625</v>
      </c>
      <c r="H3093" s="3">
        <v>2202693</v>
      </c>
      <c r="I3093" s="4">
        <f t="shared" si="192"/>
        <v>-1.54</v>
      </c>
      <c r="J3093" s="2">
        <f t="shared" si="193"/>
        <v>32.299999999999997</v>
      </c>
      <c r="K3093" s="7">
        <f t="shared" si="194"/>
        <v>46204</v>
      </c>
      <c r="L3093" t="str">
        <f t="shared" si="195"/>
        <v>Q3-2026</v>
      </c>
    </row>
    <row r="3094" spans="1:12">
      <c r="A3094" s="6">
        <v>46223</v>
      </c>
      <c r="B3094" t="s">
        <v>12</v>
      </c>
      <c r="C3094" t="s">
        <v>13</v>
      </c>
      <c r="D3094" s="2">
        <v>1102</v>
      </c>
      <c r="E3094" s="2">
        <v>1103.800048828125</v>
      </c>
      <c r="F3094" s="2">
        <v>1083.199951171875</v>
      </c>
      <c r="G3094" s="2">
        <v>1087.099975585938</v>
      </c>
      <c r="H3094" s="3">
        <v>6372645</v>
      </c>
      <c r="I3094" s="4">
        <f t="shared" si="192"/>
        <v>-1.71</v>
      </c>
      <c r="J3094" s="2">
        <f t="shared" si="193"/>
        <v>16.7</v>
      </c>
      <c r="K3094" s="7">
        <f t="shared" si="194"/>
        <v>46204</v>
      </c>
      <c r="L3094" t="str">
        <f t="shared" si="195"/>
        <v>Q3-2026</v>
      </c>
    </row>
    <row r="3095" spans="1:12">
      <c r="A3095" s="6">
        <v>46223</v>
      </c>
      <c r="B3095" t="s">
        <v>14</v>
      </c>
      <c r="C3095" t="s">
        <v>15</v>
      </c>
      <c r="D3095" s="2">
        <v>790</v>
      </c>
      <c r="E3095" s="2">
        <v>790</v>
      </c>
      <c r="F3095" s="2">
        <v>774.54998779296875</v>
      </c>
      <c r="G3095" s="2">
        <v>777.5999755859375</v>
      </c>
      <c r="H3095" s="3">
        <v>56061789</v>
      </c>
      <c r="I3095" s="4">
        <f t="shared" si="192"/>
        <v>-1.96</v>
      </c>
      <c r="J3095" s="2">
        <f t="shared" si="193"/>
        <v>12.4</v>
      </c>
      <c r="K3095" s="7">
        <f t="shared" si="194"/>
        <v>46204</v>
      </c>
      <c r="L3095" t="str">
        <f t="shared" si="195"/>
        <v>Q3-2026</v>
      </c>
    </row>
    <row r="3096" spans="1:12">
      <c r="A3096" s="6">
        <v>46223</v>
      </c>
      <c r="B3096" t="s">
        <v>16</v>
      </c>
      <c r="C3096" t="s">
        <v>17</v>
      </c>
      <c r="D3096" s="2">
        <v>1432.423976242017</v>
      </c>
      <c r="E3096" s="2">
        <v>1467.62719614966</v>
      </c>
      <c r="F3096" s="2">
        <v>1427.465776255025</v>
      </c>
      <c r="G3096" s="2">
        <v>1447.99267578125</v>
      </c>
      <c r="H3096" s="3">
        <v>22236415</v>
      </c>
      <c r="I3096" s="4">
        <f t="shared" si="192"/>
        <v>-0.35</v>
      </c>
      <c r="J3096" s="2">
        <f t="shared" si="193"/>
        <v>19.63</v>
      </c>
      <c r="K3096" s="7">
        <f t="shared" si="194"/>
        <v>46204</v>
      </c>
      <c r="L3096" t="str">
        <f t="shared" si="195"/>
        <v>Q3-2026</v>
      </c>
    </row>
    <row r="3097" spans="1:12">
      <c r="A3097" s="6">
        <v>46223</v>
      </c>
      <c r="B3097" t="s">
        <v>18</v>
      </c>
      <c r="C3097" t="s">
        <v>19</v>
      </c>
      <c r="D3097" s="2">
        <v>175.0013456767054</v>
      </c>
      <c r="E3097" s="2">
        <v>175.79231522813529</v>
      </c>
      <c r="F3097" s="2">
        <v>173.86433731848641</v>
      </c>
      <c r="G3097" s="2">
        <v>174.38835144042969</v>
      </c>
      <c r="H3097" s="3">
        <v>10183661</v>
      </c>
      <c r="I3097" s="4">
        <f t="shared" si="192"/>
        <v>-0.65</v>
      </c>
      <c r="J3097" s="2">
        <f t="shared" si="193"/>
        <v>1.4</v>
      </c>
      <c r="K3097" s="7">
        <f t="shared" si="194"/>
        <v>46204</v>
      </c>
      <c r="L3097" t="str">
        <f t="shared" si="195"/>
        <v>Q3-2026</v>
      </c>
    </row>
    <row r="3098" spans="1:12">
      <c r="A3098" s="6">
        <v>46223</v>
      </c>
      <c r="B3098" t="s">
        <v>20</v>
      </c>
      <c r="C3098" t="s">
        <v>21</v>
      </c>
      <c r="D3098" s="2">
        <v>1205</v>
      </c>
      <c r="E3098" s="2">
        <v>1224.699951171875</v>
      </c>
      <c r="F3098" s="2">
        <v>1200.099975585938</v>
      </c>
      <c r="G3098" s="2">
        <v>1221.300048828125</v>
      </c>
      <c r="H3098" s="3">
        <v>3612829</v>
      </c>
      <c r="I3098" s="4">
        <f t="shared" si="192"/>
        <v>-0.41</v>
      </c>
      <c r="J3098" s="2">
        <f t="shared" si="193"/>
        <v>3.4</v>
      </c>
      <c r="K3098" s="7">
        <f t="shared" si="194"/>
        <v>46204</v>
      </c>
      <c r="L3098" t="str">
        <f t="shared" si="195"/>
        <v>Q3-2026</v>
      </c>
    </row>
    <row r="3099" spans="1:12">
      <c r="A3099" s="6">
        <v>46223</v>
      </c>
      <c r="B3099" t="s">
        <v>22</v>
      </c>
      <c r="C3099" t="s">
        <v>23</v>
      </c>
      <c r="D3099" s="2">
        <v>1057</v>
      </c>
      <c r="E3099" s="2">
        <v>1067.699951171875</v>
      </c>
      <c r="F3099" s="2">
        <v>1038.199951171875</v>
      </c>
      <c r="G3099" s="2">
        <v>1064</v>
      </c>
      <c r="H3099" s="3">
        <v>9348760</v>
      </c>
      <c r="I3099" s="4">
        <f t="shared" si="192"/>
        <v>-1.78</v>
      </c>
      <c r="J3099" s="2">
        <f t="shared" si="193"/>
        <v>3.7</v>
      </c>
      <c r="K3099" s="7">
        <f t="shared" si="194"/>
        <v>46204</v>
      </c>
      <c r="L3099" t="str">
        <f t="shared" si="195"/>
        <v>Q3-2026</v>
      </c>
    </row>
    <row r="3100" spans="1:12">
      <c r="A3100" s="6">
        <v>46223</v>
      </c>
      <c r="B3100" t="s">
        <v>24</v>
      </c>
      <c r="C3100" t="s">
        <v>25</v>
      </c>
      <c r="D3100" s="2">
        <v>13686.54554536037</v>
      </c>
      <c r="E3100" s="2">
        <v>13694.46599995838</v>
      </c>
      <c r="F3100" s="2">
        <v>13243.990144696591</v>
      </c>
      <c r="G3100" s="2">
        <v>13379.6279296875</v>
      </c>
      <c r="H3100" s="3">
        <v>517730</v>
      </c>
      <c r="I3100" s="4">
        <f t="shared" si="192"/>
        <v>-3.23</v>
      </c>
      <c r="J3100" s="2">
        <f t="shared" si="193"/>
        <v>314.83999999999997</v>
      </c>
      <c r="K3100" s="7">
        <f t="shared" si="194"/>
        <v>46204</v>
      </c>
      <c r="L3100" t="str">
        <f t="shared" si="195"/>
        <v>Q3-2026</v>
      </c>
    </row>
    <row r="3101" spans="1:12">
      <c r="A3101" s="6">
        <v>46223</v>
      </c>
      <c r="B3101" t="s">
        <v>26</v>
      </c>
      <c r="C3101" t="s">
        <v>27</v>
      </c>
      <c r="D3101" s="2">
        <v>335.5</v>
      </c>
      <c r="E3101" s="2">
        <v>337.60000610351563</v>
      </c>
      <c r="F3101" s="2">
        <v>332.45001220703119</v>
      </c>
      <c r="G3101" s="2">
        <v>336.45001220703119</v>
      </c>
      <c r="H3101" s="3">
        <v>7562963</v>
      </c>
      <c r="I3101" s="4">
        <f t="shared" si="192"/>
        <v>-0.91</v>
      </c>
      <c r="J3101" s="2">
        <f t="shared" si="193"/>
        <v>1.1499999999999999</v>
      </c>
      <c r="K3101" s="7">
        <f t="shared" si="194"/>
        <v>46204</v>
      </c>
      <c r="L3101" t="str">
        <f t="shared" si="195"/>
        <v>Q3-2026</v>
      </c>
    </row>
    <row r="3102" spans="1:12">
      <c r="A3102" s="6">
        <v>46223</v>
      </c>
      <c r="B3102" t="s">
        <v>28</v>
      </c>
      <c r="C3102" t="s">
        <v>29</v>
      </c>
      <c r="D3102" s="2">
        <v>1942</v>
      </c>
      <c r="E3102" s="2">
        <v>1958.800048828125</v>
      </c>
      <c r="F3102" s="2">
        <v>1935</v>
      </c>
      <c r="G3102" s="2">
        <v>1956.400024414062</v>
      </c>
      <c r="H3102" s="3">
        <v>1676034</v>
      </c>
      <c r="I3102" s="4">
        <f t="shared" si="192"/>
        <v>-0.36</v>
      </c>
      <c r="J3102" s="2">
        <f t="shared" si="193"/>
        <v>2.4</v>
      </c>
      <c r="K3102" s="7">
        <f t="shared" si="194"/>
        <v>46204</v>
      </c>
      <c r="L3102" t="str">
        <f t="shared" si="195"/>
        <v>Q3-2026</v>
      </c>
    </row>
    <row r="3103" spans="1:12">
      <c r="A3103" s="6">
        <v>46223</v>
      </c>
      <c r="B3103" t="s">
        <v>30</v>
      </c>
      <c r="C3103" t="s">
        <v>31</v>
      </c>
      <c r="D3103" s="2">
        <v>2689</v>
      </c>
      <c r="E3103" s="2">
        <v>2708.5</v>
      </c>
      <c r="F3103" s="2">
        <v>2666.699951171875</v>
      </c>
      <c r="G3103" s="2">
        <v>2691.39990234375</v>
      </c>
      <c r="H3103" s="3">
        <v>571087</v>
      </c>
      <c r="I3103" s="4">
        <f t="shared" si="192"/>
        <v>-0.83</v>
      </c>
      <c r="J3103" s="2">
        <f t="shared" si="193"/>
        <v>17.100000000000001</v>
      </c>
      <c r="K3103" s="7">
        <f t="shared" si="194"/>
        <v>46204</v>
      </c>
      <c r="L3103" t="str">
        <f t="shared" si="195"/>
        <v>Q3-2026</v>
      </c>
    </row>
    <row r="3104" spans="1:12">
      <c r="A3104" s="6">
        <v>46223</v>
      </c>
      <c r="B3104" t="s">
        <v>32</v>
      </c>
      <c r="C3104" t="s">
        <v>33</v>
      </c>
      <c r="D3104" s="2">
        <v>2153.800048828125</v>
      </c>
      <c r="E3104" s="2">
        <v>2153.800048828125</v>
      </c>
      <c r="F3104" s="2">
        <v>2128.39990234375</v>
      </c>
      <c r="G3104" s="2">
        <v>2139.699951171875</v>
      </c>
      <c r="H3104" s="3">
        <v>689849</v>
      </c>
      <c r="I3104" s="4">
        <f t="shared" si="192"/>
        <v>-1.18</v>
      </c>
      <c r="J3104" s="2">
        <f t="shared" si="193"/>
        <v>14.1</v>
      </c>
      <c r="K3104" s="7">
        <f t="shared" si="194"/>
        <v>46204</v>
      </c>
      <c r="L3104" t="str">
        <f t="shared" si="195"/>
        <v>Q3-2026</v>
      </c>
    </row>
    <row r="3105" spans="1:12">
      <c r="A3105" s="6">
        <v>46223</v>
      </c>
      <c r="B3105" t="s">
        <v>34</v>
      </c>
      <c r="C3105" t="s">
        <v>35</v>
      </c>
      <c r="D3105" s="2">
        <v>3815</v>
      </c>
      <c r="E3105" s="2">
        <v>3850</v>
      </c>
      <c r="F3105" s="2">
        <v>3807</v>
      </c>
      <c r="G3105" s="2">
        <v>3838.800048828125</v>
      </c>
      <c r="H3105" s="3">
        <v>1450930</v>
      </c>
      <c r="I3105" s="4">
        <f t="shared" si="192"/>
        <v>-0.21</v>
      </c>
      <c r="J3105" s="2">
        <f t="shared" si="193"/>
        <v>11.2</v>
      </c>
      <c r="K3105" s="7">
        <f t="shared" si="194"/>
        <v>46204</v>
      </c>
      <c r="L3105" t="str">
        <f t="shared" si="195"/>
        <v>Q3-2026</v>
      </c>
    </row>
    <row r="3106" spans="1:12">
      <c r="A3106" s="6">
        <v>46223</v>
      </c>
      <c r="B3106" t="s">
        <v>36</v>
      </c>
      <c r="C3106" t="s">
        <v>37</v>
      </c>
      <c r="D3106" s="2">
        <v>1275</v>
      </c>
      <c r="E3106" s="2">
        <v>1284</v>
      </c>
      <c r="F3106" s="2">
        <v>1249.099975585938</v>
      </c>
      <c r="G3106" s="2">
        <v>1256</v>
      </c>
      <c r="H3106" s="3">
        <v>25314148</v>
      </c>
      <c r="I3106" s="4">
        <f t="shared" si="192"/>
        <v>-2.0299999999999998</v>
      </c>
      <c r="J3106" s="2">
        <f t="shared" si="193"/>
        <v>28</v>
      </c>
      <c r="K3106" s="7">
        <f t="shared" si="194"/>
        <v>46204</v>
      </c>
      <c r="L3106" t="str">
        <f t="shared" si="195"/>
        <v>Q3-2026</v>
      </c>
    </row>
    <row r="3107" spans="1:12">
      <c r="A3107" s="6">
        <v>46224</v>
      </c>
      <c r="B3107" t="s">
        <v>8</v>
      </c>
      <c r="C3107" t="s">
        <v>9</v>
      </c>
      <c r="D3107" s="2">
        <v>1321</v>
      </c>
      <c r="E3107" s="2">
        <v>1326.900024414062</v>
      </c>
      <c r="F3107" s="2">
        <v>1302.699951171875</v>
      </c>
      <c r="G3107" s="2">
        <v>1303.699951171875</v>
      </c>
      <c r="H3107" s="3">
        <v>12753410</v>
      </c>
      <c r="I3107" s="4">
        <f t="shared" si="192"/>
        <v>-1.39</v>
      </c>
      <c r="J3107" s="2">
        <f t="shared" si="193"/>
        <v>23.2</v>
      </c>
      <c r="K3107" s="7">
        <f t="shared" si="194"/>
        <v>46204</v>
      </c>
      <c r="L3107" t="str">
        <f t="shared" si="195"/>
        <v>Q3-2026</v>
      </c>
    </row>
    <row r="3108" spans="1:12">
      <c r="A3108" s="6">
        <v>46224</v>
      </c>
      <c r="B3108" t="s">
        <v>10</v>
      </c>
      <c r="C3108" t="s">
        <v>11</v>
      </c>
      <c r="D3108" s="2">
        <v>2245.10009765625</v>
      </c>
      <c r="E3108" s="2">
        <v>2259.89990234375</v>
      </c>
      <c r="F3108" s="2">
        <v>2218.5</v>
      </c>
      <c r="G3108" s="2">
        <v>2221.10009765625</v>
      </c>
      <c r="H3108" s="3">
        <v>2382160</v>
      </c>
      <c r="I3108" s="4">
        <f t="shared" si="192"/>
        <v>-1.18</v>
      </c>
      <c r="J3108" s="2">
        <f t="shared" si="193"/>
        <v>38.799999999999997</v>
      </c>
      <c r="K3108" s="7">
        <f t="shared" si="194"/>
        <v>46204</v>
      </c>
      <c r="L3108" t="str">
        <f t="shared" si="195"/>
        <v>Q3-2026</v>
      </c>
    </row>
    <row r="3109" spans="1:12">
      <c r="A3109" s="6">
        <v>46224</v>
      </c>
      <c r="B3109" t="s">
        <v>12</v>
      </c>
      <c r="C3109" t="s">
        <v>13</v>
      </c>
      <c r="D3109" s="2">
        <v>1080</v>
      </c>
      <c r="E3109" s="2">
        <v>1094.5</v>
      </c>
      <c r="F3109" s="2">
        <v>1067.199951171875</v>
      </c>
      <c r="G3109" s="2">
        <v>1073.5</v>
      </c>
      <c r="H3109" s="3">
        <v>9485229</v>
      </c>
      <c r="I3109" s="4">
        <f t="shared" si="192"/>
        <v>-1.19</v>
      </c>
      <c r="J3109" s="2">
        <f t="shared" si="193"/>
        <v>21</v>
      </c>
      <c r="K3109" s="7">
        <f t="shared" si="194"/>
        <v>46204</v>
      </c>
      <c r="L3109" t="str">
        <f t="shared" si="195"/>
        <v>Q3-2026</v>
      </c>
    </row>
    <row r="3110" spans="1:12">
      <c r="A3110" s="6">
        <v>46224</v>
      </c>
      <c r="B3110" t="s">
        <v>14</v>
      </c>
      <c r="C3110" t="s">
        <v>15</v>
      </c>
      <c r="D3110" s="2">
        <v>769.1500244140625</v>
      </c>
      <c r="E3110" s="2">
        <v>772.5</v>
      </c>
      <c r="F3110" s="2">
        <v>760.0999755859375</v>
      </c>
      <c r="G3110" s="2">
        <v>761.45001220703125</v>
      </c>
      <c r="H3110" s="3">
        <v>42246009</v>
      </c>
      <c r="I3110" s="4">
        <f t="shared" si="192"/>
        <v>-1.18</v>
      </c>
      <c r="J3110" s="2">
        <f t="shared" si="193"/>
        <v>11.05</v>
      </c>
      <c r="K3110" s="7">
        <f t="shared" si="194"/>
        <v>46204</v>
      </c>
      <c r="L3110" t="str">
        <f t="shared" si="195"/>
        <v>Q3-2026</v>
      </c>
    </row>
    <row r="3111" spans="1:12">
      <c r="A3111" s="6">
        <v>46224</v>
      </c>
      <c r="B3111" t="s">
        <v>16</v>
      </c>
      <c r="C3111" t="s">
        <v>17</v>
      </c>
      <c r="D3111" s="2">
        <v>1457.7107481697999</v>
      </c>
      <c r="E3111" s="2">
        <v>1461.5781682422521</v>
      </c>
      <c r="F3111" s="2">
        <v>1444.422748432306</v>
      </c>
      <c r="G3111" s="2">
        <v>1450.868408203125</v>
      </c>
      <c r="H3111" s="3">
        <v>18269907</v>
      </c>
      <c r="I3111" s="4">
        <f t="shared" si="192"/>
        <v>-0.91</v>
      </c>
      <c r="J3111" s="2">
        <f t="shared" si="193"/>
        <v>10.71</v>
      </c>
      <c r="K3111" s="7">
        <f t="shared" si="194"/>
        <v>46204</v>
      </c>
      <c r="L3111" t="str">
        <f t="shared" si="195"/>
        <v>Q3-2026</v>
      </c>
    </row>
    <row r="3112" spans="1:12">
      <c r="A3112" s="6">
        <v>46224</v>
      </c>
      <c r="B3112" t="s">
        <v>18</v>
      </c>
      <c r="C3112" t="s">
        <v>19</v>
      </c>
      <c r="D3112" s="2">
        <v>174.12140471814371</v>
      </c>
      <c r="E3112" s="2">
        <v>175.49570853646259</v>
      </c>
      <c r="F3112" s="2">
        <v>172.5295838851421</v>
      </c>
      <c r="G3112" s="2">
        <v>172.99427795410159</v>
      </c>
      <c r="H3112" s="3">
        <v>11350578</v>
      </c>
      <c r="I3112" s="4">
        <f t="shared" si="192"/>
        <v>-0.91</v>
      </c>
      <c r="J3112" s="2">
        <f t="shared" si="193"/>
        <v>2.5</v>
      </c>
      <c r="K3112" s="7">
        <f t="shared" si="194"/>
        <v>46204</v>
      </c>
      <c r="L3112" t="str">
        <f t="shared" si="195"/>
        <v>Q3-2026</v>
      </c>
    </row>
    <row r="3113" spans="1:12">
      <c r="A3113" s="6">
        <v>46224</v>
      </c>
      <c r="B3113" t="s">
        <v>20</v>
      </c>
      <c r="C3113" t="s">
        <v>21</v>
      </c>
      <c r="D3113" s="2">
        <v>1219</v>
      </c>
      <c r="E3113" s="2">
        <v>1240.699951171875</v>
      </c>
      <c r="F3113" s="2">
        <v>1217.199951171875</v>
      </c>
      <c r="G3113" s="2">
        <v>1239.5</v>
      </c>
      <c r="H3113" s="3">
        <v>4642320</v>
      </c>
      <c r="I3113" s="4">
        <f t="shared" si="192"/>
        <v>-0.15</v>
      </c>
      <c r="J3113" s="2">
        <f t="shared" si="193"/>
        <v>1.2</v>
      </c>
      <c r="K3113" s="7">
        <f t="shared" si="194"/>
        <v>46204</v>
      </c>
      <c r="L3113" t="str">
        <f t="shared" si="195"/>
        <v>Q3-2026</v>
      </c>
    </row>
    <row r="3114" spans="1:12">
      <c r="A3114" s="6">
        <v>46224</v>
      </c>
      <c r="B3114" t="s">
        <v>22</v>
      </c>
      <c r="C3114" t="s">
        <v>23</v>
      </c>
      <c r="D3114" s="2">
        <v>1064</v>
      </c>
      <c r="E3114" s="2">
        <v>1074.400024414062</v>
      </c>
      <c r="F3114" s="2">
        <v>1060.900024414062</v>
      </c>
      <c r="G3114" s="2">
        <v>1069.199951171875</v>
      </c>
      <c r="H3114" s="3">
        <v>6970658</v>
      </c>
      <c r="I3114" s="4">
        <f t="shared" si="192"/>
        <v>-0.28999999999999998</v>
      </c>
      <c r="J3114" s="2">
        <f t="shared" si="193"/>
        <v>5.2</v>
      </c>
      <c r="K3114" s="7">
        <f t="shared" si="194"/>
        <v>46204</v>
      </c>
      <c r="L3114" t="str">
        <f t="shared" si="195"/>
        <v>Q3-2026</v>
      </c>
    </row>
    <row r="3115" spans="1:12">
      <c r="A3115" s="6">
        <v>46224</v>
      </c>
      <c r="B3115" t="s">
        <v>24</v>
      </c>
      <c r="C3115" t="s">
        <v>25</v>
      </c>
      <c r="D3115" s="2">
        <v>13385.56835836949</v>
      </c>
      <c r="E3115" s="2">
        <v>13519.22603058694</v>
      </c>
      <c r="F3115" s="2">
        <v>13215.27858339615</v>
      </c>
      <c r="G3115" s="2">
        <v>13461.802734375</v>
      </c>
      <c r="H3115" s="3">
        <v>341101</v>
      </c>
      <c r="I3115" s="4">
        <f t="shared" si="192"/>
        <v>-1.27</v>
      </c>
      <c r="J3115" s="2">
        <f t="shared" si="193"/>
        <v>57.42</v>
      </c>
      <c r="K3115" s="7">
        <f t="shared" si="194"/>
        <v>46204</v>
      </c>
      <c r="L3115" t="str">
        <f t="shared" si="195"/>
        <v>Q3-2026</v>
      </c>
    </row>
    <row r="3116" spans="1:12">
      <c r="A3116" s="6">
        <v>46224</v>
      </c>
      <c r="B3116" t="s">
        <v>26</v>
      </c>
      <c r="C3116" t="s">
        <v>27</v>
      </c>
      <c r="D3116" s="2">
        <v>336.10000610351563</v>
      </c>
      <c r="E3116" s="2">
        <v>337.64999389648438</v>
      </c>
      <c r="F3116" s="2">
        <v>331.79998779296881</v>
      </c>
      <c r="G3116" s="2">
        <v>333.79998779296881</v>
      </c>
      <c r="H3116" s="3">
        <v>5847490</v>
      </c>
      <c r="I3116" s="4">
        <f t="shared" si="192"/>
        <v>-1.28</v>
      </c>
      <c r="J3116" s="2">
        <f t="shared" si="193"/>
        <v>3.85</v>
      </c>
      <c r="K3116" s="7">
        <f t="shared" si="194"/>
        <v>46204</v>
      </c>
      <c r="L3116" t="str">
        <f t="shared" si="195"/>
        <v>Q3-2026</v>
      </c>
    </row>
    <row r="3117" spans="1:12">
      <c r="A3117" s="6">
        <v>46224</v>
      </c>
      <c r="B3117" t="s">
        <v>28</v>
      </c>
      <c r="C3117" t="s">
        <v>29</v>
      </c>
      <c r="D3117" s="2">
        <v>1952.099975585938</v>
      </c>
      <c r="E3117" s="2">
        <v>1966.5</v>
      </c>
      <c r="F3117" s="2">
        <v>1938.199951171875</v>
      </c>
      <c r="G3117" s="2">
        <v>1961.900024414062</v>
      </c>
      <c r="H3117" s="3">
        <v>1412579</v>
      </c>
      <c r="I3117" s="4">
        <f t="shared" si="192"/>
        <v>-0.71</v>
      </c>
      <c r="J3117" s="2">
        <f t="shared" si="193"/>
        <v>4.5999999999999996</v>
      </c>
      <c r="K3117" s="7">
        <f t="shared" si="194"/>
        <v>46204</v>
      </c>
      <c r="L3117" t="str">
        <f t="shared" si="195"/>
        <v>Q3-2026</v>
      </c>
    </row>
    <row r="3118" spans="1:12">
      <c r="A3118" s="6">
        <v>46224</v>
      </c>
      <c r="B3118" t="s">
        <v>30</v>
      </c>
      <c r="C3118" t="s">
        <v>31</v>
      </c>
      <c r="D3118" s="2">
        <v>2695</v>
      </c>
      <c r="E3118" s="2">
        <v>2720</v>
      </c>
      <c r="F3118" s="2">
        <v>2680.5</v>
      </c>
      <c r="G3118" s="2">
        <v>2692.39990234375</v>
      </c>
      <c r="H3118" s="3">
        <v>1000078</v>
      </c>
      <c r="I3118" s="4">
        <f t="shared" si="192"/>
        <v>-0.54</v>
      </c>
      <c r="J3118" s="2">
        <f t="shared" si="193"/>
        <v>27.6</v>
      </c>
      <c r="K3118" s="7">
        <f t="shared" si="194"/>
        <v>46204</v>
      </c>
      <c r="L3118" t="str">
        <f t="shared" si="195"/>
        <v>Q3-2026</v>
      </c>
    </row>
    <row r="3119" spans="1:12">
      <c r="A3119" s="6">
        <v>46224</v>
      </c>
      <c r="B3119" t="s">
        <v>32</v>
      </c>
      <c r="C3119" t="s">
        <v>33</v>
      </c>
      <c r="D3119" s="2">
        <v>2139.699951171875</v>
      </c>
      <c r="E3119" s="2">
        <v>2147.699951171875</v>
      </c>
      <c r="F3119" s="2">
        <v>2127.5</v>
      </c>
      <c r="G3119" s="2">
        <v>2142.5</v>
      </c>
      <c r="H3119" s="3">
        <v>1032417</v>
      </c>
      <c r="I3119" s="4">
        <f t="shared" si="192"/>
        <v>-0.56999999999999995</v>
      </c>
      <c r="J3119" s="2">
        <f t="shared" si="193"/>
        <v>5.2</v>
      </c>
      <c r="K3119" s="7">
        <f t="shared" si="194"/>
        <v>46204</v>
      </c>
      <c r="L3119" t="str">
        <f t="shared" si="195"/>
        <v>Q3-2026</v>
      </c>
    </row>
    <row r="3120" spans="1:12">
      <c r="A3120" s="6">
        <v>46224</v>
      </c>
      <c r="B3120" t="s">
        <v>34</v>
      </c>
      <c r="C3120" t="s">
        <v>35</v>
      </c>
      <c r="D3120" s="2">
        <v>3839</v>
      </c>
      <c r="E3120" s="2">
        <v>3859.5</v>
      </c>
      <c r="F3120" s="2">
        <v>3815.699951171875</v>
      </c>
      <c r="G3120" s="2">
        <v>3846.60009765625</v>
      </c>
      <c r="H3120" s="3">
        <v>1393919</v>
      </c>
      <c r="I3120" s="4">
        <f t="shared" si="192"/>
        <v>-0.61</v>
      </c>
      <c r="J3120" s="2">
        <f t="shared" si="193"/>
        <v>12.9</v>
      </c>
      <c r="K3120" s="7">
        <f t="shared" si="194"/>
        <v>46204</v>
      </c>
      <c r="L3120" t="str">
        <f t="shared" si="195"/>
        <v>Q3-2026</v>
      </c>
    </row>
    <row r="3121" spans="1:12">
      <c r="A3121" s="6">
        <v>46224</v>
      </c>
      <c r="B3121" t="s">
        <v>36</v>
      </c>
      <c r="C3121" t="s">
        <v>37</v>
      </c>
      <c r="D3121" s="2">
        <v>1245</v>
      </c>
      <c r="E3121" s="2">
        <v>1267.699951171875</v>
      </c>
      <c r="F3121" s="2">
        <v>1244.5</v>
      </c>
      <c r="G3121" s="2">
        <v>1258.199951171875</v>
      </c>
      <c r="H3121" s="3">
        <v>15014867</v>
      </c>
      <c r="I3121" s="4">
        <f t="shared" si="192"/>
        <v>-0.04</v>
      </c>
      <c r="J3121" s="2">
        <f t="shared" si="193"/>
        <v>9.5</v>
      </c>
      <c r="K3121" s="7">
        <f t="shared" si="194"/>
        <v>46204</v>
      </c>
      <c r="L3121" t="str">
        <f t="shared" si="195"/>
        <v>Q3-2026</v>
      </c>
    </row>
    <row r="3122" spans="1:12">
      <c r="A3122" s="6">
        <v>46225</v>
      </c>
      <c r="B3122" t="s">
        <v>8</v>
      </c>
      <c r="C3122" t="s">
        <v>9</v>
      </c>
      <c r="D3122" s="2">
        <v>1302</v>
      </c>
      <c r="E3122" s="2">
        <v>1304.599975585938</v>
      </c>
      <c r="F3122" s="2">
        <v>1280.699951171875</v>
      </c>
      <c r="G3122" s="2">
        <v>1288.599975585938</v>
      </c>
      <c r="H3122" s="3">
        <v>10840383</v>
      </c>
      <c r="I3122" s="4">
        <f t="shared" si="192"/>
        <v>-1.64</v>
      </c>
      <c r="J3122" s="2">
        <f t="shared" si="193"/>
        <v>16</v>
      </c>
      <c r="K3122" s="7">
        <f t="shared" si="194"/>
        <v>46204</v>
      </c>
      <c r="L3122" t="str">
        <f t="shared" si="195"/>
        <v>Q3-2026</v>
      </c>
    </row>
    <row r="3123" spans="1:12">
      <c r="A3123" s="6">
        <v>46225</v>
      </c>
      <c r="B3123" t="s">
        <v>10</v>
      </c>
      <c r="C3123" t="s">
        <v>11</v>
      </c>
      <c r="D3123" s="2">
        <v>2216</v>
      </c>
      <c r="E3123" s="2">
        <v>2226.800048828125</v>
      </c>
      <c r="F3123" s="2">
        <v>2201</v>
      </c>
      <c r="G3123" s="2">
        <v>2208.300048828125</v>
      </c>
      <c r="H3123" s="3">
        <v>1599665</v>
      </c>
      <c r="I3123" s="4">
        <f t="shared" si="192"/>
        <v>-0.68</v>
      </c>
      <c r="J3123" s="2">
        <f t="shared" si="193"/>
        <v>18.5</v>
      </c>
      <c r="K3123" s="7">
        <f t="shared" si="194"/>
        <v>46204</v>
      </c>
      <c r="L3123" t="str">
        <f t="shared" si="195"/>
        <v>Q3-2026</v>
      </c>
    </row>
    <row r="3124" spans="1:12">
      <c r="A3124" s="6">
        <v>46225</v>
      </c>
      <c r="B3124" t="s">
        <v>12</v>
      </c>
      <c r="C3124" t="s">
        <v>13</v>
      </c>
      <c r="D3124" s="2">
        <v>1064</v>
      </c>
      <c r="E3124" s="2">
        <v>1069.300048828125</v>
      </c>
      <c r="F3124" s="2">
        <v>1046.199951171875</v>
      </c>
      <c r="G3124" s="2">
        <v>1052.099975585938</v>
      </c>
      <c r="H3124" s="3">
        <v>7517203</v>
      </c>
      <c r="I3124" s="4">
        <f t="shared" si="192"/>
        <v>-1.67</v>
      </c>
      <c r="J3124" s="2">
        <f t="shared" si="193"/>
        <v>17.2</v>
      </c>
      <c r="K3124" s="7">
        <f t="shared" si="194"/>
        <v>46204</v>
      </c>
      <c r="L3124" t="str">
        <f t="shared" si="195"/>
        <v>Q3-2026</v>
      </c>
    </row>
    <row r="3125" spans="1:12">
      <c r="A3125" s="6">
        <v>46225</v>
      </c>
      <c r="B3125" t="s">
        <v>14</v>
      </c>
      <c r="C3125" t="s">
        <v>15</v>
      </c>
      <c r="D3125" s="2">
        <v>760.25</v>
      </c>
      <c r="E3125" s="2">
        <v>761.3499755859375</v>
      </c>
      <c r="F3125" s="2">
        <v>750.3499755859375</v>
      </c>
      <c r="G3125" s="2">
        <v>753.1500244140625</v>
      </c>
      <c r="H3125" s="3">
        <v>23385446</v>
      </c>
      <c r="I3125" s="4">
        <f t="shared" si="192"/>
        <v>-1.3</v>
      </c>
      <c r="J3125" s="2">
        <f t="shared" si="193"/>
        <v>8.1999999999999993</v>
      </c>
      <c r="K3125" s="7">
        <f t="shared" si="194"/>
        <v>46204</v>
      </c>
      <c r="L3125" t="str">
        <f t="shared" si="195"/>
        <v>Q3-2026</v>
      </c>
    </row>
    <row r="3126" spans="1:12">
      <c r="A3126" s="6">
        <v>46225</v>
      </c>
      <c r="B3126" t="s">
        <v>16</v>
      </c>
      <c r="C3126" t="s">
        <v>17</v>
      </c>
      <c r="D3126" s="2">
        <v>1454.1408592092239</v>
      </c>
      <c r="E3126" s="2">
        <v>1454.1408592092239</v>
      </c>
      <c r="F3126" s="2">
        <v>1426.3749403739951</v>
      </c>
      <c r="G3126" s="2">
        <v>1428.655639648438</v>
      </c>
      <c r="H3126" s="3">
        <v>8345136</v>
      </c>
      <c r="I3126" s="4">
        <f t="shared" si="192"/>
        <v>-1.91</v>
      </c>
      <c r="J3126" s="2">
        <f t="shared" si="193"/>
        <v>25.49</v>
      </c>
      <c r="K3126" s="7">
        <f t="shared" si="194"/>
        <v>46204</v>
      </c>
      <c r="L3126" t="str">
        <f t="shared" si="195"/>
        <v>Q3-2026</v>
      </c>
    </row>
    <row r="3127" spans="1:12">
      <c r="A3127" s="6">
        <v>46225</v>
      </c>
      <c r="B3127" t="s">
        <v>18</v>
      </c>
      <c r="C3127" t="s">
        <v>19</v>
      </c>
      <c r="D3127" s="2">
        <v>172.79653613611441</v>
      </c>
      <c r="E3127" s="2">
        <v>172.98439310773301</v>
      </c>
      <c r="F3127" s="2">
        <v>171.46177403307959</v>
      </c>
      <c r="G3127" s="2">
        <v>172.47026062011719</v>
      </c>
      <c r="H3127" s="3">
        <v>5057035</v>
      </c>
      <c r="I3127" s="4">
        <f t="shared" si="192"/>
        <v>-0.77</v>
      </c>
      <c r="J3127" s="2">
        <f t="shared" si="193"/>
        <v>0.51</v>
      </c>
      <c r="K3127" s="7">
        <f t="shared" si="194"/>
        <v>46204</v>
      </c>
      <c r="L3127" t="str">
        <f t="shared" si="195"/>
        <v>Q3-2026</v>
      </c>
    </row>
    <row r="3128" spans="1:12">
      <c r="A3128" s="6">
        <v>46225</v>
      </c>
      <c r="B3128" t="s">
        <v>20</v>
      </c>
      <c r="C3128" t="s">
        <v>21</v>
      </c>
      <c r="D3128" s="2">
        <v>1243.800048828125</v>
      </c>
      <c r="E3128" s="2">
        <v>1243.800048828125</v>
      </c>
      <c r="F3128" s="2">
        <v>1227.699951171875</v>
      </c>
      <c r="G3128" s="2">
        <v>1237.300048828125</v>
      </c>
      <c r="H3128" s="3">
        <v>2377718</v>
      </c>
      <c r="I3128" s="4">
        <f t="shared" si="192"/>
        <v>-1.29</v>
      </c>
      <c r="J3128" s="2">
        <f t="shared" si="193"/>
        <v>6.5</v>
      </c>
      <c r="K3128" s="7">
        <f t="shared" si="194"/>
        <v>46204</v>
      </c>
      <c r="L3128" t="str">
        <f t="shared" si="195"/>
        <v>Q3-2026</v>
      </c>
    </row>
    <row r="3129" spans="1:12">
      <c r="A3129" s="6">
        <v>46225</v>
      </c>
      <c r="B3129" t="s">
        <v>22</v>
      </c>
      <c r="C3129" t="s">
        <v>23</v>
      </c>
      <c r="D3129" s="2">
        <v>1064</v>
      </c>
      <c r="E3129" s="2">
        <v>1070.599975585938</v>
      </c>
      <c r="F3129" s="2">
        <v>1056.099975585938</v>
      </c>
      <c r="G3129" s="2">
        <v>1060.300048828125</v>
      </c>
      <c r="H3129" s="3">
        <v>6757716</v>
      </c>
      <c r="I3129" s="4">
        <f t="shared" si="192"/>
        <v>-0.74</v>
      </c>
      <c r="J3129" s="2">
        <f t="shared" si="193"/>
        <v>10.3</v>
      </c>
      <c r="K3129" s="7">
        <f t="shared" si="194"/>
        <v>46204</v>
      </c>
      <c r="L3129" t="str">
        <f t="shared" si="195"/>
        <v>Q3-2026</v>
      </c>
    </row>
    <row r="3130" spans="1:12">
      <c r="A3130" s="6">
        <v>46225</v>
      </c>
      <c r="B3130" t="s">
        <v>24</v>
      </c>
      <c r="C3130" t="s">
        <v>25</v>
      </c>
      <c r="D3130" s="2">
        <v>13460.81223266196</v>
      </c>
      <c r="E3130" s="2">
        <v>13582.589218879781</v>
      </c>
      <c r="F3130" s="2">
        <v>13356.856268817481</v>
      </c>
      <c r="G3130" s="2">
        <v>13410.3193359375</v>
      </c>
      <c r="H3130" s="3">
        <v>299404</v>
      </c>
      <c r="I3130" s="4">
        <f t="shared" si="192"/>
        <v>-0.77</v>
      </c>
      <c r="J3130" s="2">
        <f t="shared" si="193"/>
        <v>172.27</v>
      </c>
      <c r="K3130" s="7">
        <f t="shared" si="194"/>
        <v>46204</v>
      </c>
      <c r="L3130" t="str">
        <f t="shared" si="195"/>
        <v>Q3-2026</v>
      </c>
    </row>
    <row r="3131" spans="1:12">
      <c r="A3131" s="6">
        <v>46225</v>
      </c>
      <c r="B3131" t="s">
        <v>26</v>
      </c>
      <c r="C3131" t="s">
        <v>27</v>
      </c>
      <c r="D3131" s="2">
        <v>333.79998779296881</v>
      </c>
      <c r="E3131" s="2">
        <v>334.60000610351563</v>
      </c>
      <c r="F3131" s="2">
        <v>327.10000610351563</v>
      </c>
      <c r="G3131" s="2">
        <v>327.70001220703119</v>
      </c>
      <c r="H3131" s="3">
        <v>8609616</v>
      </c>
      <c r="I3131" s="4">
        <f t="shared" si="192"/>
        <v>-2.0099999999999998</v>
      </c>
      <c r="J3131" s="2">
        <f t="shared" si="193"/>
        <v>6.9</v>
      </c>
      <c r="K3131" s="7">
        <f t="shared" si="194"/>
        <v>46204</v>
      </c>
      <c r="L3131" t="str">
        <f t="shared" si="195"/>
        <v>Q3-2026</v>
      </c>
    </row>
    <row r="3132" spans="1:12">
      <c r="A3132" s="6">
        <v>46225</v>
      </c>
      <c r="B3132" t="s">
        <v>28</v>
      </c>
      <c r="C3132" t="s">
        <v>29</v>
      </c>
      <c r="D3132" s="2">
        <v>1938</v>
      </c>
      <c r="E3132" s="2">
        <v>1951.800048828125</v>
      </c>
      <c r="F3132" s="2">
        <v>1925.199951171875</v>
      </c>
      <c r="G3132" s="2">
        <v>1943</v>
      </c>
      <c r="H3132" s="3">
        <v>1718430</v>
      </c>
      <c r="I3132" s="4">
        <f t="shared" si="192"/>
        <v>-0.66</v>
      </c>
      <c r="J3132" s="2">
        <f t="shared" si="193"/>
        <v>8.8000000000000007</v>
      </c>
      <c r="K3132" s="7">
        <f t="shared" si="194"/>
        <v>46204</v>
      </c>
      <c r="L3132" t="str">
        <f t="shared" si="195"/>
        <v>Q3-2026</v>
      </c>
    </row>
    <row r="3133" spans="1:12">
      <c r="A3133" s="6">
        <v>46225</v>
      </c>
      <c r="B3133" t="s">
        <v>30</v>
      </c>
      <c r="C3133" t="s">
        <v>31</v>
      </c>
      <c r="D3133" s="2">
        <v>2683</v>
      </c>
      <c r="E3133" s="2">
        <v>2700</v>
      </c>
      <c r="F3133" s="2">
        <v>2665.60009765625</v>
      </c>
      <c r="G3133" s="2">
        <v>2692.800048828125</v>
      </c>
      <c r="H3133" s="3">
        <v>528096</v>
      </c>
      <c r="I3133" s="4">
        <f t="shared" si="192"/>
        <v>-0.65</v>
      </c>
      <c r="J3133" s="2">
        <f t="shared" si="193"/>
        <v>7.2</v>
      </c>
      <c r="K3133" s="7">
        <f t="shared" si="194"/>
        <v>46204</v>
      </c>
      <c r="L3133" t="str">
        <f t="shared" si="195"/>
        <v>Q3-2026</v>
      </c>
    </row>
    <row r="3134" spans="1:12">
      <c r="A3134" s="6">
        <v>46225</v>
      </c>
      <c r="B3134" t="s">
        <v>32</v>
      </c>
      <c r="C3134" t="s">
        <v>33</v>
      </c>
      <c r="D3134" s="2">
        <v>2139.699951171875</v>
      </c>
      <c r="E3134" s="2">
        <v>2159.89990234375</v>
      </c>
      <c r="F3134" s="2">
        <v>2130</v>
      </c>
      <c r="G3134" s="2">
        <v>2154.60009765625</v>
      </c>
      <c r="H3134" s="3">
        <v>819175</v>
      </c>
      <c r="I3134" s="4">
        <f t="shared" si="192"/>
        <v>-0.45</v>
      </c>
      <c r="J3134" s="2">
        <f t="shared" si="193"/>
        <v>5.3</v>
      </c>
      <c r="K3134" s="7">
        <f t="shared" si="194"/>
        <v>46204</v>
      </c>
      <c r="L3134" t="str">
        <f t="shared" si="195"/>
        <v>Q3-2026</v>
      </c>
    </row>
    <row r="3135" spans="1:12">
      <c r="A3135" s="6">
        <v>46225</v>
      </c>
      <c r="B3135" t="s">
        <v>34</v>
      </c>
      <c r="C3135" t="s">
        <v>35</v>
      </c>
      <c r="D3135" s="2">
        <v>3835</v>
      </c>
      <c r="E3135" s="2">
        <v>3843.300048828125</v>
      </c>
      <c r="F3135" s="2">
        <v>3806.199951171875</v>
      </c>
      <c r="G3135" s="2">
        <v>3817.39990234375</v>
      </c>
      <c r="H3135" s="3">
        <v>1157406</v>
      </c>
      <c r="I3135" s="4">
        <f t="shared" si="192"/>
        <v>-0.75</v>
      </c>
      <c r="J3135" s="2">
        <f t="shared" si="193"/>
        <v>25.9</v>
      </c>
      <c r="K3135" s="7">
        <f t="shared" si="194"/>
        <v>46204</v>
      </c>
      <c r="L3135" t="str">
        <f t="shared" si="195"/>
        <v>Q3-2026</v>
      </c>
    </row>
    <row r="3136" spans="1:12">
      <c r="A3136" s="6">
        <v>46225</v>
      </c>
      <c r="B3136" t="s">
        <v>36</v>
      </c>
      <c r="C3136" t="s">
        <v>37</v>
      </c>
      <c r="D3136" s="2">
        <v>1258.199951171875</v>
      </c>
      <c r="E3136" s="2">
        <v>1258.199951171875</v>
      </c>
      <c r="F3136" s="2">
        <v>1230.5</v>
      </c>
      <c r="G3136" s="2">
        <v>1238.400024414062</v>
      </c>
      <c r="H3136" s="3">
        <v>8358923</v>
      </c>
      <c r="I3136" s="4">
        <f t="shared" si="192"/>
        <v>-2.2000000000000002</v>
      </c>
      <c r="J3136" s="2">
        <f t="shared" si="193"/>
        <v>19.8</v>
      </c>
      <c r="K3136" s="7">
        <f t="shared" si="194"/>
        <v>46204</v>
      </c>
      <c r="L3136" t="str">
        <f t="shared" si="195"/>
        <v>Q3-2026</v>
      </c>
    </row>
    <row r="3137" spans="1:12">
      <c r="A3137" s="6">
        <v>46226</v>
      </c>
      <c r="B3137" t="s">
        <v>8</v>
      </c>
      <c r="C3137" t="s">
        <v>9</v>
      </c>
      <c r="D3137" s="2">
        <v>1283</v>
      </c>
      <c r="E3137" s="2">
        <v>1287.300048828125</v>
      </c>
      <c r="F3137" s="2">
        <v>1268</v>
      </c>
      <c r="G3137" s="2">
        <v>1272.199951171875</v>
      </c>
      <c r="H3137" s="3">
        <v>12580741</v>
      </c>
      <c r="I3137" s="4">
        <f t="shared" si="192"/>
        <v>-1.17</v>
      </c>
      <c r="J3137" s="2">
        <f t="shared" si="193"/>
        <v>15.1</v>
      </c>
      <c r="K3137" s="7">
        <f t="shared" si="194"/>
        <v>46204</v>
      </c>
      <c r="L3137" t="str">
        <f t="shared" si="195"/>
        <v>Q3-2026</v>
      </c>
    </row>
    <row r="3138" spans="1:12">
      <c r="A3138" s="6">
        <v>46226</v>
      </c>
      <c r="B3138" t="s">
        <v>10</v>
      </c>
      <c r="C3138" t="s">
        <v>11</v>
      </c>
      <c r="D3138" s="2">
        <v>2204</v>
      </c>
      <c r="E3138" s="2">
        <v>2250</v>
      </c>
      <c r="F3138" s="2">
        <v>2193.60009765625</v>
      </c>
      <c r="G3138" s="2">
        <v>2242.89990234375</v>
      </c>
      <c r="H3138" s="3">
        <v>2503539</v>
      </c>
      <c r="I3138" s="4">
        <f t="shared" ref="I3138:I3201" si="196">ROUND(((F3138-D3138)/D3138)*100, 2)</f>
        <v>-0.47</v>
      </c>
      <c r="J3138" s="2">
        <f t="shared" ref="J3138:J3201" si="197">ROUND(E3138-G3138, 2)</f>
        <v>7.1</v>
      </c>
      <c r="K3138" s="7">
        <f t="shared" ref="K3138:K3201" si="198">DATE(YEAR(A3138),MONTH(A3138),1)</f>
        <v>46204</v>
      </c>
      <c r="L3138" t="str">
        <f t="shared" ref="L3138:L3201" si="199">"Q"&amp;INT((MONTH(A3138)-1)/3)+1&amp;"-"&amp;YEAR(A3138)</f>
        <v>Q3-2026</v>
      </c>
    </row>
    <row r="3139" spans="1:12">
      <c r="A3139" s="6">
        <v>46226</v>
      </c>
      <c r="B3139" t="s">
        <v>12</v>
      </c>
      <c r="C3139" t="s">
        <v>13</v>
      </c>
      <c r="D3139" s="2">
        <v>1046.900024414062</v>
      </c>
      <c r="E3139" s="2">
        <v>1058.5</v>
      </c>
      <c r="F3139" s="2">
        <v>1032</v>
      </c>
      <c r="G3139" s="2">
        <v>1047.400024414062</v>
      </c>
      <c r="H3139" s="3">
        <v>13794578</v>
      </c>
      <c r="I3139" s="4">
        <f t="shared" si="196"/>
        <v>-1.42</v>
      </c>
      <c r="J3139" s="2">
        <f t="shared" si="197"/>
        <v>11.1</v>
      </c>
      <c r="K3139" s="7">
        <f t="shared" si="198"/>
        <v>46204</v>
      </c>
      <c r="L3139" t="str">
        <f t="shared" si="199"/>
        <v>Q3-2026</v>
      </c>
    </row>
    <row r="3140" spans="1:12">
      <c r="A3140" s="6">
        <v>46226</v>
      </c>
      <c r="B3140" t="s">
        <v>14</v>
      </c>
      <c r="C3140" t="s">
        <v>15</v>
      </c>
      <c r="D3140" s="2">
        <v>749.4000244140625</v>
      </c>
      <c r="E3140" s="2">
        <v>751</v>
      </c>
      <c r="F3140" s="2">
        <v>743.25</v>
      </c>
      <c r="G3140" s="2">
        <v>747.25</v>
      </c>
      <c r="H3140" s="3">
        <v>32532090</v>
      </c>
      <c r="I3140" s="4">
        <f t="shared" si="196"/>
        <v>-0.82</v>
      </c>
      <c r="J3140" s="2">
        <f t="shared" si="197"/>
        <v>3.75</v>
      </c>
      <c r="K3140" s="7">
        <f t="shared" si="198"/>
        <v>46204</v>
      </c>
      <c r="L3140" t="str">
        <f t="shared" si="199"/>
        <v>Q3-2026</v>
      </c>
    </row>
    <row r="3141" spans="1:12">
      <c r="A3141" s="6">
        <v>46226</v>
      </c>
      <c r="B3141" t="s">
        <v>16</v>
      </c>
      <c r="C3141" t="s">
        <v>17</v>
      </c>
      <c r="D3141" s="2">
        <v>1420.524269707493</v>
      </c>
      <c r="E3141" s="2">
        <v>1433.911409422014</v>
      </c>
      <c r="F3141" s="2">
        <v>1414.6735696222979</v>
      </c>
      <c r="G3141" s="2">
        <v>1422.606689453125</v>
      </c>
      <c r="H3141" s="3">
        <v>12409328</v>
      </c>
      <c r="I3141" s="4">
        <f t="shared" si="196"/>
        <v>-0.41</v>
      </c>
      <c r="J3141" s="2">
        <f t="shared" si="197"/>
        <v>11.3</v>
      </c>
      <c r="K3141" s="7">
        <f t="shared" si="198"/>
        <v>46204</v>
      </c>
      <c r="L3141" t="str">
        <f t="shared" si="199"/>
        <v>Q3-2026</v>
      </c>
    </row>
    <row r="3142" spans="1:12">
      <c r="A3142" s="6">
        <v>46226</v>
      </c>
      <c r="B3142" t="s">
        <v>18</v>
      </c>
      <c r="C3142" t="s">
        <v>19</v>
      </c>
      <c r="D3142" s="2">
        <v>171.84737282841519</v>
      </c>
      <c r="E3142" s="2">
        <v>173.57761220862309</v>
      </c>
      <c r="F3142" s="2">
        <v>171.3530187197843</v>
      </c>
      <c r="G3142" s="2">
        <v>172.8459777832031</v>
      </c>
      <c r="H3142" s="3">
        <v>9055905</v>
      </c>
      <c r="I3142" s="4">
        <f t="shared" si="196"/>
        <v>-0.28999999999999998</v>
      </c>
      <c r="J3142" s="2">
        <f t="shared" si="197"/>
        <v>0.73</v>
      </c>
      <c r="K3142" s="7">
        <f t="shared" si="198"/>
        <v>46204</v>
      </c>
      <c r="L3142" t="str">
        <f t="shared" si="199"/>
        <v>Q3-2026</v>
      </c>
    </row>
    <row r="3143" spans="1:12">
      <c r="A3143" s="6">
        <v>46226</v>
      </c>
      <c r="B3143" t="s">
        <v>20</v>
      </c>
      <c r="C3143" t="s">
        <v>21</v>
      </c>
      <c r="D3143" s="2">
        <v>1236</v>
      </c>
      <c r="E3143" s="2">
        <v>1248.800048828125</v>
      </c>
      <c r="F3143" s="2">
        <v>1228.800048828125</v>
      </c>
      <c r="G3143" s="2">
        <v>1244.699951171875</v>
      </c>
      <c r="H3143" s="3">
        <v>1878476</v>
      </c>
      <c r="I3143" s="4">
        <f t="shared" si="196"/>
        <v>-0.57999999999999996</v>
      </c>
      <c r="J3143" s="2">
        <f t="shared" si="197"/>
        <v>4.0999999999999996</v>
      </c>
      <c r="K3143" s="7">
        <f t="shared" si="198"/>
        <v>46204</v>
      </c>
      <c r="L3143" t="str">
        <f t="shared" si="199"/>
        <v>Q3-2026</v>
      </c>
    </row>
    <row r="3144" spans="1:12">
      <c r="A3144" s="6">
        <v>46226</v>
      </c>
      <c r="B3144" t="s">
        <v>22</v>
      </c>
      <c r="C3144" t="s">
        <v>23</v>
      </c>
      <c r="D3144" s="2">
        <v>1053.300048828125</v>
      </c>
      <c r="E3144" s="2">
        <v>1061.199951171875</v>
      </c>
      <c r="F3144" s="2">
        <v>1036.5</v>
      </c>
      <c r="G3144" s="2">
        <v>1039.800048828125</v>
      </c>
      <c r="H3144" s="3">
        <v>8016651</v>
      </c>
      <c r="I3144" s="4">
        <f t="shared" si="196"/>
        <v>-1.59</v>
      </c>
      <c r="J3144" s="2">
        <f t="shared" si="197"/>
        <v>21.4</v>
      </c>
      <c r="K3144" s="7">
        <f t="shared" si="198"/>
        <v>46204</v>
      </c>
      <c r="L3144" t="str">
        <f t="shared" si="199"/>
        <v>Q3-2026</v>
      </c>
    </row>
    <row r="3145" spans="1:12">
      <c r="A3145" s="6">
        <v>46226</v>
      </c>
      <c r="B3145" t="s">
        <v>24</v>
      </c>
      <c r="C3145" t="s">
        <v>25</v>
      </c>
      <c r="D3145" s="2">
        <v>13406.35928530751</v>
      </c>
      <c r="E3145" s="2">
        <v>13433.09081921958</v>
      </c>
      <c r="F3145" s="2">
        <v>13239.039684154201</v>
      </c>
      <c r="G3145" s="2">
        <v>13269.7314453125</v>
      </c>
      <c r="H3145" s="3">
        <v>327912</v>
      </c>
      <c r="I3145" s="4">
        <f t="shared" si="196"/>
        <v>-1.25</v>
      </c>
      <c r="J3145" s="2">
        <f t="shared" si="197"/>
        <v>163.36000000000001</v>
      </c>
      <c r="K3145" s="7">
        <f t="shared" si="198"/>
        <v>46204</v>
      </c>
      <c r="L3145" t="str">
        <f t="shared" si="199"/>
        <v>Q3-2026</v>
      </c>
    </row>
    <row r="3146" spans="1:12">
      <c r="A3146" s="6">
        <v>46226</v>
      </c>
      <c r="B3146" t="s">
        <v>26</v>
      </c>
      <c r="C3146" t="s">
        <v>27</v>
      </c>
      <c r="D3146" s="2">
        <v>326.95001220703119</v>
      </c>
      <c r="E3146" s="2">
        <v>328.5</v>
      </c>
      <c r="F3146" s="2">
        <v>323.79998779296881</v>
      </c>
      <c r="G3146" s="2">
        <v>324.29998779296881</v>
      </c>
      <c r="H3146" s="3">
        <v>6985396</v>
      </c>
      <c r="I3146" s="4">
        <f t="shared" si="196"/>
        <v>-0.96</v>
      </c>
      <c r="J3146" s="2">
        <f t="shared" si="197"/>
        <v>4.2</v>
      </c>
      <c r="K3146" s="7">
        <f t="shared" si="198"/>
        <v>46204</v>
      </c>
      <c r="L3146" t="str">
        <f t="shared" si="199"/>
        <v>Q3-2026</v>
      </c>
    </row>
    <row r="3147" spans="1:12">
      <c r="A3147" s="6">
        <v>46226</v>
      </c>
      <c r="B3147" t="s">
        <v>28</v>
      </c>
      <c r="C3147" t="s">
        <v>29</v>
      </c>
      <c r="D3147" s="2">
        <v>1929.099975585938</v>
      </c>
      <c r="E3147" s="2">
        <v>1958.5</v>
      </c>
      <c r="F3147" s="2">
        <v>1926.800048828125</v>
      </c>
      <c r="G3147" s="2">
        <v>1954</v>
      </c>
      <c r="H3147" s="3">
        <v>2057288</v>
      </c>
      <c r="I3147" s="4">
        <f t="shared" si="196"/>
        <v>-0.12</v>
      </c>
      <c r="J3147" s="2">
        <f t="shared" si="197"/>
        <v>4.5</v>
      </c>
      <c r="K3147" s="7">
        <f t="shared" si="198"/>
        <v>46204</v>
      </c>
      <c r="L3147" t="str">
        <f t="shared" si="199"/>
        <v>Q3-2026</v>
      </c>
    </row>
    <row r="3148" spans="1:12">
      <c r="A3148" s="6">
        <v>46226</v>
      </c>
      <c r="B3148" t="s">
        <v>30</v>
      </c>
      <c r="C3148" t="s">
        <v>31</v>
      </c>
      <c r="D3148" s="2">
        <v>2671.10009765625</v>
      </c>
      <c r="E3148" s="2">
        <v>2693.39990234375</v>
      </c>
      <c r="F3148" s="2">
        <v>2656</v>
      </c>
      <c r="G3148" s="2">
        <v>2668.800048828125</v>
      </c>
      <c r="H3148" s="3">
        <v>584245</v>
      </c>
      <c r="I3148" s="4">
        <f t="shared" si="196"/>
        <v>-0.56999999999999995</v>
      </c>
      <c r="J3148" s="2">
        <f t="shared" si="197"/>
        <v>24.6</v>
      </c>
      <c r="K3148" s="7">
        <f t="shared" si="198"/>
        <v>46204</v>
      </c>
      <c r="L3148" t="str">
        <f t="shared" si="199"/>
        <v>Q3-2026</v>
      </c>
    </row>
    <row r="3149" spans="1:12">
      <c r="A3149" s="6">
        <v>46226</v>
      </c>
      <c r="B3149" t="s">
        <v>32</v>
      </c>
      <c r="C3149" t="s">
        <v>33</v>
      </c>
      <c r="D3149" s="2">
        <v>2150</v>
      </c>
      <c r="E3149" s="2">
        <v>2166</v>
      </c>
      <c r="F3149" s="2">
        <v>2139.89990234375</v>
      </c>
      <c r="G3149" s="2">
        <v>2161.800048828125</v>
      </c>
      <c r="H3149" s="3">
        <v>833281</v>
      </c>
      <c r="I3149" s="4">
        <f t="shared" si="196"/>
        <v>-0.47</v>
      </c>
      <c r="J3149" s="2">
        <f t="shared" si="197"/>
        <v>4.2</v>
      </c>
      <c r="K3149" s="7">
        <f t="shared" si="198"/>
        <v>46204</v>
      </c>
      <c r="L3149" t="str">
        <f t="shared" si="199"/>
        <v>Q3-2026</v>
      </c>
    </row>
    <row r="3150" spans="1:12">
      <c r="A3150" s="6">
        <v>46226</v>
      </c>
      <c r="B3150" t="s">
        <v>34</v>
      </c>
      <c r="C3150" t="s">
        <v>35</v>
      </c>
      <c r="D3150" s="2">
        <v>3800</v>
      </c>
      <c r="E3150" s="2">
        <v>3827.60009765625</v>
      </c>
      <c r="F3150" s="2">
        <v>3777.699951171875</v>
      </c>
      <c r="G3150" s="2">
        <v>3792.39990234375</v>
      </c>
      <c r="H3150" s="3">
        <v>1278355</v>
      </c>
      <c r="I3150" s="4">
        <f t="shared" si="196"/>
        <v>-0.59</v>
      </c>
      <c r="J3150" s="2">
        <f t="shared" si="197"/>
        <v>35.200000000000003</v>
      </c>
      <c r="K3150" s="7">
        <f t="shared" si="198"/>
        <v>46204</v>
      </c>
      <c r="L3150" t="str">
        <f t="shared" si="199"/>
        <v>Q3-2026</v>
      </c>
    </row>
    <row r="3151" spans="1:12">
      <c r="A3151" s="6">
        <v>46226</v>
      </c>
      <c r="B3151" t="s">
        <v>36</v>
      </c>
      <c r="C3151" t="s">
        <v>37</v>
      </c>
      <c r="D3151" s="2">
        <v>1230.099975585938</v>
      </c>
      <c r="E3151" s="2">
        <v>1239.400024414062</v>
      </c>
      <c r="F3151" s="2">
        <v>1219.199951171875</v>
      </c>
      <c r="G3151" s="2">
        <v>1223</v>
      </c>
      <c r="H3151" s="3">
        <v>8240787</v>
      </c>
      <c r="I3151" s="4">
        <f t="shared" si="196"/>
        <v>-0.89</v>
      </c>
      <c r="J3151" s="2">
        <f t="shared" si="197"/>
        <v>16.399999999999999</v>
      </c>
      <c r="K3151" s="7">
        <f t="shared" si="198"/>
        <v>46204</v>
      </c>
      <c r="L3151" t="str">
        <f t="shared" si="199"/>
        <v>Q3-2026</v>
      </c>
    </row>
    <row r="3152" spans="1:12">
      <c r="A3152" s="6">
        <v>46227</v>
      </c>
      <c r="B3152" t="s">
        <v>8</v>
      </c>
      <c r="C3152" t="s">
        <v>9</v>
      </c>
      <c r="D3152" s="2">
        <v>1265</v>
      </c>
      <c r="E3152" s="2">
        <v>1283.400024414062</v>
      </c>
      <c r="F3152" s="2">
        <v>1249.800048828125</v>
      </c>
      <c r="G3152" s="2">
        <v>1278</v>
      </c>
      <c r="H3152" s="3">
        <v>9817000</v>
      </c>
      <c r="I3152" s="4">
        <f t="shared" si="196"/>
        <v>-1.2</v>
      </c>
      <c r="J3152" s="2">
        <f t="shared" si="197"/>
        <v>5.4</v>
      </c>
      <c r="K3152" s="7">
        <f t="shared" si="198"/>
        <v>46204</v>
      </c>
      <c r="L3152" t="str">
        <f t="shared" si="199"/>
        <v>Q3-2026</v>
      </c>
    </row>
    <row r="3153" spans="1:12">
      <c r="A3153" s="6">
        <v>46227</v>
      </c>
      <c r="B3153" t="s">
        <v>10</v>
      </c>
      <c r="C3153" t="s">
        <v>11</v>
      </c>
      <c r="D3153" s="2">
        <v>2205.10009765625</v>
      </c>
      <c r="E3153" s="2">
        <v>2264.300048828125</v>
      </c>
      <c r="F3153" s="2">
        <v>2205.10009765625</v>
      </c>
      <c r="G3153" s="2">
        <v>2254.300048828125</v>
      </c>
      <c r="H3153" s="3">
        <v>3211699</v>
      </c>
      <c r="I3153" s="4">
        <f t="shared" si="196"/>
        <v>0</v>
      </c>
      <c r="J3153" s="2">
        <f t="shared" si="197"/>
        <v>10</v>
      </c>
      <c r="K3153" s="7">
        <f t="shared" si="198"/>
        <v>46204</v>
      </c>
      <c r="L3153" t="str">
        <f t="shared" si="199"/>
        <v>Q3-2026</v>
      </c>
    </row>
    <row r="3154" spans="1:12">
      <c r="A3154" s="6">
        <v>46227</v>
      </c>
      <c r="B3154" t="s">
        <v>12</v>
      </c>
      <c r="C3154" t="s">
        <v>13</v>
      </c>
      <c r="D3154" s="2">
        <v>1028</v>
      </c>
      <c r="E3154" s="2">
        <v>1043.400024414062</v>
      </c>
      <c r="F3154" s="2">
        <v>1013.900024414062</v>
      </c>
      <c r="G3154" s="2">
        <v>1040.900024414062</v>
      </c>
      <c r="H3154" s="3">
        <v>29036900</v>
      </c>
      <c r="I3154" s="4">
        <f t="shared" si="196"/>
        <v>-1.37</v>
      </c>
      <c r="J3154" s="2">
        <f t="shared" si="197"/>
        <v>2.5</v>
      </c>
      <c r="K3154" s="7">
        <f t="shared" si="198"/>
        <v>46204</v>
      </c>
      <c r="L3154" t="str">
        <f t="shared" si="199"/>
        <v>Q3-2026</v>
      </c>
    </row>
    <row r="3155" spans="1:12">
      <c r="A3155" s="6">
        <v>46227</v>
      </c>
      <c r="B3155" t="s">
        <v>14</v>
      </c>
      <c r="C3155" t="s">
        <v>15</v>
      </c>
      <c r="D3155" s="2">
        <v>738.5</v>
      </c>
      <c r="E3155" s="2">
        <v>748.25</v>
      </c>
      <c r="F3155" s="2">
        <v>737.25</v>
      </c>
      <c r="G3155" s="2">
        <v>742.79998779296875</v>
      </c>
      <c r="H3155" s="3">
        <v>23837859</v>
      </c>
      <c r="I3155" s="4">
        <f t="shared" si="196"/>
        <v>-0.17</v>
      </c>
      <c r="J3155" s="2">
        <f t="shared" si="197"/>
        <v>5.45</v>
      </c>
      <c r="K3155" s="7">
        <f t="shared" si="198"/>
        <v>46204</v>
      </c>
      <c r="L3155" t="str">
        <f t="shared" si="199"/>
        <v>Q3-2026</v>
      </c>
    </row>
    <row r="3156" spans="1:12">
      <c r="A3156" s="6">
        <v>46227</v>
      </c>
      <c r="B3156" t="s">
        <v>16</v>
      </c>
      <c r="C3156" t="s">
        <v>17</v>
      </c>
      <c r="D3156" s="2">
        <v>1416.061838507173</v>
      </c>
      <c r="E3156" s="2">
        <v>1427.9615178223589</v>
      </c>
      <c r="F3156" s="2">
        <v>1403.5671994361869</v>
      </c>
      <c r="G3156" s="2">
        <v>1420.9208984375</v>
      </c>
      <c r="H3156" s="3">
        <v>10870914</v>
      </c>
      <c r="I3156" s="4">
        <f t="shared" si="196"/>
        <v>-0.88</v>
      </c>
      <c r="J3156" s="2">
        <f t="shared" si="197"/>
        <v>7.04</v>
      </c>
      <c r="K3156" s="7">
        <f t="shared" si="198"/>
        <v>46204</v>
      </c>
      <c r="L3156" t="str">
        <f t="shared" si="199"/>
        <v>Q3-2026</v>
      </c>
    </row>
    <row r="3157" spans="1:12">
      <c r="A3157" s="6">
        <v>46227</v>
      </c>
      <c r="B3157" t="s">
        <v>18</v>
      </c>
      <c r="C3157" t="s">
        <v>19</v>
      </c>
      <c r="D3157" s="2">
        <v>172.03523029813911</v>
      </c>
      <c r="E3157" s="2">
        <v>175.89118632194959</v>
      </c>
      <c r="F3157" s="2">
        <v>170.84878345131199</v>
      </c>
      <c r="G3157" s="2">
        <v>175.1199951171875</v>
      </c>
      <c r="H3157" s="3">
        <v>13282944</v>
      </c>
      <c r="I3157" s="4">
        <f t="shared" si="196"/>
        <v>-0.69</v>
      </c>
      <c r="J3157" s="2">
        <f t="shared" si="197"/>
        <v>0.77</v>
      </c>
      <c r="K3157" s="7">
        <f t="shared" si="198"/>
        <v>46204</v>
      </c>
      <c r="L3157" t="str">
        <f t="shared" si="199"/>
        <v>Q3-2026</v>
      </c>
    </row>
    <row r="3158" spans="1:12">
      <c r="A3158" s="6">
        <v>46227</v>
      </c>
      <c r="B3158" t="s">
        <v>20</v>
      </c>
      <c r="C3158" t="s">
        <v>21</v>
      </c>
      <c r="D3158" s="2">
        <v>1237</v>
      </c>
      <c r="E3158" s="2">
        <v>1276</v>
      </c>
      <c r="F3158" s="2">
        <v>1236.599975585938</v>
      </c>
      <c r="G3158" s="2">
        <v>1271</v>
      </c>
      <c r="H3158" s="3">
        <v>3674904</v>
      </c>
      <c r="I3158" s="4">
        <f t="shared" si="196"/>
        <v>-0.03</v>
      </c>
      <c r="J3158" s="2">
        <f t="shared" si="197"/>
        <v>5</v>
      </c>
      <c r="K3158" s="7">
        <f t="shared" si="198"/>
        <v>46204</v>
      </c>
      <c r="L3158" t="str">
        <f t="shared" si="199"/>
        <v>Q3-2026</v>
      </c>
    </row>
    <row r="3159" spans="1:12">
      <c r="A3159" s="6">
        <v>46227</v>
      </c>
      <c r="B3159" t="s">
        <v>22</v>
      </c>
      <c r="C3159" t="s">
        <v>23</v>
      </c>
      <c r="D3159" s="2">
        <v>1027.300048828125</v>
      </c>
      <c r="E3159" s="2">
        <v>1030.199951171875</v>
      </c>
      <c r="F3159" s="2">
        <v>1001.299987792969</v>
      </c>
      <c r="G3159" s="2">
        <v>1012.799987792969</v>
      </c>
      <c r="H3159" s="3">
        <v>18416962</v>
      </c>
      <c r="I3159" s="4">
        <f t="shared" si="196"/>
        <v>-2.5299999999999998</v>
      </c>
      <c r="J3159" s="2">
        <f t="shared" si="197"/>
        <v>17.399999999999999</v>
      </c>
      <c r="K3159" s="7">
        <f t="shared" si="198"/>
        <v>46204</v>
      </c>
      <c r="L3159" t="str">
        <f t="shared" si="199"/>
        <v>Q3-2026</v>
      </c>
    </row>
    <row r="3160" spans="1:12">
      <c r="A3160" s="6">
        <v>46227</v>
      </c>
      <c r="B3160" t="s">
        <v>24</v>
      </c>
      <c r="C3160" t="s">
        <v>25</v>
      </c>
      <c r="D3160" s="2">
        <v>13207.35795454546</v>
      </c>
      <c r="E3160" s="2">
        <v>13360.81676136364</v>
      </c>
      <c r="F3160" s="2">
        <v>13065.77982954546</v>
      </c>
      <c r="G3160" s="2">
        <v>13308.34375</v>
      </c>
      <c r="H3160" s="3">
        <v>223369</v>
      </c>
      <c r="I3160" s="4">
        <f t="shared" si="196"/>
        <v>-1.07</v>
      </c>
      <c r="J3160" s="2">
        <f t="shared" si="197"/>
        <v>52.47</v>
      </c>
      <c r="K3160" s="7">
        <f t="shared" si="198"/>
        <v>46204</v>
      </c>
      <c r="L3160" t="str">
        <f t="shared" si="199"/>
        <v>Q3-2026</v>
      </c>
    </row>
    <row r="3161" spans="1:12">
      <c r="A3161" s="6">
        <v>46227</v>
      </c>
      <c r="B3161" t="s">
        <v>26</v>
      </c>
      <c r="C3161" t="s">
        <v>27</v>
      </c>
      <c r="D3161" s="2">
        <v>321</v>
      </c>
      <c r="E3161" s="2">
        <v>325.75</v>
      </c>
      <c r="F3161" s="2">
        <v>318.25</v>
      </c>
      <c r="G3161" s="2">
        <v>323.79998779296881</v>
      </c>
      <c r="H3161" s="3">
        <v>7171058</v>
      </c>
      <c r="I3161" s="4">
        <f t="shared" si="196"/>
        <v>-0.86</v>
      </c>
      <c r="J3161" s="2">
        <f t="shared" si="197"/>
        <v>1.95</v>
      </c>
      <c r="K3161" s="7">
        <f t="shared" si="198"/>
        <v>46204</v>
      </c>
      <c r="L3161" t="str">
        <f t="shared" si="199"/>
        <v>Q3-2026</v>
      </c>
    </row>
    <row r="3162" spans="1:12">
      <c r="A3162" s="6">
        <v>46227</v>
      </c>
      <c r="B3162" t="s">
        <v>28</v>
      </c>
      <c r="C3162" t="s">
        <v>29</v>
      </c>
      <c r="D3162" s="2">
        <v>1945</v>
      </c>
      <c r="E3162" s="2">
        <v>1959.800048828125</v>
      </c>
      <c r="F3162" s="2">
        <v>1934.800048828125</v>
      </c>
      <c r="G3162" s="2">
        <v>1941.099975585938</v>
      </c>
      <c r="H3162" s="3">
        <v>1578929</v>
      </c>
      <c r="I3162" s="4">
        <f t="shared" si="196"/>
        <v>-0.52</v>
      </c>
      <c r="J3162" s="2">
        <f t="shared" si="197"/>
        <v>18.7</v>
      </c>
      <c r="K3162" s="7">
        <f t="shared" si="198"/>
        <v>46204</v>
      </c>
      <c r="L3162" t="str">
        <f t="shared" si="199"/>
        <v>Q3-2026</v>
      </c>
    </row>
    <row r="3163" spans="1:12">
      <c r="A3163" s="6">
        <v>46227</v>
      </c>
      <c r="B3163" t="s">
        <v>30</v>
      </c>
      <c r="C3163" t="s">
        <v>31</v>
      </c>
      <c r="D3163" s="2">
        <v>2620.10009765625</v>
      </c>
      <c r="E3163" s="2">
        <v>2657.10009765625</v>
      </c>
      <c r="F3163" s="2">
        <v>2620.10009765625</v>
      </c>
      <c r="G3163" s="2">
        <v>2637.89990234375</v>
      </c>
      <c r="H3163" s="3">
        <v>645563</v>
      </c>
      <c r="I3163" s="4">
        <f t="shared" si="196"/>
        <v>0</v>
      </c>
      <c r="J3163" s="2">
        <f t="shared" si="197"/>
        <v>19.2</v>
      </c>
      <c r="K3163" s="7">
        <f t="shared" si="198"/>
        <v>46204</v>
      </c>
      <c r="L3163" t="str">
        <f t="shared" si="199"/>
        <v>Q3-2026</v>
      </c>
    </row>
    <row r="3164" spans="1:12">
      <c r="A3164" s="6">
        <v>46227</v>
      </c>
      <c r="B3164" t="s">
        <v>32</v>
      </c>
      <c r="C3164" t="s">
        <v>33</v>
      </c>
      <c r="D3164" s="2">
        <v>2148</v>
      </c>
      <c r="E3164" s="2">
        <v>2163</v>
      </c>
      <c r="F3164" s="2">
        <v>2139</v>
      </c>
      <c r="G3164" s="2">
        <v>2145</v>
      </c>
      <c r="H3164" s="3">
        <v>1603494</v>
      </c>
      <c r="I3164" s="4">
        <f t="shared" si="196"/>
        <v>-0.42</v>
      </c>
      <c r="J3164" s="2">
        <f t="shared" si="197"/>
        <v>18</v>
      </c>
      <c r="K3164" s="7">
        <f t="shared" si="198"/>
        <v>46204</v>
      </c>
      <c r="L3164" t="str">
        <f t="shared" si="199"/>
        <v>Q3-2026</v>
      </c>
    </row>
    <row r="3165" spans="1:12">
      <c r="A3165" s="6">
        <v>46227</v>
      </c>
      <c r="B3165" t="s">
        <v>34</v>
      </c>
      <c r="C3165" t="s">
        <v>35</v>
      </c>
      <c r="D3165" s="2">
        <v>3751</v>
      </c>
      <c r="E3165" s="2">
        <v>3805</v>
      </c>
      <c r="F3165" s="2">
        <v>3720</v>
      </c>
      <c r="G3165" s="2">
        <v>3785.60009765625</v>
      </c>
      <c r="H3165" s="3">
        <v>1994087</v>
      </c>
      <c r="I3165" s="4">
        <f t="shared" si="196"/>
        <v>-0.83</v>
      </c>
      <c r="J3165" s="2">
        <f t="shared" si="197"/>
        <v>19.399999999999999</v>
      </c>
      <c r="K3165" s="7">
        <f t="shared" si="198"/>
        <v>46204</v>
      </c>
      <c r="L3165" t="str">
        <f t="shared" si="199"/>
        <v>Q3-2026</v>
      </c>
    </row>
    <row r="3166" spans="1:12">
      <c r="A3166" s="6">
        <v>46227</v>
      </c>
      <c r="B3166" t="s">
        <v>36</v>
      </c>
      <c r="C3166" t="s">
        <v>37</v>
      </c>
      <c r="D3166" s="2">
        <v>1216.800048828125</v>
      </c>
      <c r="E3166" s="2">
        <v>1233.900024414062</v>
      </c>
      <c r="F3166" s="2">
        <v>1210.599975585938</v>
      </c>
      <c r="G3166" s="2">
        <v>1227.300048828125</v>
      </c>
      <c r="H3166" s="3">
        <v>8088828</v>
      </c>
      <c r="I3166" s="4">
        <f t="shared" si="196"/>
        <v>-0.51</v>
      </c>
      <c r="J3166" s="2">
        <f t="shared" si="197"/>
        <v>6.6</v>
      </c>
      <c r="K3166" s="7">
        <f t="shared" si="198"/>
        <v>46204</v>
      </c>
      <c r="L3166" t="str">
        <f t="shared" si="199"/>
        <v>Q3-2026</v>
      </c>
    </row>
    <row r="3167" spans="1:12">
      <c r="A3167" s="6">
        <v>46230</v>
      </c>
      <c r="B3167" t="s">
        <v>8</v>
      </c>
      <c r="C3167" t="s">
        <v>9</v>
      </c>
      <c r="D3167" s="2">
        <v>1288.199951171875</v>
      </c>
      <c r="E3167" s="2">
        <v>1288.699951171875</v>
      </c>
      <c r="F3167" s="2">
        <v>1278</v>
      </c>
      <c r="G3167" s="2">
        <v>1280</v>
      </c>
      <c r="H3167" s="3">
        <v>7163132</v>
      </c>
      <c r="I3167" s="4">
        <f t="shared" si="196"/>
        <v>-0.79</v>
      </c>
      <c r="J3167" s="2">
        <f t="shared" si="197"/>
        <v>8.6999999999999993</v>
      </c>
      <c r="K3167" s="7">
        <f t="shared" si="198"/>
        <v>46204</v>
      </c>
      <c r="L3167" t="str">
        <f t="shared" si="199"/>
        <v>Q3-2026</v>
      </c>
    </row>
    <row r="3168" spans="1:12">
      <c r="A3168" s="6">
        <v>46230</v>
      </c>
      <c r="B3168" t="s">
        <v>10</v>
      </c>
      <c r="C3168" t="s">
        <v>11</v>
      </c>
      <c r="D3168" s="2">
        <v>2286</v>
      </c>
      <c r="E3168" s="2">
        <v>2315</v>
      </c>
      <c r="F3168" s="2">
        <v>2272.39990234375</v>
      </c>
      <c r="G3168" s="2">
        <v>2295.60009765625</v>
      </c>
      <c r="H3168" s="3">
        <v>4007292</v>
      </c>
      <c r="I3168" s="4">
        <f t="shared" si="196"/>
        <v>-0.59</v>
      </c>
      <c r="J3168" s="2">
        <f t="shared" si="197"/>
        <v>19.399999999999999</v>
      </c>
      <c r="K3168" s="7">
        <f t="shared" si="198"/>
        <v>46204</v>
      </c>
      <c r="L3168" t="str">
        <f t="shared" si="199"/>
        <v>Q3-2026</v>
      </c>
    </row>
    <row r="3169" spans="1:12">
      <c r="A3169" s="6">
        <v>46230</v>
      </c>
      <c r="B3169" t="s">
        <v>12</v>
      </c>
      <c r="C3169" t="s">
        <v>13</v>
      </c>
      <c r="D3169" s="2">
        <v>1065</v>
      </c>
      <c r="E3169" s="2">
        <v>1082</v>
      </c>
      <c r="F3169" s="2">
        <v>1057.400024414062</v>
      </c>
      <c r="G3169" s="2">
        <v>1079.199951171875</v>
      </c>
      <c r="H3169" s="3">
        <v>15956349</v>
      </c>
      <c r="I3169" s="4">
        <f t="shared" si="196"/>
        <v>-0.71</v>
      </c>
      <c r="J3169" s="2">
        <f t="shared" si="197"/>
        <v>2.8</v>
      </c>
      <c r="K3169" s="7">
        <f t="shared" si="198"/>
        <v>46204</v>
      </c>
      <c r="L3169" t="str">
        <f t="shared" si="199"/>
        <v>Q3-2026</v>
      </c>
    </row>
    <row r="3170" spans="1:12">
      <c r="A3170" s="6">
        <v>46230</v>
      </c>
      <c r="B3170" t="s">
        <v>14</v>
      </c>
      <c r="C3170" t="s">
        <v>15</v>
      </c>
      <c r="D3170" s="2">
        <v>746.0999755859375</v>
      </c>
      <c r="E3170" s="2">
        <v>747.95001220703125</v>
      </c>
      <c r="F3170" s="2">
        <v>738.0999755859375</v>
      </c>
      <c r="G3170" s="2">
        <v>739.54998779296875</v>
      </c>
      <c r="H3170" s="3">
        <v>29678752</v>
      </c>
      <c r="I3170" s="4">
        <f t="shared" si="196"/>
        <v>-1.07</v>
      </c>
      <c r="J3170" s="2">
        <f t="shared" si="197"/>
        <v>8.4</v>
      </c>
      <c r="K3170" s="7">
        <f t="shared" si="198"/>
        <v>46204</v>
      </c>
      <c r="L3170" t="str">
        <f t="shared" si="199"/>
        <v>Q3-2026</v>
      </c>
    </row>
    <row r="3171" spans="1:12">
      <c r="A3171" s="6">
        <v>46230</v>
      </c>
      <c r="B3171" t="s">
        <v>16</v>
      </c>
      <c r="C3171" t="s">
        <v>17</v>
      </c>
      <c r="D3171" s="2">
        <v>1423.6974916567499</v>
      </c>
      <c r="E3171" s="2">
        <v>1436.8863520032719</v>
      </c>
      <c r="F3171" s="2">
        <v>1416.8552725346731</v>
      </c>
      <c r="G3171" s="2">
        <v>1433.613891601562</v>
      </c>
      <c r="H3171" s="3">
        <v>10608300</v>
      </c>
      <c r="I3171" s="4">
        <f t="shared" si="196"/>
        <v>-0.48</v>
      </c>
      <c r="J3171" s="2">
        <f t="shared" si="197"/>
        <v>3.27</v>
      </c>
      <c r="K3171" s="7">
        <f t="shared" si="198"/>
        <v>46204</v>
      </c>
      <c r="L3171" t="str">
        <f t="shared" si="199"/>
        <v>Q3-2026</v>
      </c>
    </row>
    <row r="3172" spans="1:12">
      <c r="A3172" s="6">
        <v>46230</v>
      </c>
      <c r="B3172" t="s">
        <v>18</v>
      </c>
      <c r="C3172" t="s">
        <v>19</v>
      </c>
      <c r="D3172" s="2">
        <v>177.5</v>
      </c>
      <c r="E3172" s="2">
        <v>178.7799987792969</v>
      </c>
      <c r="F3172" s="2">
        <v>175.61000061035159</v>
      </c>
      <c r="G3172" s="2">
        <v>178.5299987792969</v>
      </c>
      <c r="H3172" s="3">
        <v>12504426</v>
      </c>
      <c r="I3172" s="4">
        <f t="shared" si="196"/>
        <v>-1.06</v>
      </c>
      <c r="J3172" s="2">
        <f t="shared" si="197"/>
        <v>0.25</v>
      </c>
      <c r="K3172" s="7">
        <f t="shared" si="198"/>
        <v>46204</v>
      </c>
      <c r="L3172" t="str">
        <f t="shared" si="199"/>
        <v>Q3-2026</v>
      </c>
    </row>
    <row r="3173" spans="1:12">
      <c r="A3173" s="6">
        <v>46230</v>
      </c>
      <c r="B3173" t="s">
        <v>20</v>
      </c>
      <c r="C3173" t="s">
        <v>21</v>
      </c>
      <c r="D3173" s="2">
        <v>1284.599975585938</v>
      </c>
      <c r="E3173" s="2">
        <v>1303</v>
      </c>
      <c r="F3173" s="2">
        <v>1277.300048828125</v>
      </c>
      <c r="G3173" s="2">
        <v>1295.900024414062</v>
      </c>
      <c r="H3173" s="3">
        <v>3847049</v>
      </c>
      <c r="I3173" s="4">
        <f t="shared" si="196"/>
        <v>-0.56999999999999995</v>
      </c>
      <c r="J3173" s="2">
        <f t="shared" si="197"/>
        <v>7.1</v>
      </c>
      <c r="K3173" s="7">
        <f t="shared" si="198"/>
        <v>46204</v>
      </c>
      <c r="L3173" t="str">
        <f t="shared" si="199"/>
        <v>Q3-2026</v>
      </c>
    </row>
    <row r="3174" spans="1:12">
      <c r="A3174" s="6">
        <v>46230</v>
      </c>
      <c r="B3174" t="s">
        <v>22</v>
      </c>
      <c r="C3174" t="s">
        <v>23</v>
      </c>
      <c r="D3174" s="2">
        <v>1026.699951171875</v>
      </c>
      <c r="E3174" s="2">
        <v>1050</v>
      </c>
      <c r="F3174" s="2">
        <v>1026.599975585938</v>
      </c>
      <c r="G3174" s="2">
        <v>1048.300048828125</v>
      </c>
      <c r="H3174" s="3">
        <v>7610916</v>
      </c>
      <c r="I3174" s="4">
        <f t="shared" si="196"/>
        <v>-0.01</v>
      </c>
      <c r="J3174" s="2">
        <f t="shared" si="197"/>
        <v>1.7</v>
      </c>
      <c r="K3174" s="7">
        <f t="shared" si="198"/>
        <v>46204</v>
      </c>
      <c r="L3174" t="str">
        <f t="shared" si="199"/>
        <v>Q3-2026</v>
      </c>
    </row>
    <row r="3175" spans="1:12">
      <c r="A3175" s="6">
        <v>46230</v>
      </c>
      <c r="B3175" t="s">
        <v>24</v>
      </c>
      <c r="C3175" t="s">
        <v>25</v>
      </c>
      <c r="D3175" s="2">
        <v>13443.98188529907</v>
      </c>
      <c r="E3175" s="2">
        <v>13623.18217407138</v>
      </c>
      <c r="F3175" s="2">
        <v>13366.757451463491</v>
      </c>
      <c r="G3175" s="2">
        <v>13593.48046875</v>
      </c>
      <c r="H3175" s="3">
        <v>333477</v>
      </c>
      <c r="I3175" s="4">
        <f t="shared" si="196"/>
        <v>-0.56999999999999995</v>
      </c>
      <c r="J3175" s="2">
        <f t="shared" si="197"/>
        <v>29.7</v>
      </c>
      <c r="K3175" s="7">
        <f t="shared" si="198"/>
        <v>46204</v>
      </c>
      <c r="L3175" t="str">
        <f t="shared" si="199"/>
        <v>Q3-2026</v>
      </c>
    </row>
    <row r="3176" spans="1:12">
      <c r="A3176" s="6">
        <v>46230</v>
      </c>
      <c r="B3176" t="s">
        <v>26</v>
      </c>
      <c r="C3176" t="s">
        <v>27</v>
      </c>
      <c r="D3176" s="2">
        <v>326.75</v>
      </c>
      <c r="E3176" s="2">
        <v>329.04998779296881</v>
      </c>
      <c r="F3176" s="2">
        <v>326.10000610351563</v>
      </c>
      <c r="G3176" s="2">
        <v>327.64999389648438</v>
      </c>
      <c r="H3176" s="3">
        <v>4777294</v>
      </c>
      <c r="I3176" s="4">
        <f t="shared" si="196"/>
        <v>-0.2</v>
      </c>
      <c r="J3176" s="2">
        <f t="shared" si="197"/>
        <v>1.4</v>
      </c>
      <c r="K3176" s="7">
        <f t="shared" si="198"/>
        <v>46204</v>
      </c>
      <c r="L3176" t="str">
        <f t="shared" si="199"/>
        <v>Q3-2026</v>
      </c>
    </row>
    <row r="3177" spans="1:12">
      <c r="A3177" s="6">
        <v>46230</v>
      </c>
      <c r="B3177" t="s">
        <v>28</v>
      </c>
      <c r="C3177" t="s">
        <v>29</v>
      </c>
      <c r="D3177" s="2">
        <v>1948.5</v>
      </c>
      <c r="E3177" s="2">
        <v>1977</v>
      </c>
      <c r="F3177" s="2">
        <v>1933</v>
      </c>
      <c r="G3177" s="2">
        <v>1973.699951171875</v>
      </c>
      <c r="H3177" s="3">
        <v>5414380</v>
      </c>
      <c r="I3177" s="4">
        <f t="shared" si="196"/>
        <v>-0.8</v>
      </c>
      <c r="J3177" s="2">
        <f t="shared" si="197"/>
        <v>3.3</v>
      </c>
      <c r="K3177" s="7">
        <f t="shared" si="198"/>
        <v>46204</v>
      </c>
      <c r="L3177" t="str">
        <f t="shared" si="199"/>
        <v>Q3-2026</v>
      </c>
    </row>
    <row r="3178" spans="1:12">
      <c r="A3178" s="6">
        <v>46230</v>
      </c>
      <c r="B3178" t="s">
        <v>30</v>
      </c>
      <c r="C3178" t="s">
        <v>31</v>
      </c>
      <c r="D3178" s="2">
        <v>2665.800048828125</v>
      </c>
      <c r="E3178" s="2">
        <v>2723.89990234375</v>
      </c>
      <c r="F3178" s="2">
        <v>2664.300048828125</v>
      </c>
      <c r="G3178" s="2">
        <v>2710.199951171875</v>
      </c>
      <c r="H3178" s="3">
        <v>715239</v>
      </c>
      <c r="I3178" s="4">
        <f t="shared" si="196"/>
        <v>-0.06</v>
      </c>
      <c r="J3178" s="2">
        <f t="shared" si="197"/>
        <v>13.7</v>
      </c>
      <c r="K3178" s="7">
        <f t="shared" si="198"/>
        <v>46204</v>
      </c>
      <c r="L3178" t="str">
        <f t="shared" si="199"/>
        <v>Q3-2026</v>
      </c>
    </row>
    <row r="3179" spans="1:12">
      <c r="A3179" s="6">
        <v>46230</v>
      </c>
      <c r="B3179" t="s">
        <v>32</v>
      </c>
      <c r="C3179" t="s">
        <v>33</v>
      </c>
      <c r="D3179" s="2">
        <v>2155</v>
      </c>
      <c r="E3179" s="2">
        <v>2181.300048828125</v>
      </c>
      <c r="F3179" s="2">
        <v>2152.39990234375</v>
      </c>
      <c r="G3179" s="2">
        <v>2174.60009765625</v>
      </c>
      <c r="H3179" s="3">
        <v>698681</v>
      </c>
      <c r="I3179" s="4">
        <f t="shared" si="196"/>
        <v>-0.12</v>
      </c>
      <c r="J3179" s="2">
        <f t="shared" si="197"/>
        <v>6.7</v>
      </c>
      <c r="K3179" s="7">
        <f t="shared" si="198"/>
        <v>46204</v>
      </c>
      <c r="L3179" t="str">
        <f t="shared" si="199"/>
        <v>Q3-2026</v>
      </c>
    </row>
    <row r="3180" spans="1:12">
      <c r="A3180" s="6">
        <v>46230</v>
      </c>
      <c r="B3180" t="s">
        <v>34</v>
      </c>
      <c r="C3180" t="s">
        <v>35</v>
      </c>
      <c r="D3180" s="2">
        <v>3820</v>
      </c>
      <c r="E3180" s="2">
        <v>3837.300048828125</v>
      </c>
      <c r="F3180" s="2">
        <v>3798.699951171875</v>
      </c>
      <c r="G3180" s="2">
        <v>3806</v>
      </c>
      <c r="H3180" s="3">
        <v>1454211</v>
      </c>
      <c r="I3180" s="4">
        <f t="shared" si="196"/>
        <v>-0.56000000000000005</v>
      </c>
      <c r="J3180" s="2">
        <f t="shared" si="197"/>
        <v>31.3</v>
      </c>
      <c r="K3180" s="7">
        <f t="shared" si="198"/>
        <v>46204</v>
      </c>
      <c r="L3180" t="str">
        <f t="shared" si="199"/>
        <v>Q3-2026</v>
      </c>
    </row>
    <row r="3181" spans="1:12">
      <c r="A3181" s="6">
        <v>46230</v>
      </c>
      <c r="B3181" t="s">
        <v>36</v>
      </c>
      <c r="C3181" t="s">
        <v>37</v>
      </c>
      <c r="D3181" s="2">
        <v>1237</v>
      </c>
      <c r="E3181" s="2">
        <v>1237</v>
      </c>
      <c r="F3181" s="2">
        <v>1221.599975585938</v>
      </c>
      <c r="G3181" s="2">
        <v>1227.5</v>
      </c>
      <c r="H3181" s="3">
        <v>5967502</v>
      </c>
      <c r="I3181" s="4">
        <f t="shared" si="196"/>
        <v>-1.24</v>
      </c>
      <c r="J3181" s="2">
        <f t="shared" si="197"/>
        <v>9.5</v>
      </c>
      <c r="K3181" s="7">
        <f t="shared" si="198"/>
        <v>46204</v>
      </c>
      <c r="L3181" t="str">
        <f t="shared" si="199"/>
        <v>Q3-2026</v>
      </c>
    </row>
    <row r="3182" spans="1:12">
      <c r="A3182" s="6">
        <v>46231</v>
      </c>
      <c r="B3182" t="s">
        <v>8</v>
      </c>
      <c r="C3182" t="s">
        <v>9</v>
      </c>
      <c r="D3182" s="2">
        <v>1275</v>
      </c>
      <c r="E3182" s="2">
        <v>1279.199951171875</v>
      </c>
      <c r="F3182" s="2">
        <v>1265.900024414062</v>
      </c>
      <c r="G3182" s="2">
        <v>1267.699951171875</v>
      </c>
      <c r="H3182" s="3">
        <v>9312184</v>
      </c>
      <c r="I3182" s="4">
        <f t="shared" si="196"/>
        <v>-0.71</v>
      </c>
      <c r="J3182" s="2">
        <f t="shared" si="197"/>
        <v>11.5</v>
      </c>
      <c r="K3182" s="7">
        <f t="shared" si="198"/>
        <v>46204</v>
      </c>
      <c r="L3182" t="str">
        <f t="shared" si="199"/>
        <v>Q3-2026</v>
      </c>
    </row>
    <row r="3183" spans="1:12">
      <c r="A3183" s="6">
        <v>46231</v>
      </c>
      <c r="B3183" t="s">
        <v>10</v>
      </c>
      <c r="C3183" t="s">
        <v>11</v>
      </c>
      <c r="D3183" s="2">
        <v>2325</v>
      </c>
      <c r="E3183" s="2">
        <v>2417.39990234375</v>
      </c>
      <c r="F3183" s="2">
        <v>2323</v>
      </c>
      <c r="G3183" s="2">
        <v>2398</v>
      </c>
      <c r="H3183" s="3">
        <v>8248513</v>
      </c>
      <c r="I3183" s="4">
        <f t="shared" si="196"/>
        <v>-0.09</v>
      </c>
      <c r="J3183" s="2">
        <f t="shared" si="197"/>
        <v>19.399999999999999</v>
      </c>
      <c r="K3183" s="7">
        <f t="shared" si="198"/>
        <v>46204</v>
      </c>
      <c r="L3183" t="str">
        <f t="shared" si="199"/>
        <v>Q3-2026</v>
      </c>
    </row>
    <row r="3184" spans="1:12">
      <c r="A3184" s="6">
        <v>46231</v>
      </c>
      <c r="B3184" t="s">
        <v>12</v>
      </c>
      <c r="C3184" t="s">
        <v>13</v>
      </c>
      <c r="D3184" s="2">
        <v>1097</v>
      </c>
      <c r="E3184" s="2">
        <v>1118.5</v>
      </c>
      <c r="F3184" s="2">
        <v>1097</v>
      </c>
      <c r="G3184" s="2">
        <v>1105.699951171875</v>
      </c>
      <c r="H3184" s="3">
        <v>28100895</v>
      </c>
      <c r="I3184" s="4">
        <f t="shared" si="196"/>
        <v>0</v>
      </c>
      <c r="J3184" s="2">
        <f t="shared" si="197"/>
        <v>12.8</v>
      </c>
      <c r="K3184" s="7">
        <f t="shared" si="198"/>
        <v>46204</v>
      </c>
      <c r="L3184" t="str">
        <f t="shared" si="199"/>
        <v>Q3-2026</v>
      </c>
    </row>
    <row r="3185" spans="1:12">
      <c r="A3185" s="6">
        <v>46231</v>
      </c>
      <c r="B3185" t="s">
        <v>14</v>
      </c>
      <c r="C3185" t="s">
        <v>15</v>
      </c>
      <c r="D3185" s="2">
        <v>732</v>
      </c>
      <c r="E3185" s="2">
        <v>740.25</v>
      </c>
      <c r="F3185" s="2">
        <v>732</v>
      </c>
      <c r="G3185" s="2">
        <v>735.4000244140625</v>
      </c>
      <c r="H3185" s="3">
        <v>33886037</v>
      </c>
      <c r="I3185" s="4">
        <f t="shared" si="196"/>
        <v>0</v>
      </c>
      <c r="J3185" s="2">
        <f t="shared" si="197"/>
        <v>4.8499999999999996</v>
      </c>
      <c r="K3185" s="7">
        <f t="shared" si="198"/>
        <v>46204</v>
      </c>
      <c r="L3185" t="str">
        <f t="shared" si="199"/>
        <v>Q3-2026</v>
      </c>
    </row>
    <row r="3186" spans="1:12">
      <c r="A3186" s="6">
        <v>46231</v>
      </c>
      <c r="B3186" t="s">
        <v>16</v>
      </c>
      <c r="C3186" t="s">
        <v>17</v>
      </c>
      <c r="D3186" s="2">
        <v>1430.2423604987889</v>
      </c>
      <c r="E3186" s="2">
        <v>1433.812240139265</v>
      </c>
      <c r="F3186" s="2">
        <v>1405.7487808950841</v>
      </c>
      <c r="G3186" s="2">
        <v>1418.838500976562</v>
      </c>
      <c r="H3186" s="3">
        <v>19486209</v>
      </c>
      <c r="I3186" s="4">
        <f t="shared" si="196"/>
        <v>-1.71</v>
      </c>
      <c r="J3186" s="2">
        <f t="shared" si="197"/>
        <v>14.97</v>
      </c>
      <c r="K3186" s="7">
        <f t="shared" si="198"/>
        <v>46204</v>
      </c>
      <c r="L3186" t="str">
        <f t="shared" si="199"/>
        <v>Q3-2026</v>
      </c>
    </row>
    <row r="3187" spans="1:12">
      <c r="A3187" s="6">
        <v>46231</v>
      </c>
      <c r="B3187" t="s">
        <v>18</v>
      </c>
      <c r="C3187" t="s">
        <v>19</v>
      </c>
      <c r="D3187" s="2">
        <v>178.55000305175781</v>
      </c>
      <c r="E3187" s="2">
        <v>181.69999694824219</v>
      </c>
      <c r="F3187" s="2">
        <v>178.55000305175781</v>
      </c>
      <c r="G3187" s="2">
        <v>181.1199951171875</v>
      </c>
      <c r="H3187" s="3">
        <v>26873060</v>
      </c>
      <c r="I3187" s="4">
        <f t="shared" si="196"/>
        <v>0</v>
      </c>
      <c r="J3187" s="2">
        <f t="shared" si="197"/>
        <v>0.57999999999999996</v>
      </c>
      <c r="K3187" s="7">
        <f t="shared" si="198"/>
        <v>46204</v>
      </c>
      <c r="L3187" t="str">
        <f t="shared" si="199"/>
        <v>Q3-2026</v>
      </c>
    </row>
    <row r="3188" spans="1:12">
      <c r="A3188" s="6">
        <v>46231</v>
      </c>
      <c r="B3188" t="s">
        <v>20</v>
      </c>
      <c r="C3188" t="s">
        <v>21</v>
      </c>
      <c r="D3188" s="2">
        <v>1301</v>
      </c>
      <c r="E3188" s="2">
        <v>1342</v>
      </c>
      <c r="F3188" s="2">
        <v>1301</v>
      </c>
      <c r="G3188" s="2">
        <v>1318.599975585938</v>
      </c>
      <c r="H3188" s="3">
        <v>5187064</v>
      </c>
      <c r="I3188" s="4">
        <f t="shared" si="196"/>
        <v>0</v>
      </c>
      <c r="J3188" s="2">
        <f t="shared" si="197"/>
        <v>23.4</v>
      </c>
      <c r="K3188" s="7">
        <f t="shared" si="198"/>
        <v>46204</v>
      </c>
      <c r="L3188" t="str">
        <f t="shared" si="199"/>
        <v>Q3-2026</v>
      </c>
    </row>
    <row r="3189" spans="1:12">
      <c r="A3189" s="6">
        <v>46231</v>
      </c>
      <c r="B3189" t="s">
        <v>22</v>
      </c>
      <c r="C3189" t="s">
        <v>23</v>
      </c>
      <c r="D3189" s="2">
        <v>1049</v>
      </c>
      <c r="E3189" s="2">
        <v>1055</v>
      </c>
      <c r="F3189" s="2">
        <v>1042.400024414062</v>
      </c>
      <c r="G3189" s="2">
        <v>1048.400024414062</v>
      </c>
      <c r="H3189" s="3">
        <v>4726447</v>
      </c>
      <c r="I3189" s="4">
        <f t="shared" si="196"/>
        <v>-0.63</v>
      </c>
      <c r="J3189" s="2">
        <f t="shared" si="197"/>
        <v>6.6</v>
      </c>
      <c r="K3189" s="7">
        <f t="shared" si="198"/>
        <v>46204</v>
      </c>
      <c r="L3189" t="str">
        <f t="shared" si="199"/>
        <v>Q3-2026</v>
      </c>
    </row>
    <row r="3190" spans="1:12">
      <c r="A3190" s="6">
        <v>46231</v>
      </c>
      <c r="B3190" t="s">
        <v>24</v>
      </c>
      <c r="C3190" t="s">
        <v>25</v>
      </c>
      <c r="D3190" s="2">
        <v>13592.48952696507</v>
      </c>
      <c r="E3190" s="2">
        <v>13710.30628373605</v>
      </c>
      <c r="F3190" s="2">
        <v>13533.086120189781</v>
      </c>
      <c r="G3190" s="2">
        <v>13664.763671875</v>
      </c>
      <c r="H3190" s="3">
        <v>481068</v>
      </c>
      <c r="I3190" s="4">
        <f t="shared" si="196"/>
        <v>-0.44</v>
      </c>
      <c r="J3190" s="2">
        <f t="shared" si="197"/>
        <v>45.54</v>
      </c>
      <c r="K3190" s="7">
        <f t="shared" si="198"/>
        <v>46204</v>
      </c>
      <c r="L3190" t="str">
        <f t="shared" si="199"/>
        <v>Q3-2026</v>
      </c>
    </row>
    <row r="3191" spans="1:12">
      <c r="A3191" s="6">
        <v>46231</v>
      </c>
      <c r="B3191" t="s">
        <v>26</v>
      </c>
      <c r="C3191" t="s">
        <v>27</v>
      </c>
      <c r="D3191" s="2">
        <v>327</v>
      </c>
      <c r="E3191" s="2">
        <v>327.35000610351563</v>
      </c>
      <c r="F3191" s="2">
        <v>322.79998779296881</v>
      </c>
      <c r="G3191" s="2">
        <v>324.39999389648438</v>
      </c>
      <c r="H3191" s="3">
        <v>6650930</v>
      </c>
      <c r="I3191" s="4">
        <f t="shared" si="196"/>
        <v>-1.28</v>
      </c>
      <c r="J3191" s="2">
        <f t="shared" si="197"/>
        <v>2.95</v>
      </c>
      <c r="K3191" s="7">
        <f t="shared" si="198"/>
        <v>46204</v>
      </c>
      <c r="L3191" t="str">
        <f t="shared" si="199"/>
        <v>Q3-2026</v>
      </c>
    </row>
    <row r="3192" spans="1:12">
      <c r="A3192" s="6">
        <v>46231</v>
      </c>
      <c r="B3192" t="s">
        <v>28</v>
      </c>
      <c r="C3192" t="s">
        <v>29</v>
      </c>
      <c r="D3192" s="2">
        <v>1978.800048828125</v>
      </c>
      <c r="E3192" s="2">
        <v>1993</v>
      </c>
      <c r="F3192" s="2">
        <v>1970.900024414062</v>
      </c>
      <c r="G3192" s="2">
        <v>1976.699951171875</v>
      </c>
      <c r="H3192" s="3">
        <v>4579529</v>
      </c>
      <c r="I3192" s="4">
        <f t="shared" si="196"/>
        <v>-0.4</v>
      </c>
      <c r="J3192" s="2">
        <f t="shared" si="197"/>
        <v>16.3</v>
      </c>
      <c r="K3192" s="7">
        <f t="shared" si="198"/>
        <v>46204</v>
      </c>
      <c r="L3192" t="str">
        <f t="shared" si="199"/>
        <v>Q3-2026</v>
      </c>
    </row>
    <row r="3193" spans="1:12">
      <c r="A3193" s="6">
        <v>46231</v>
      </c>
      <c r="B3193" t="s">
        <v>30</v>
      </c>
      <c r="C3193" t="s">
        <v>31</v>
      </c>
      <c r="D3193" s="2">
        <v>2712</v>
      </c>
      <c r="E3193" s="2">
        <v>2749.800048828125</v>
      </c>
      <c r="F3193" s="2">
        <v>2706.300048828125</v>
      </c>
      <c r="G3193" s="2">
        <v>2736.199951171875</v>
      </c>
      <c r="H3193" s="3">
        <v>1282146</v>
      </c>
      <c r="I3193" s="4">
        <f t="shared" si="196"/>
        <v>-0.21</v>
      </c>
      <c r="J3193" s="2">
        <f t="shared" si="197"/>
        <v>13.6</v>
      </c>
      <c r="K3193" s="7">
        <f t="shared" si="198"/>
        <v>46204</v>
      </c>
      <c r="L3193" t="str">
        <f t="shared" si="199"/>
        <v>Q3-2026</v>
      </c>
    </row>
    <row r="3194" spans="1:12">
      <c r="A3194" s="6">
        <v>46231</v>
      </c>
      <c r="B3194" t="s">
        <v>32</v>
      </c>
      <c r="C3194" t="s">
        <v>33</v>
      </c>
      <c r="D3194" s="2">
        <v>2174.60009765625</v>
      </c>
      <c r="E3194" s="2">
        <v>2213</v>
      </c>
      <c r="F3194" s="2">
        <v>2016</v>
      </c>
      <c r="G3194" s="2">
        <v>2022.699951171875</v>
      </c>
      <c r="H3194" s="3">
        <v>9947304</v>
      </c>
      <c r="I3194" s="4">
        <f t="shared" si="196"/>
        <v>-7.29</v>
      </c>
      <c r="J3194" s="2">
        <f t="shared" si="197"/>
        <v>190.3</v>
      </c>
      <c r="K3194" s="7">
        <f t="shared" si="198"/>
        <v>46204</v>
      </c>
      <c r="L3194" t="str">
        <f t="shared" si="199"/>
        <v>Q3-2026</v>
      </c>
    </row>
    <row r="3195" spans="1:12">
      <c r="A3195" s="6">
        <v>46231</v>
      </c>
      <c r="B3195" t="s">
        <v>34</v>
      </c>
      <c r="C3195" t="s">
        <v>35</v>
      </c>
      <c r="D3195" s="2">
        <v>3812</v>
      </c>
      <c r="E3195" s="2">
        <v>3837</v>
      </c>
      <c r="F3195" s="2">
        <v>3793</v>
      </c>
      <c r="G3195" s="2">
        <v>3832</v>
      </c>
      <c r="H3195" s="3">
        <v>1702441</v>
      </c>
      <c r="I3195" s="4">
        <f t="shared" si="196"/>
        <v>-0.5</v>
      </c>
      <c r="J3195" s="2">
        <f t="shared" si="197"/>
        <v>5</v>
      </c>
      <c r="K3195" s="7">
        <f t="shared" si="198"/>
        <v>46204</v>
      </c>
      <c r="L3195" t="str">
        <f t="shared" si="199"/>
        <v>Q3-2026</v>
      </c>
    </row>
    <row r="3196" spans="1:12">
      <c r="A3196" s="6">
        <v>46231</v>
      </c>
      <c r="B3196" t="s">
        <v>36</v>
      </c>
      <c r="C3196" t="s">
        <v>37</v>
      </c>
      <c r="D3196" s="2">
        <v>1222.5</v>
      </c>
      <c r="E3196" s="2">
        <v>1233.900024414062</v>
      </c>
      <c r="F3196" s="2">
        <v>1219.699951171875</v>
      </c>
      <c r="G3196" s="2">
        <v>1223.5</v>
      </c>
      <c r="H3196" s="3">
        <v>6093182</v>
      </c>
      <c r="I3196" s="4">
        <f t="shared" si="196"/>
        <v>-0.23</v>
      </c>
      <c r="J3196" s="2">
        <f t="shared" si="197"/>
        <v>10.4</v>
      </c>
      <c r="K3196" s="7">
        <f t="shared" si="198"/>
        <v>46204</v>
      </c>
      <c r="L3196" t="str">
        <f t="shared" si="199"/>
        <v>Q3-2026</v>
      </c>
    </row>
    <row r="3197" spans="1:12">
      <c r="A3197" s="6">
        <v>46232</v>
      </c>
      <c r="B3197" t="s">
        <v>8</v>
      </c>
      <c r="C3197" t="s">
        <v>9</v>
      </c>
      <c r="D3197" s="2">
        <v>1275</v>
      </c>
      <c r="E3197" s="2">
        <v>1282.400024414062</v>
      </c>
      <c r="F3197" s="2">
        <v>1268.699951171875</v>
      </c>
      <c r="G3197" s="2">
        <v>1275.900024414062</v>
      </c>
      <c r="H3197" s="3">
        <v>9448307</v>
      </c>
      <c r="I3197" s="4">
        <f t="shared" si="196"/>
        <v>-0.49</v>
      </c>
      <c r="J3197" s="2">
        <f t="shared" si="197"/>
        <v>6.5</v>
      </c>
      <c r="K3197" s="7">
        <f t="shared" si="198"/>
        <v>46204</v>
      </c>
      <c r="L3197" t="str">
        <f t="shared" si="199"/>
        <v>Q3-2026</v>
      </c>
    </row>
    <row r="3198" spans="1:12">
      <c r="A3198" s="6">
        <v>46232</v>
      </c>
      <c r="B3198" t="s">
        <v>10</v>
      </c>
      <c r="C3198" t="s">
        <v>11</v>
      </c>
      <c r="D3198" s="2">
        <v>2440</v>
      </c>
      <c r="E3198" s="2">
        <v>2475.5</v>
      </c>
      <c r="F3198" s="2">
        <v>2415.10009765625</v>
      </c>
      <c r="G3198" s="2">
        <v>2446.60009765625</v>
      </c>
      <c r="H3198" s="3">
        <v>7169419</v>
      </c>
      <c r="I3198" s="4">
        <f t="shared" si="196"/>
        <v>-1.02</v>
      </c>
      <c r="J3198" s="2">
        <f t="shared" si="197"/>
        <v>28.9</v>
      </c>
      <c r="K3198" s="7">
        <f t="shared" si="198"/>
        <v>46204</v>
      </c>
      <c r="L3198" t="str">
        <f t="shared" si="199"/>
        <v>Q3-2026</v>
      </c>
    </row>
    <row r="3199" spans="1:12">
      <c r="A3199" s="6">
        <v>46232</v>
      </c>
      <c r="B3199" t="s">
        <v>12</v>
      </c>
      <c r="C3199" t="s">
        <v>13</v>
      </c>
      <c r="D3199" s="2">
        <v>1147</v>
      </c>
      <c r="E3199" s="2">
        <v>1164.5</v>
      </c>
      <c r="F3199" s="2">
        <v>1128.400024414062</v>
      </c>
      <c r="G3199" s="2">
        <v>1155.599975585938</v>
      </c>
      <c r="H3199" s="3">
        <v>34400369</v>
      </c>
      <c r="I3199" s="4">
        <f t="shared" si="196"/>
        <v>-1.62</v>
      </c>
      <c r="J3199" s="2">
        <f t="shared" si="197"/>
        <v>8.9</v>
      </c>
      <c r="K3199" s="7">
        <f t="shared" si="198"/>
        <v>46204</v>
      </c>
      <c r="L3199" t="str">
        <f t="shared" si="199"/>
        <v>Q3-2026</v>
      </c>
    </row>
    <row r="3200" spans="1:12">
      <c r="A3200" s="6">
        <v>46232</v>
      </c>
      <c r="B3200" t="s">
        <v>14</v>
      </c>
      <c r="C3200" t="s">
        <v>15</v>
      </c>
      <c r="D3200" s="2">
        <v>743</v>
      </c>
      <c r="E3200" s="2">
        <v>751.25</v>
      </c>
      <c r="F3200" s="2">
        <v>740.79998779296875</v>
      </c>
      <c r="G3200" s="2">
        <v>748.20001220703125</v>
      </c>
      <c r="H3200" s="3">
        <v>20460659</v>
      </c>
      <c r="I3200" s="4">
        <f t="shared" si="196"/>
        <v>-0.3</v>
      </c>
      <c r="J3200" s="2">
        <f t="shared" si="197"/>
        <v>3.05</v>
      </c>
      <c r="K3200" s="7">
        <f t="shared" si="198"/>
        <v>46204</v>
      </c>
      <c r="L3200" t="str">
        <f t="shared" si="199"/>
        <v>Q3-2026</v>
      </c>
    </row>
    <row r="3201" spans="1:12">
      <c r="A3201" s="6">
        <v>46232</v>
      </c>
      <c r="B3201" t="s">
        <v>16</v>
      </c>
      <c r="C3201" t="s">
        <v>17</v>
      </c>
      <c r="D3201" s="2">
        <v>1430.4406700852689</v>
      </c>
      <c r="E3201" s="2">
        <v>1436.390509960841</v>
      </c>
      <c r="F3201" s="2">
        <v>1416.5577103756029</v>
      </c>
      <c r="G3201" s="2">
        <v>1425.879150390625</v>
      </c>
      <c r="H3201" s="3">
        <v>10856166</v>
      </c>
      <c r="I3201" s="4">
        <f t="shared" si="196"/>
        <v>-0.97</v>
      </c>
      <c r="J3201" s="2">
        <f t="shared" si="197"/>
        <v>10.51</v>
      </c>
      <c r="K3201" s="7">
        <f t="shared" si="198"/>
        <v>46204</v>
      </c>
      <c r="L3201" t="str">
        <f t="shared" si="199"/>
        <v>Q3-2026</v>
      </c>
    </row>
    <row r="3202" spans="1:12">
      <c r="A3202" s="6">
        <v>46232</v>
      </c>
      <c r="B3202" t="s">
        <v>18</v>
      </c>
      <c r="C3202" t="s">
        <v>19</v>
      </c>
      <c r="D3202" s="2">
        <v>183</v>
      </c>
      <c r="E3202" s="2">
        <v>185.75999450683591</v>
      </c>
      <c r="F3202" s="2">
        <v>181.44999694824219</v>
      </c>
      <c r="G3202" s="2">
        <v>183.61000061035159</v>
      </c>
      <c r="H3202" s="3">
        <v>26147867</v>
      </c>
      <c r="I3202" s="4">
        <f t="shared" ref="I3202:I3265" si="200">ROUND(((F3202-D3202)/D3202)*100, 2)</f>
        <v>-0.85</v>
      </c>
      <c r="J3202" s="2">
        <f t="shared" ref="J3202:J3265" si="201">ROUND(E3202-G3202, 2)</f>
        <v>2.15</v>
      </c>
      <c r="K3202" s="7">
        <f t="shared" ref="K3202:K3265" si="202">DATE(YEAR(A3202),MONTH(A3202),1)</f>
        <v>46204</v>
      </c>
      <c r="L3202" t="str">
        <f t="shared" ref="L3202:L3265" si="203">"Q"&amp;INT((MONTH(A3202)-1)/3)+1&amp;"-"&amp;YEAR(A3202)</f>
        <v>Q3-2026</v>
      </c>
    </row>
    <row r="3203" spans="1:12">
      <c r="A3203" s="6">
        <v>46232</v>
      </c>
      <c r="B3203" t="s">
        <v>20</v>
      </c>
      <c r="C3203" t="s">
        <v>21</v>
      </c>
      <c r="D3203" s="2">
        <v>1344</v>
      </c>
      <c r="E3203" s="2">
        <v>1352.699951171875</v>
      </c>
      <c r="F3203" s="2">
        <v>1323.199951171875</v>
      </c>
      <c r="G3203" s="2">
        <v>1344.300048828125</v>
      </c>
      <c r="H3203" s="3">
        <v>3061520</v>
      </c>
      <c r="I3203" s="4">
        <f t="shared" si="200"/>
        <v>-1.55</v>
      </c>
      <c r="J3203" s="2">
        <f t="shared" si="201"/>
        <v>8.4</v>
      </c>
      <c r="K3203" s="7">
        <f t="shared" si="202"/>
        <v>46204</v>
      </c>
      <c r="L3203" t="str">
        <f t="shared" si="203"/>
        <v>Q3-2026</v>
      </c>
    </row>
    <row r="3204" spans="1:12">
      <c r="A3204" s="6">
        <v>46232</v>
      </c>
      <c r="B3204" t="s">
        <v>22</v>
      </c>
      <c r="C3204" t="s">
        <v>23</v>
      </c>
      <c r="D3204" s="2">
        <v>1056</v>
      </c>
      <c r="E3204" s="2">
        <v>1065.900024414062</v>
      </c>
      <c r="F3204" s="2">
        <v>1048.400024414062</v>
      </c>
      <c r="G3204" s="2">
        <v>1054.400024414062</v>
      </c>
      <c r="H3204" s="3">
        <v>6444368</v>
      </c>
      <c r="I3204" s="4">
        <f t="shared" si="200"/>
        <v>-0.72</v>
      </c>
      <c r="J3204" s="2">
        <f t="shared" si="201"/>
        <v>11.5</v>
      </c>
      <c r="K3204" s="7">
        <f t="shared" si="202"/>
        <v>46204</v>
      </c>
      <c r="L3204" t="str">
        <f t="shared" si="203"/>
        <v>Q3-2026</v>
      </c>
    </row>
    <row r="3205" spans="1:12">
      <c r="A3205" s="6">
        <v>46232</v>
      </c>
      <c r="B3205" t="s">
        <v>24</v>
      </c>
      <c r="C3205" t="s">
        <v>25</v>
      </c>
      <c r="D3205" s="2">
        <v>13642.98295454546</v>
      </c>
      <c r="E3205" s="2">
        <v>13840.99431818182</v>
      </c>
      <c r="F3205" s="2">
        <v>13583.57954545455</v>
      </c>
      <c r="G3205" s="2">
        <v>13809.3125</v>
      </c>
      <c r="H3205" s="3">
        <v>515674</v>
      </c>
      <c r="I3205" s="4">
        <f t="shared" si="200"/>
        <v>-0.44</v>
      </c>
      <c r="J3205" s="2">
        <f t="shared" si="201"/>
        <v>31.68</v>
      </c>
      <c r="K3205" s="7">
        <f t="shared" si="202"/>
        <v>46204</v>
      </c>
      <c r="L3205" t="str">
        <f t="shared" si="203"/>
        <v>Q3-2026</v>
      </c>
    </row>
    <row r="3206" spans="1:12">
      <c r="A3206" s="6">
        <v>46232</v>
      </c>
      <c r="B3206" t="s">
        <v>26</v>
      </c>
      <c r="C3206" t="s">
        <v>27</v>
      </c>
      <c r="D3206" s="2">
        <v>326</v>
      </c>
      <c r="E3206" s="2">
        <v>330.5</v>
      </c>
      <c r="F3206" s="2">
        <v>325.35000610351563</v>
      </c>
      <c r="G3206" s="2">
        <v>329.79998779296881</v>
      </c>
      <c r="H3206" s="3">
        <v>7220810</v>
      </c>
      <c r="I3206" s="4">
        <f t="shared" si="200"/>
        <v>-0.2</v>
      </c>
      <c r="J3206" s="2">
        <f t="shared" si="201"/>
        <v>0.7</v>
      </c>
      <c r="K3206" s="7">
        <f t="shared" si="202"/>
        <v>46204</v>
      </c>
      <c r="L3206" t="str">
        <f t="shared" si="203"/>
        <v>Q3-2026</v>
      </c>
    </row>
    <row r="3207" spans="1:12">
      <c r="A3207" s="6">
        <v>46232</v>
      </c>
      <c r="B3207" t="s">
        <v>28</v>
      </c>
      <c r="C3207" t="s">
        <v>29</v>
      </c>
      <c r="D3207" s="2">
        <v>1977</v>
      </c>
      <c r="E3207" s="2">
        <v>1992.699951171875</v>
      </c>
      <c r="F3207" s="2">
        <v>1960.400024414062</v>
      </c>
      <c r="G3207" s="2">
        <v>1989.900024414062</v>
      </c>
      <c r="H3207" s="3">
        <v>2682295</v>
      </c>
      <c r="I3207" s="4">
        <f t="shared" si="200"/>
        <v>-0.84</v>
      </c>
      <c r="J3207" s="2">
        <f t="shared" si="201"/>
        <v>2.8</v>
      </c>
      <c r="K3207" s="7">
        <f t="shared" si="202"/>
        <v>46204</v>
      </c>
      <c r="L3207" t="str">
        <f t="shared" si="203"/>
        <v>Q3-2026</v>
      </c>
    </row>
    <row r="3208" spans="1:12">
      <c r="A3208" s="6">
        <v>46232</v>
      </c>
      <c r="B3208" t="s">
        <v>30</v>
      </c>
      <c r="C3208" t="s">
        <v>31</v>
      </c>
      <c r="D3208" s="2">
        <v>2746.199951171875</v>
      </c>
      <c r="E3208" s="2">
        <v>2864</v>
      </c>
      <c r="F3208" s="2">
        <v>2718.5</v>
      </c>
      <c r="G3208" s="2">
        <v>2758.39990234375</v>
      </c>
      <c r="H3208" s="3">
        <v>3803474</v>
      </c>
      <c r="I3208" s="4">
        <f t="shared" si="200"/>
        <v>-1.01</v>
      </c>
      <c r="J3208" s="2">
        <f t="shared" si="201"/>
        <v>105.6</v>
      </c>
      <c r="K3208" s="7">
        <f t="shared" si="202"/>
        <v>46204</v>
      </c>
      <c r="L3208" t="str">
        <f t="shared" si="203"/>
        <v>Q3-2026</v>
      </c>
    </row>
    <row r="3209" spans="1:12">
      <c r="A3209" s="6">
        <v>46232</v>
      </c>
      <c r="B3209" t="s">
        <v>32</v>
      </c>
      <c r="C3209" t="s">
        <v>33</v>
      </c>
      <c r="D3209" s="2">
        <v>2050.5</v>
      </c>
      <c r="E3209" s="2">
        <v>2123</v>
      </c>
      <c r="F3209" s="2">
        <v>2047</v>
      </c>
      <c r="G3209" s="2">
        <v>2117.800048828125</v>
      </c>
      <c r="H3209" s="3">
        <v>5183374</v>
      </c>
      <c r="I3209" s="4">
        <f t="shared" si="200"/>
        <v>-0.17</v>
      </c>
      <c r="J3209" s="2">
        <f t="shared" si="201"/>
        <v>5.2</v>
      </c>
      <c r="K3209" s="7">
        <f t="shared" si="202"/>
        <v>46204</v>
      </c>
      <c r="L3209" t="str">
        <f t="shared" si="203"/>
        <v>Q3-2026</v>
      </c>
    </row>
    <row r="3210" spans="1:12">
      <c r="A3210" s="6">
        <v>46232</v>
      </c>
      <c r="B3210" t="s">
        <v>34</v>
      </c>
      <c r="C3210" t="s">
        <v>35</v>
      </c>
      <c r="D3210" s="2">
        <v>3895.39990234375</v>
      </c>
      <c r="E3210" s="2">
        <v>3978.199951171875</v>
      </c>
      <c r="F3210" s="2">
        <v>3891.10009765625</v>
      </c>
      <c r="G3210" s="2">
        <v>3931.39990234375</v>
      </c>
      <c r="H3210" s="3">
        <v>3115802</v>
      </c>
      <c r="I3210" s="4">
        <f t="shared" si="200"/>
        <v>-0.11</v>
      </c>
      <c r="J3210" s="2">
        <f t="shared" si="201"/>
        <v>46.8</v>
      </c>
      <c r="K3210" s="7">
        <f t="shared" si="202"/>
        <v>46204</v>
      </c>
      <c r="L3210" t="str">
        <f t="shared" si="203"/>
        <v>Q3-2026</v>
      </c>
    </row>
    <row r="3211" spans="1:12">
      <c r="A3211" s="6">
        <v>46232</v>
      </c>
      <c r="B3211" t="s">
        <v>36</v>
      </c>
      <c r="C3211" t="s">
        <v>37</v>
      </c>
      <c r="D3211" s="2">
        <v>1229.5</v>
      </c>
      <c r="E3211" s="2">
        <v>1237.099975585938</v>
      </c>
      <c r="F3211" s="2">
        <v>1214.400024414062</v>
      </c>
      <c r="G3211" s="2">
        <v>1235.400024414062</v>
      </c>
      <c r="H3211" s="3">
        <v>10110233</v>
      </c>
      <c r="I3211" s="4">
        <f t="shared" si="200"/>
        <v>-1.23</v>
      </c>
      <c r="J3211" s="2">
        <f t="shared" si="201"/>
        <v>1.7</v>
      </c>
      <c r="K3211" s="7">
        <f t="shared" si="202"/>
        <v>46204</v>
      </c>
      <c r="L3211" t="str">
        <f t="shared" si="203"/>
        <v>Q3-2026</v>
      </c>
    </row>
    <row r="3212" spans="1:12">
      <c r="A3212" s="6">
        <v>46233</v>
      </c>
      <c r="B3212" t="s">
        <v>8</v>
      </c>
      <c r="C3212" t="s">
        <v>9</v>
      </c>
      <c r="D3212" s="2">
        <v>1279.800048828125</v>
      </c>
      <c r="E3212" s="2">
        <v>1297</v>
      </c>
      <c r="F3212" s="2">
        <v>1275.300048828125</v>
      </c>
      <c r="G3212" s="2">
        <v>1292.900024414062</v>
      </c>
      <c r="H3212" s="3">
        <v>12158451</v>
      </c>
      <c r="I3212" s="4">
        <f t="shared" si="200"/>
        <v>-0.35</v>
      </c>
      <c r="J3212" s="2">
        <f t="shared" si="201"/>
        <v>4.0999999999999996</v>
      </c>
      <c r="K3212" s="7">
        <f t="shared" si="202"/>
        <v>46204</v>
      </c>
      <c r="L3212" t="str">
        <f t="shared" si="203"/>
        <v>Q3-2026</v>
      </c>
    </row>
    <row r="3213" spans="1:12">
      <c r="A3213" s="6">
        <v>46233</v>
      </c>
      <c r="B3213" t="s">
        <v>10</v>
      </c>
      <c r="C3213" t="s">
        <v>11</v>
      </c>
      <c r="D3213" s="2">
        <v>2440</v>
      </c>
      <c r="E3213" s="2">
        <v>2495</v>
      </c>
      <c r="F3213" s="2">
        <v>2423</v>
      </c>
      <c r="G3213" s="2">
        <v>2431.800048828125</v>
      </c>
      <c r="H3213" s="3">
        <v>4901582</v>
      </c>
      <c r="I3213" s="4">
        <f t="shared" si="200"/>
        <v>-0.7</v>
      </c>
      <c r="J3213" s="2">
        <f t="shared" si="201"/>
        <v>63.2</v>
      </c>
      <c r="K3213" s="7">
        <f t="shared" si="202"/>
        <v>46204</v>
      </c>
      <c r="L3213" t="str">
        <f t="shared" si="203"/>
        <v>Q3-2026</v>
      </c>
    </row>
    <row r="3214" spans="1:12">
      <c r="A3214" s="6">
        <v>46233</v>
      </c>
      <c r="B3214" t="s">
        <v>12</v>
      </c>
      <c r="C3214" t="s">
        <v>13</v>
      </c>
      <c r="D3214" s="2">
        <v>1168</v>
      </c>
      <c r="E3214" s="2">
        <v>1187.699951171875</v>
      </c>
      <c r="F3214" s="2">
        <v>1151.300048828125</v>
      </c>
      <c r="G3214" s="2">
        <v>1155.099975585938</v>
      </c>
      <c r="H3214" s="3">
        <v>22630218</v>
      </c>
      <c r="I3214" s="4">
        <f t="shared" si="200"/>
        <v>-1.43</v>
      </c>
      <c r="J3214" s="2">
        <f t="shared" si="201"/>
        <v>32.6</v>
      </c>
      <c r="K3214" s="7">
        <f t="shared" si="202"/>
        <v>46204</v>
      </c>
      <c r="L3214" t="str">
        <f t="shared" si="203"/>
        <v>Q3-2026</v>
      </c>
    </row>
    <row r="3215" spans="1:12">
      <c r="A3215" s="6">
        <v>46233</v>
      </c>
      <c r="B3215" t="s">
        <v>14</v>
      </c>
      <c r="C3215" t="s">
        <v>15</v>
      </c>
      <c r="D3215" s="2">
        <v>752.79998779296875</v>
      </c>
      <c r="E3215" s="2">
        <v>757.9000244140625</v>
      </c>
      <c r="F3215" s="2">
        <v>745.5</v>
      </c>
      <c r="G3215" s="2">
        <v>753.95001220703125</v>
      </c>
      <c r="H3215" s="3">
        <v>35844392</v>
      </c>
      <c r="I3215" s="4">
        <f t="shared" si="200"/>
        <v>-0.97</v>
      </c>
      <c r="J3215" s="2">
        <f t="shared" si="201"/>
        <v>3.95</v>
      </c>
      <c r="K3215" s="7">
        <f t="shared" si="202"/>
        <v>46204</v>
      </c>
      <c r="L3215" t="str">
        <f t="shared" si="203"/>
        <v>Q3-2026</v>
      </c>
    </row>
    <row r="3216" spans="1:12">
      <c r="A3216" s="6">
        <v>46233</v>
      </c>
      <c r="B3216" t="s">
        <v>16</v>
      </c>
      <c r="C3216" t="s">
        <v>17</v>
      </c>
      <c r="D3216" s="2">
        <v>1419.1359572803699</v>
      </c>
      <c r="E3216" s="2">
        <v>1430.1431368958181</v>
      </c>
      <c r="F3216" s="2">
        <v>1410.7070174140661</v>
      </c>
      <c r="G3216" s="2">
        <v>1421.91259765625</v>
      </c>
      <c r="H3216" s="3">
        <v>14141173</v>
      </c>
      <c r="I3216" s="4">
        <f t="shared" si="200"/>
        <v>-0.59</v>
      </c>
      <c r="J3216" s="2">
        <f t="shared" si="201"/>
        <v>8.23</v>
      </c>
      <c r="K3216" s="7">
        <f t="shared" si="202"/>
        <v>46204</v>
      </c>
      <c r="L3216" t="str">
        <f t="shared" si="203"/>
        <v>Q3-2026</v>
      </c>
    </row>
    <row r="3217" spans="1:12">
      <c r="A3217" s="6">
        <v>46233</v>
      </c>
      <c r="B3217" t="s">
        <v>18</v>
      </c>
      <c r="C3217" t="s">
        <v>19</v>
      </c>
      <c r="D3217" s="2">
        <v>183.3999938964844</v>
      </c>
      <c r="E3217" s="2">
        <v>191.3399963378906</v>
      </c>
      <c r="F3217" s="2">
        <v>183.3999938964844</v>
      </c>
      <c r="G3217" s="2">
        <v>186.33000183105469</v>
      </c>
      <c r="H3217" s="3">
        <v>54015268</v>
      </c>
      <c r="I3217" s="4">
        <f t="shared" si="200"/>
        <v>0</v>
      </c>
      <c r="J3217" s="2">
        <f t="shared" si="201"/>
        <v>5.01</v>
      </c>
      <c r="K3217" s="7">
        <f t="shared" si="202"/>
        <v>46204</v>
      </c>
      <c r="L3217" t="str">
        <f t="shared" si="203"/>
        <v>Q3-2026</v>
      </c>
    </row>
    <row r="3218" spans="1:12">
      <c r="A3218" s="6">
        <v>46233</v>
      </c>
      <c r="B3218" t="s">
        <v>20</v>
      </c>
      <c r="C3218" t="s">
        <v>21</v>
      </c>
      <c r="D3218" s="2">
        <v>1349</v>
      </c>
      <c r="E3218" s="2">
        <v>1369.900024414062</v>
      </c>
      <c r="F3218" s="2">
        <v>1345.599975585938</v>
      </c>
      <c r="G3218" s="2">
        <v>1352.699951171875</v>
      </c>
      <c r="H3218" s="3">
        <v>3747919</v>
      </c>
      <c r="I3218" s="4">
        <f t="shared" si="200"/>
        <v>-0.25</v>
      </c>
      <c r="J3218" s="2">
        <f t="shared" si="201"/>
        <v>17.2</v>
      </c>
      <c r="K3218" s="7">
        <f t="shared" si="202"/>
        <v>46204</v>
      </c>
      <c r="L3218" t="str">
        <f t="shared" si="203"/>
        <v>Q3-2026</v>
      </c>
    </row>
    <row r="3219" spans="1:12">
      <c r="A3219" s="6">
        <v>46233</v>
      </c>
      <c r="B3219" t="s">
        <v>22</v>
      </c>
      <c r="C3219" t="s">
        <v>23</v>
      </c>
      <c r="D3219" s="2">
        <v>1046</v>
      </c>
      <c r="E3219" s="2">
        <v>1068</v>
      </c>
      <c r="F3219" s="2">
        <v>1035.099975585938</v>
      </c>
      <c r="G3219" s="2">
        <v>1053.5</v>
      </c>
      <c r="H3219" s="3">
        <v>9866564</v>
      </c>
      <c r="I3219" s="4">
        <f t="shared" si="200"/>
        <v>-1.04</v>
      </c>
      <c r="J3219" s="2">
        <f t="shared" si="201"/>
        <v>14.5</v>
      </c>
      <c r="K3219" s="7">
        <f t="shared" si="202"/>
        <v>46204</v>
      </c>
      <c r="L3219" t="str">
        <f t="shared" si="203"/>
        <v>Q3-2026</v>
      </c>
    </row>
    <row r="3220" spans="1:12">
      <c r="A3220" s="6">
        <v>46233</v>
      </c>
      <c r="B3220" t="s">
        <v>24</v>
      </c>
      <c r="C3220" t="s">
        <v>25</v>
      </c>
      <c r="D3220" s="2">
        <v>13800.401639754989</v>
      </c>
      <c r="E3220" s="2">
        <v>14108.309302425459</v>
      </c>
      <c r="F3220" s="2">
        <v>13687.535165335579</v>
      </c>
      <c r="G3220" s="2">
        <v>14046.92578125</v>
      </c>
      <c r="H3220" s="3">
        <v>626000</v>
      </c>
      <c r="I3220" s="4">
        <f t="shared" si="200"/>
        <v>-0.82</v>
      </c>
      <c r="J3220" s="2">
        <f t="shared" si="201"/>
        <v>61.38</v>
      </c>
      <c r="K3220" s="7">
        <f t="shared" si="202"/>
        <v>46204</v>
      </c>
      <c r="L3220" t="str">
        <f t="shared" si="203"/>
        <v>Q3-2026</v>
      </c>
    </row>
    <row r="3221" spans="1:12">
      <c r="A3221" s="6">
        <v>46233</v>
      </c>
      <c r="B3221" t="s">
        <v>26</v>
      </c>
      <c r="C3221" t="s">
        <v>27</v>
      </c>
      <c r="D3221" s="2">
        <v>328.20001220703119</v>
      </c>
      <c r="E3221" s="2">
        <v>335</v>
      </c>
      <c r="F3221" s="2">
        <v>328.04998779296881</v>
      </c>
      <c r="G3221" s="2">
        <v>334.20001220703119</v>
      </c>
      <c r="H3221" s="3">
        <v>6078600</v>
      </c>
      <c r="I3221" s="4">
        <f t="shared" si="200"/>
        <v>-0.05</v>
      </c>
      <c r="J3221" s="2">
        <f t="shared" si="201"/>
        <v>0.8</v>
      </c>
      <c r="K3221" s="7">
        <f t="shared" si="202"/>
        <v>46204</v>
      </c>
      <c r="L3221" t="str">
        <f t="shared" si="203"/>
        <v>Q3-2026</v>
      </c>
    </row>
    <row r="3222" spans="1:12">
      <c r="A3222" s="6">
        <v>46233</v>
      </c>
      <c r="B3222" t="s">
        <v>28</v>
      </c>
      <c r="C3222" t="s">
        <v>29</v>
      </c>
      <c r="D3222" s="2">
        <v>1993.099975585938</v>
      </c>
      <c r="E3222" s="2">
        <v>2017.300048828125</v>
      </c>
      <c r="F3222" s="2">
        <v>1988</v>
      </c>
      <c r="G3222" s="2">
        <v>2001.099975585938</v>
      </c>
      <c r="H3222" s="3">
        <v>2224264</v>
      </c>
      <c r="I3222" s="4">
        <f t="shared" si="200"/>
        <v>-0.26</v>
      </c>
      <c r="J3222" s="2">
        <f t="shared" si="201"/>
        <v>16.2</v>
      </c>
      <c r="K3222" s="7">
        <f t="shared" si="202"/>
        <v>46204</v>
      </c>
      <c r="L3222" t="str">
        <f t="shared" si="203"/>
        <v>Q3-2026</v>
      </c>
    </row>
    <row r="3223" spans="1:12">
      <c r="A3223" s="6">
        <v>46233</v>
      </c>
      <c r="B3223" t="s">
        <v>30</v>
      </c>
      <c r="C3223" t="s">
        <v>31</v>
      </c>
      <c r="D3223" s="2">
        <v>2758.10009765625</v>
      </c>
      <c r="E3223" s="2">
        <v>2767.89990234375</v>
      </c>
      <c r="F3223" s="2">
        <v>2666.199951171875</v>
      </c>
      <c r="G3223" s="2">
        <v>2746.199951171875</v>
      </c>
      <c r="H3223" s="3">
        <v>2387024</v>
      </c>
      <c r="I3223" s="4">
        <f t="shared" si="200"/>
        <v>-3.33</v>
      </c>
      <c r="J3223" s="2">
        <f t="shared" si="201"/>
        <v>21.7</v>
      </c>
      <c r="K3223" s="7">
        <f t="shared" si="202"/>
        <v>46204</v>
      </c>
      <c r="L3223" t="str">
        <f t="shared" si="203"/>
        <v>Q3-2026</v>
      </c>
    </row>
    <row r="3224" spans="1:12">
      <c r="A3224" s="6">
        <v>46233</v>
      </c>
      <c r="B3224" t="s">
        <v>32</v>
      </c>
      <c r="C3224" t="s">
        <v>33</v>
      </c>
      <c r="D3224" s="2">
        <v>2120</v>
      </c>
      <c r="E3224" s="2">
        <v>2132.60009765625</v>
      </c>
      <c r="F3224" s="2">
        <v>2088</v>
      </c>
      <c r="G3224" s="2">
        <v>2107.89990234375</v>
      </c>
      <c r="H3224" s="3">
        <v>2602039</v>
      </c>
      <c r="I3224" s="4">
        <f t="shared" si="200"/>
        <v>-1.51</v>
      </c>
      <c r="J3224" s="2">
        <f t="shared" si="201"/>
        <v>24.7</v>
      </c>
      <c r="K3224" s="7">
        <f t="shared" si="202"/>
        <v>46204</v>
      </c>
      <c r="L3224" t="str">
        <f t="shared" si="203"/>
        <v>Q3-2026</v>
      </c>
    </row>
    <row r="3225" spans="1:12">
      <c r="A3225" s="6">
        <v>46233</v>
      </c>
      <c r="B3225" t="s">
        <v>34</v>
      </c>
      <c r="C3225" t="s">
        <v>35</v>
      </c>
      <c r="D3225" s="2">
        <v>3931.39990234375</v>
      </c>
      <c r="E3225" s="2">
        <v>3951.699951171875</v>
      </c>
      <c r="F3225" s="2">
        <v>3883.5</v>
      </c>
      <c r="G3225" s="2">
        <v>3937.699951171875</v>
      </c>
      <c r="H3225" s="3">
        <v>2141252</v>
      </c>
      <c r="I3225" s="4">
        <f t="shared" si="200"/>
        <v>-1.22</v>
      </c>
      <c r="J3225" s="2">
        <f t="shared" si="201"/>
        <v>14</v>
      </c>
      <c r="K3225" s="7">
        <f t="shared" si="202"/>
        <v>46204</v>
      </c>
      <c r="L3225" t="str">
        <f t="shared" si="203"/>
        <v>Q3-2026</v>
      </c>
    </row>
    <row r="3226" spans="1:12">
      <c r="A3226" s="6">
        <v>46233</v>
      </c>
      <c r="B3226" t="s">
        <v>36</v>
      </c>
      <c r="C3226" t="s">
        <v>37</v>
      </c>
      <c r="D3226" s="2">
        <v>1229</v>
      </c>
      <c r="E3226" s="2">
        <v>1232.199951171875</v>
      </c>
      <c r="F3226" s="2">
        <v>1220.199951171875</v>
      </c>
      <c r="G3226" s="2">
        <v>1228.900024414062</v>
      </c>
      <c r="H3226" s="3">
        <v>6878684</v>
      </c>
      <c r="I3226" s="4">
        <f t="shared" si="200"/>
        <v>-0.72</v>
      </c>
      <c r="J3226" s="2">
        <f t="shared" si="201"/>
        <v>3.3</v>
      </c>
      <c r="K3226" s="7">
        <f t="shared" si="202"/>
        <v>46204</v>
      </c>
      <c r="L3226" t="str">
        <f t="shared" si="203"/>
        <v>Q3-2026</v>
      </c>
    </row>
    <row r="3227" spans="1:12">
      <c r="A3227" s="6">
        <v>46234</v>
      </c>
      <c r="B3227" t="s">
        <v>8</v>
      </c>
      <c r="C3227" t="s">
        <v>9</v>
      </c>
      <c r="D3227" s="2">
        <v>1295</v>
      </c>
      <c r="E3227" s="2">
        <v>1309.699951171875</v>
      </c>
      <c r="F3227" s="2">
        <v>1293.599975585938</v>
      </c>
      <c r="G3227" s="2">
        <v>1307.800048828125</v>
      </c>
      <c r="H3227" s="3">
        <v>8624996</v>
      </c>
      <c r="I3227" s="4">
        <f t="shared" si="200"/>
        <v>-0.11</v>
      </c>
      <c r="J3227" s="2">
        <f t="shared" si="201"/>
        <v>1.9</v>
      </c>
      <c r="K3227" s="7">
        <f t="shared" si="202"/>
        <v>46204</v>
      </c>
      <c r="L3227" t="str">
        <f t="shared" si="203"/>
        <v>Q3-2026</v>
      </c>
    </row>
    <row r="3228" spans="1:12">
      <c r="A3228" s="6">
        <v>46234</v>
      </c>
      <c r="B3228" t="s">
        <v>10</v>
      </c>
      <c r="C3228" t="s">
        <v>11</v>
      </c>
      <c r="D3228" s="2">
        <v>2385</v>
      </c>
      <c r="E3228" s="2">
        <v>2391</v>
      </c>
      <c r="F3228" s="2">
        <v>2326.10009765625</v>
      </c>
      <c r="G3228" s="2">
        <v>2365.60009765625</v>
      </c>
      <c r="H3228" s="3">
        <v>4343683</v>
      </c>
      <c r="I3228" s="4">
        <f t="shared" si="200"/>
        <v>-2.4700000000000002</v>
      </c>
      <c r="J3228" s="2">
        <f t="shared" si="201"/>
        <v>25.4</v>
      </c>
      <c r="K3228" s="7">
        <f t="shared" si="202"/>
        <v>46204</v>
      </c>
      <c r="L3228" t="str">
        <f t="shared" si="203"/>
        <v>Q3-2026</v>
      </c>
    </row>
    <row r="3229" spans="1:12">
      <c r="A3229" s="6">
        <v>46234</v>
      </c>
      <c r="B3229" t="s">
        <v>12</v>
      </c>
      <c r="C3229" t="s">
        <v>13</v>
      </c>
      <c r="D3229" s="2">
        <v>1118.900024414062</v>
      </c>
      <c r="E3229" s="2">
        <v>1139.300048828125</v>
      </c>
      <c r="F3229" s="2">
        <v>1107.199951171875</v>
      </c>
      <c r="G3229" s="2">
        <v>1130.099975585938</v>
      </c>
      <c r="H3229" s="3">
        <v>14367075</v>
      </c>
      <c r="I3229" s="4">
        <f t="shared" si="200"/>
        <v>-1.05</v>
      </c>
      <c r="J3229" s="2">
        <f t="shared" si="201"/>
        <v>9.1999999999999993</v>
      </c>
      <c r="K3229" s="7">
        <f t="shared" si="202"/>
        <v>46204</v>
      </c>
      <c r="L3229" t="str">
        <f t="shared" si="203"/>
        <v>Q3-2026</v>
      </c>
    </row>
    <row r="3230" spans="1:12">
      <c r="A3230" s="6">
        <v>46234</v>
      </c>
      <c r="B3230" t="s">
        <v>14</v>
      </c>
      <c r="C3230" t="s">
        <v>15</v>
      </c>
      <c r="D3230" s="2">
        <v>753.95001220703125</v>
      </c>
      <c r="E3230" s="2">
        <v>757.54998779296875</v>
      </c>
      <c r="F3230" s="2">
        <v>747.20001220703125</v>
      </c>
      <c r="G3230" s="2">
        <v>748.1500244140625</v>
      </c>
      <c r="H3230" s="3">
        <v>25522483</v>
      </c>
      <c r="I3230" s="4">
        <f t="shared" si="200"/>
        <v>-0.9</v>
      </c>
      <c r="J3230" s="2">
        <f t="shared" si="201"/>
        <v>9.4</v>
      </c>
      <c r="K3230" s="7">
        <f t="shared" si="202"/>
        <v>46204</v>
      </c>
      <c r="L3230" t="str">
        <f t="shared" si="203"/>
        <v>Q3-2026</v>
      </c>
    </row>
    <row r="3231" spans="1:12">
      <c r="A3231" s="6">
        <v>46234</v>
      </c>
      <c r="B3231" t="s">
        <v>16</v>
      </c>
      <c r="C3231" t="s">
        <v>17</v>
      </c>
      <c r="D3231" s="2">
        <v>1422.3092446667811</v>
      </c>
      <c r="E3231" s="2">
        <v>1429.845684161399</v>
      </c>
      <c r="F3231" s="2">
        <v>1419.4334645695481</v>
      </c>
      <c r="G3231" s="2">
        <v>1423.400024414062</v>
      </c>
      <c r="H3231" s="3">
        <v>8752440</v>
      </c>
      <c r="I3231" s="4">
        <f t="shared" si="200"/>
        <v>-0.2</v>
      </c>
      <c r="J3231" s="2">
        <f t="shared" si="201"/>
        <v>6.45</v>
      </c>
      <c r="K3231" s="7">
        <f t="shared" si="202"/>
        <v>46204</v>
      </c>
      <c r="L3231" t="str">
        <f t="shared" si="203"/>
        <v>Q3-2026</v>
      </c>
    </row>
    <row r="3232" spans="1:12">
      <c r="A3232" s="6">
        <v>46234</v>
      </c>
      <c r="B3232" t="s">
        <v>18</v>
      </c>
      <c r="C3232" t="s">
        <v>19</v>
      </c>
      <c r="D3232" s="2">
        <v>184.8500061035156</v>
      </c>
      <c r="E3232" s="2">
        <v>185.24000549316409</v>
      </c>
      <c r="F3232" s="2">
        <v>180.83000183105469</v>
      </c>
      <c r="G3232" s="2">
        <v>183.6499938964844</v>
      </c>
      <c r="H3232" s="3">
        <v>18762810</v>
      </c>
      <c r="I3232" s="4">
        <f t="shared" si="200"/>
        <v>-2.17</v>
      </c>
      <c r="J3232" s="2">
        <f t="shared" si="201"/>
        <v>1.59</v>
      </c>
      <c r="K3232" s="7">
        <f t="shared" si="202"/>
        <v>46204</v>
      </c>
      <c r="L3232" t="str">
        <f t="shared" si="203"/>
        <v>Q3-2026</v>
      </c>
    </row>
    <row r="3233" spans="1:12">
      <c r="A3233" s="6">
        <v>46234</v>
      </c>
      <c r="B3233" t="s">
        <v>20</v>
      </c>
      <c r="C3233" t="s">
        <v>21</v>
      </c>
      <c r="D3233" s="2">
        <v>1317.699951171875</v>
      </c>
      <c r="E3233" s="2">
        <v>1356.5</v>
      </c>
      <c r="F3233" s="2">
        <v>1294.300048828125</v>
      </c>
      <c r="G3233" s="2">
        <v>1346.900024414062</v>
      </c>
      <c r="H3233" s="3">
        <v>3369019</v>
      </c>
      <c r="I3233" s="4">
        <f t="shared" si="200"/>
        <v>-1.78</v>
      </c>
      <c r="J3233" s="2">
        <f t="shared" si="201"/>
        <v>9.6</v>
      </c>
      <c r="K3233" s="7">
        <f t="shared" si="202"/>
        <v>46204</v>
      </c>
      <c r="L3233" t="str">
        <f t="shared" si="203"/>
        <v>Q3-2026</v>
      </c>
    </row>
    <row r="3234" spans="1:12">
      <c r="A3234" s="6">
        <v>46234</v>
      </c>
      <c r="B3234" t="s">
        <v>22</v>
      </c>
      <c r="C3234" t="s">
        <v>23</v>
      </c>
      <c r="D3234" s="2">
        <v>1095</v>
      </c>
      <c r="E3234" s="2">
        <v>1151.5</v>
      </c>
      <c r="F3234" s="2">
        <v>1083.599975585938</v>
      </c>
      <c r="G3234" s="2">
        <v>1141.199951171875</v>
      </c>
      <c r="H3234" s="3">
        <v>40814590</v>
      </c>
      <c r="I3234" s="4">
        <f t="shared" si="200"/>
        <v>-1.04</v>
      </c>
      <c r="J3234" s="2">
        <f t="shared" si="201"/>
        <v>10.3</v>
      </c>
      <c r="K3234" s="7">
        <f t="shared" si="202"/>
        <v>46204</v>
      </c>
      <c r="L3234" t="str">
        <f t="shared" si="203"/>
        <v>Q3-2026</v>
      </c>
    </row>
    <row r="3235" spans="1:12">
      <c r="A3235" s="6">
        <v>46234</v>
      </c>
      <c r="B3235" t="s">
        <v>24</v>
      </c>
      <c r="C3235" t="s">
        <v>25</v>
      </c>
      <c r="D3235" s="2">
        <v>14108.30965909091</v>
      </c>
      <c r="E3235" s="2">
        <v>14205.33522727273</v>
      </c>
      <c r="F3235" s="2">
        <v>13983.5625</v>
      </c>
      <c r="G3235" s="2">
        <v>14092.46875</v>
      </c>
      <c r="H3235" s="3">
        <v>535417</v>
      </c>
      <c r="I3235" s="4">
        <f t="shared" si="200"/>
        <v>-0.88</v>
      </c>
      <c r="J3235" s="2">
        <f t="shared" si="201"/>
        <v>112.87</v>
      </c>
      <c r="K3235" s="7">
        <f t="shared" si="202"/>
        <v>46204</v>
      </c>
      <c r="L3235" t="str">
        <f t="shared" si="203"/>
        <v>Q3-2026</v>
      </c>
    </row>
    <row r="3236" spans="1:12">
      <c r="A3236" s="6">
        <v>46234</v>
      </c>
      <c r="B3236" t="s">
        <v>26</v>
      </c>
      <c r="C3236" t="s">
        <v>27</v>
      </c>
      <c r="D3236" s="2">
        <v>335.54998779296881</v>
      </c>
      <c r="E3236" s="2">
        <v>341.95001220703119</v>
      </c>
      <c r="F3236" s="2">
        <v>334.5</v>
      </c>
      <c r="G3236" s="2">
        <v>339.75</v>
      </c>
      <c r="H3236" s="3">
        <v>8527463</v>
      </c>
      <c r="I3236" s="4">
        <f t="shared" si="200"/>
        <v>-0.31</v>
      </c>
      <c r="J3236" s="2">
        <f t="shared" si="201"/>
        <v>2.2000000000000002</v>
      </c>
      <c r="K3236" s="7">
        <f t="shared" si="202"/>
        <v>46204</v>
      </c>
      <c r="L3236" t="str">
        <f t="shared" si="203"/>
        <v>Q3-2026</v>
      </c>
    </row>
    <row r="3237" spans="1:12">
      <c r="A3237" s="6">
        <v>46234</v>
      </c>
      <c r="B3237" t="s">
        <v>28</v>
      </c>
      <c r="C3237" t="s">
        <v>29</v>
      </c>
      <c r="D3237" s="2">
        <v>2016.400024414062</v>
      </c>
      <c r="E3237" s="2">
        <v>2046.900024414062</v>
      </c>
      <c r="F3237" s="2">
        <v>1965.300048828125</v>
      </c>
      <c r="G3237" s="2">
        <v>1990.5</v>
      </c>
      <c r="H3237" s="3">
        <v>4954449</v>
      </c>
      <c r="I3237" s="4">
        <f t="shared" si="200"/>
        <v>-2.5299999999999998</v>
      </c>
      <c r="J3237" s="2">
        <f t="shared" si="201"/>
        <v>56.4</v>
      </c>
      <c r="K3237" s="7">
        <f t="shared" si="202"/>
        <v>46204</v>
      </c>
      <c r="L3237" t="str">
        <f t="shared" si="203"/>
        <v>Q3-2026</v>
      </c>
    </row>
    <row r="3238" spans="1:12">
      <c r="A3238" s="6">
        <v>46234</v>
      </c>
      <c r="B3238" t="s">
        <v>30</v>
      </c>
      <c r="C3238" t="s">
        <v>31</v>
      </c>
      <c r="D3238" s="2">
        <v>2773.89990234375</v>
      </c>
      <c r="E3238" s="2">
        <v>2774.89990234375</v>
      </c>
      <c r="F3238" s="2">
        <v>2732.39990234375</v>
      </c>
      <c r="G3238" s="2">
        <v>2747.300048828125</v>
      </c>
      <c r="H3238" s="3">
        <v>891738</v>
      </c>
      <c r="I3238" s="4">
        <f t="shared" si="200"/>
        <v>-1.5</v>
      </c>
      <c r="J3238" s="2">
        <f t="shared" si="201"/>
        <v>27.6</v>
      </c>
      <c r="K3238" s="7">
        <f t="shared" si="202"/>
        <v>46204</v>
      </c>
      <c r="L3238" t="str">
        <f t="shared" si="203"/>
        <v>Q3-2026</v>
      </c>
    </row>
    <row r="3239" spans="1:12">
      <c r="A3239" s="6">
        <v>46234</v>
      </c>
      <c r="B3239" t="s">
        <v>32</v>
      </c>
      <c r="C3239" t="s">
        <v>33</v>
      </c>
      <c r="D3239" s="2">
        <v>2119.60009765625</v>
      </c>
      <c r="E3239" s="2">
        <v>2119.60009765625</v>
      </c>
      <c r="F3239" s="2">
        <v>2091.10009765625</v>
      </c>
      <c r="G3239" s="2">
        <v>2101.300048828125</v>
      </c>
      <c r="H3239" s="3">
        <v>1759019</v>
      </c>
      <c r="I3239" s="4">
        <f t="shared" si="200"/>
        <v>-1.34</v>
      </c>
      <c r="J3239" s="2">
        <f t="shared" si="201"/>
        <v>18.3</v>
      </c>
      <c r="K3239" s="7">
        <f t="shared" si="202"/>
        <v>46204</v>
      </c>
      <c r="L3239" t="str">
        <f t="shared" si="203"/>
        <v>Q3-2026</v>
      </c>
    </row>
    <row r="3240" spans="1:12">
      <c r="A3240" s="6">
        <v>46234</v>
      </c>
      <c r="B3240" t="s">
        <v>34</v>
      </c>
      <c r="C3240" t="s">
        <v>35</v>
      </c>
      <c r="D3240" s="2">
        <v>3962.89990234375</v>
      </c>
      <c r="E3240" s="2">
        <v>3973.10009765625</v>
      </c>
      <c r="F3240" s="2">
        <v>3923.199951171875</v>
      </c>
      <c r="G3240" s="2">
        <v>3938.89990234375</v>
      </c>
      <c r="H3240" s="3">
        <v>1753377</v>
      </c>
      <c r="I3240" s="4">
        <f t="shared" si="200"/>
        <v>-1</v>
      </c>
      <c r="J3240" s="2">
        <f t="shared" si="201"/>
        <v>34.200000000000003</v>
      </c>
      <c r="K3240" s="7">
        <f t="shared" si="202"/>
        <v>46204</v>
      </c>
      <c r="L3240" t="str">
        <f t="shared" si="203"/>
        <v>Q3-2026</v>
      </c>
    </row>
    <row r="3241" spans="1:12">
      <c r="A3241" s="6">
        <v>46234</v>
      </c>
      <c r="B3241" t="s">
        <v>36</v>
      </c>
      <c r="C3241" t="s">
        <v>37</v>
      </c>
      <c r="D3241" s="2">
        <v>1226.199951171875</v>
      </c>
      <c r="E3241" s="2">
        <v>1239.699951171875</v>
      </c>
      <c r="F3241" s="2">
        <v>1226</v>
      </c>
      <c r="G3241" s="2">
        <v>1229.5</v>
      </c>
      <c r="H3241" s="3">
        <v>7487936</v>
      </c>
      <c r="I3241" s="4">
        <f t="shared" si="200"/>
        <v>-0.02</v>
      </c>
      <c r="J3241" s="2">
        <f t="shared" si="201"/>
        <v>10.199999999999999</v>
      </c>
      <c r="K3241" s="7">
        <f t="shared" si="202"/>
        <v>46204</v>
      </c>
      <c r="L3241" t="str">
        <f t="shared" si="203"/>
        <v>Q3-2026</v>
      </c>
    </row>
    <row r="3242" spans="1:12">
      <c r="A3242" s="6">
        <v>46237</v>
      </c>
      <c r="B3242" t="s">
        <v>8</v>
      </c>
      <c r="C3242" t="s">
        <v>9</v>
      </c>
      <c r="D3242" s="2">
        <v>1315.199951171875</v>
      </c>
      <c r="E3242" s="2">
        <v>1319</v>
      </c>
      <c r="F3242" s="2">
        <v>1306</v>
      </c>
      <c r="G3242" s="2">
        <v>1319</v>
      </c>
      <c r="H3242" s="3">
        <v>7508023</v>
      </c>
      <c r="I3242" s="4">
        <f t="shared" si="200"/>
        <v>-0.7</v>
      </c>
      <c r="J3242" s="2">
        <f t="shared" si="201"/>
        <v>0</v>
      </c>
      <c r="K3242" s="7">
        <f t="shared" si="202"/>
        <v>46235</v>
      </c>
      <c r="L3242" t="str">
        <f t="shared" si="203"/>
        <v>Q3-2026</v>
      </c>
    </row>
    <row r="3243" spans="1:12">
      <c r="A3243" s="6">
        <v>46237</v>
      </c>
      <c r="B3243" t="s">
        <v>10</v>
      </c>
      <c r="C3243" t="s">
        <v>11</v>
      </c>
      <c r="D3243" s="2">
        <v>2383.89990234375</v>
      </c>
      <c r="E3243" s="2">
        <v>2473.699951171875</v>
      </c>
      <c r="F3243" s="2">
        <v>2383</v>
      </c>
      <c r="G3243" s="2">
        <v>2473.699951171875</v>
      </c>
      <c r="H3243" s="3">
        <v>3036839</v>
      </c>
      <c r="I3243" s="4">
        <f t="shared" si="200"/>
        <v>-0.04</v>
      </c>
      <c r="J3243" s="2">
        <f t="shared" si="201"/>
        <v>0</v>
      </c>
      <c r="K3243" s="7">
        <f t="shared" si="202"/>
        <v>46235</v>
      </c>
      <c r="L3243" t="str">
        <f t="shared" si="203"/>
        <v>Q3-2026</v>
      </c>
    </row>
    <row r="3244" spans="1:12">
      <c r="A3244" s="6">
        <v>46237</v>
      </c>
      <c r="B3244" t="s">
        <v>12</v>
      </c>
      <c r="C3244" t="s">
        <v>13</v>
      </c>
      <c r="D3244" s="2">
        <v>1145.099975585938</v>
      </c>
      <c r="E3244" s="2">
        <v>1180</v>
      </c>
      <c r="F3244" s="2">
        <v>1138.099975585938</v>
      </c>
      <c r="G3244" s="2">
        <v>1180</v>
      </c>
      <c r="H3244" s="3">
        <v>8582270</v>
      </c>
      <c r="I3244" s="4">
        <f t="shared" si="200"/>
        <v>-0.61</v>
      </c>
      <c r="J3244" s="2">
        <f t="shared" si="201"/>
        <v>0</v>
      </c>
      <c r="K3244" s="7">
        <f t="shared" si="202"/>
        <v>46235</v>
      </c>
      <c r="L3244" t="str">
        <f t="shared" si="203"/>
        <v>Q3-2026</v>
      </c>
    </row>
    <row r="3245" spans="1:12">
      <c r="A3245" s="6">
        <v>46237</v>
      </c>
      <c r="B3245" t="s">
        <v>14</v>
      </c>
      <c r="C3245" t="s">
        <v>15</v>
      </c>
      <c r="D3245" s="2">
        <v>753.04998779296875</v>
      </c>
      <c r="E3245" s="2">
        <v>756.8499755859375</v>
      </c>
      <c r="F3245" s="2">
        <v>750.04998779296875</v>
      </c>
      <c r="G3245" s="2">
        <v>753</v>
      </c>
      <c r="H3245" s="3">
        <v>14827841</v>
      </c>
      <c r="I3245" s="4">
        <f t="shared" si="200"/>
        <v>-0.4</v>
      </c>
      <c r="J3245" s="2">
        <f t="shared" si="201"/>
        <v>3.85</v>
      </c>
      <c r="K3245" s="7">
        <f t="shared" si="202"/>
        <v>46235</v>
      </c>
      <c r="L3245" t="str">
        <f t="shared" si="203"/>
        <v>Q3-2026</v>
      </c>
    </row>
    <row r="3246" spans="1:12">
      <c r="A3246" s="6">
        <v>46237</v>
      </c>
      <c r="B3246" t="s">
        <v>16</v>
      </c>
      <c r="C3246" t="s">
        <v>17</v>
      </c>
      <c r="D3246" s="2">
        <v>1442</v>
      </c>
      <c r="E3246" s="2">
        <v>1460</v>
      </c>
      <c r="F3246" s="2">
        <v>1433</v>
      </c>
      <c r="G3246" s="2">
        <v>1460</v>
      </c>
      <c r="H3246" s="3">
        <v>7706747</v>
      </c>
      <c r="I3246" s="4">
        <f t="shared" si="200"/>
        <v>-0.62</v>
      </c>
      <c r="J3246" s="2">
        <f t="shared" si="201"/>
        <v>0</v>
      </c>
      <c r="K3246" s="7">
        <f t="shared" si="202"/>
        <v>46235</v>
      </c>
      <c r="L3246" t="str">
        <f t="shared" si="203"/>
        <v>Q3-2026</v>
      </c>
    </row>
    <row r="3247" spans="1:12">
      <c r="A3247" s="6">
        <v>46237</v>
      </c>
      <c r="B3247" t="s">
        <v>18</v>
      </c>
      <c r="C3247" t="s">
        <v>19</v>
      </c>
      <c r="D3247" s="2">
        <v>184.02000427246091</v>
      </c>
      <c r="E3247" s="2">
        <v>189.80999755859381</v>
      </c>
      <c r="F3247" s="2">
        <v>184.02000427246091</v>
      </c>
      <c r="G3247" s="2">
        <v>188.6600036621094</v>
      </c>
      <c r="H3247" s="3">
        <v>15840516</v>
      </c>
      <c r="I3247" s="4">
        <f t="shared" si="200"/>
        <v>0</v>
      </c>
      <c r="J3247" s="2">
        <f t="shared" si="201"/>
        <v>1.1499999999999999</v>
      </c>
      <c r="K3247" s="7">
        <f t="shared" si="202"/>
        <v>46235</v>
      </c>
      <c r="L3247" t="str">
        <f t="shared" si="203"/>
        <v>Q3-2026</v>
      </c>
    </row>
    <row r="3248" spans="1:12">
      <c r="A3248" s="6">
        <v>46237</v>
      </c>
      <c r="B3248" t="s">
        <v>20</v>
      </c>
      <c r="C3248" t="s">
        <v>21</v>
      </c>
      <c r="D3248" s="2">
        <v>1352</v>
      </c>
      <c r="E3248" s="2">
        <v>1377</v>
      </c>
      <c r="F3248" s="2">
        <v>1343.5</v>
      </c>
      <c r="G3248" s="2">
        <v>1377</v>
      </c>
      <c r="H3248" s="3">
        <v>2314332</v>
      </c>
      <c r="I3248" s="4">
        <f t="shared" si="200"/>
        <v>-0.63</v>
      </c>
      <c r="J3248" s="2">
        <f t="shared" si="201"/>
        <v>0</v>
      </c>
      <c r="K3248" s="7">
        <f t="shared" si="202"/>
        <v>46235</v>
      </c>
      <c r="L3248" t="str">
        <f t="shared" si="203"/>
        <v>Q3-2026</v>
      </c>
    </row>
    <row r="3249" spans="1:12">
      <c r="A3249" s="6">
        <v>46237</v>
      </c>
      <c r="B3249" t="s">
        <v>22</v>
      </c>
      <c r="C3249" t="s">
        <v>23</v>
      </c>
      <c r="D3249" s="2">
        <v>1176.300048828125</v>
      </c>
      <c r="E3249" s="2">
        <v>1176.400024414062</v>
      </c>
      <c r="F3249" s="2">
        <v>1140.199951171875</v>
      </c>
      <c r="G3249" s="2">
        <v>1153</v>
      </c>
      <c r="H3249" s="3">
        <v>13758012</v>
      </c>
      <c r="I3249" s="4">
        <f t="shared" si="200"/>
        <v>-3.07</v>
      </c>
      <c r="J3249" s="2">
        <f t="shared" si="201"/>
        <v>23.4</v>
      </c>
      <c r="K3249" s="7">
        <f t="shared" si="202"/>
        <v>46235</v>
      </c>
      <c r="L3249" t="str">
        <f t="shared" si="203"/>
        <v>Q3-2026</v>
      </c>
    </row>
    <row r="3250" spans="1:12">
      <c r="A3250" s="6">
        <v>46237</v>
      </c>
      <c r="B3250" t="s">
        <v>24</v>
      </c>
      <c r="C3250" t="s">
        <v>25</v>
      </c>
      <c r="D3250" s="2">
        <v>14157.812230841429</v>
      </c>
      <c r="E3250" s="2">
        <v>14296.42018275177</v>
      </c>
      <c r="F3250" s="2">
        <v>13762.779567896971</v>
      </c>
      <c r="G3250" s="2">
        <v>14009.3037109375</v>
      </c>
      <c r="H3250" s="3">
        <v>961183</v>
      </c>
      <c r="I3250" s="4">
        <f t="shared" si="200"/>
        <v>-2.79</v>
      </c>
      <c r="J3250" s="2">
        <f t="shared" si="201"/>
        <v>287.12</v>
      </c>
      <c r="K3250" s="7">
        <f t="shared" si="202"/>
        <v>46235</v>
      </c>
      <c r="L3250" t="str">
        <f t="shared" si="203"/>
        <v>Q3-2026</v>
      </c>
    </row>
    <row r="3251" spans="1:12">
      <c r="A3251" s="6">
        <v>46237</v>
      </c>
      <c r="B3251" t="s">
        <v>26</v>
      </c>
      <c r="C3251" t="s">
        <v>27</v>
      </c>
      <c r="D3251" s="2">
        <v>344.5</v>
      </c>
      <c r="E3251" s="2">
        <v>350.45001220703119</v>
      </c>
      <c r="F3251" s="2">
        <v>343.5</v>
      </c>
      <c r="G3251" s="2">
        <v>349.29998779296881</v>
      </c>
      <c r="H3251" s="3">
        <v>12027810</v>
      </c>
      <c r="I3251" s="4">
        <f t="shared" si="200"/>
        <v>-0.28999999999999998</v>
      </c>
      <c r="J3251" s="2">
        <f t="shared" si="201"/>
        <v>1.1499999999999999</v>
      </c>
      <c r="K3251" s="7">
        <f t="shared" si="202"/>
        <v>46235</v>
      </c>
      <c r="L3251" t="str">
        <f t="shared" si="203"/>
        <v>Q3-2026</v>
      </c>
    </row>
    <row r="3252" spans="1:12">
      <c r="A3252" s="6">
        <v>46237</v>
      </c>
      <c r="B3252" t="s">
        <v>28</v>
      </c>
      <c r="C3252" t="s">
        <v>29</v>
      </c>
      <c r="D3252" s="2">
        <v>1983.199951171875</v>
      </c>
      <c r="E3252" s="2">
        <v>1988</v>
      </c>
      <c r="F3252" s="2">
        <v>1935.199951171875</v>
      </c>
      <c r="G3252" s="2">
        <v>1963.5</v>
      </c>
      <c r="H3252" s="3">
        <v>3972351</v>
      </c>
      <c r="I3252" s="4">
        <f t="shared" si="200"/>
        <v>-2.42</v>
      </c>
      <c r="J3252" s="2">
        <f t="shared" si="201"/>
        <v>24.5</v>
      </c>
      <c r="K3252" s="7">
        <f t="shared" si="202"/>
        <v>46235</v>
      </c>
      <c r="L3252" t="str">
        <f t="shared" si="203"/>
        <v>Q3-2026</v>
      </c>
    </row>
    <row r="3253" spans="1:12">
      <c r="A3253" s="6">
        <v>46237</v>
      </c>
      <c r="B3253" t="s">
        <v>30</v>
      </c>
      <c r="C3253" t="s">
        <v>31</v>
      </c>
      <c r="D3253" s="2">
        <v>2770.89990234375</v>
      </c>
      <c r="E3253" s="2">
        <v>2810</v>
      </c>
      <c r="F3253" s="2">
        <v>2762.10009765625</v>
      </c>
      <c r="G3253" s="2">
        <v>2810</v>
      </c>
      <c r="H3253" s="3">
        <v>1040453</v>
      </c>
      <c r="I3253" s="4">
        <f t="shared" si="200"/>
        <v>-0.32</v>
      </c>
      <c r="J3253" s="2">
        <f t="shared" si="201"/>
        <v>0</v>
      </c>
      <c r="K3253" s="7">
        <f t="shared" si="202"/>
        <v>46235</v>
      </c>
      <c r="L3253" t="str">
        <f t="shared" si="203"/>
        <v>Q3-2026</v>
      </c>
    </row>
    <row r="3254" spans="1:12">
      <c r="A3254" s="6">
        <v>46237</v>
      </c>
      <c r="B3254" t="s">
        <v>32</v>
      </c>
      <c r="C3254" t="s">
        <v>33</v>
      </c>
      <c r="D3254" s="2">
        <v>2107</v>
      </c>
      <c r="E3254" s="2">
        <v>2138</v>
      </c>
      <c r="F3254" s="2">
        <v>2105.300048828125</v>
      </c>
      <c r="G3254" s="2">
        <v>2138</v>
      </c>
      <c r="H3254" s="3">
        <v>740649</v>
      </c>
      <c r="I3254" s="4">
        <f t="shared" si="200"/>
        <v>-0.08</v>
      </c>
      <c r="J3254" s="2">
        <f t="shared" si="201"/>
        <v>0</v>
      </c>
      <c r="K3254" s="7">
        <f t="shared" si="202"/>
        <v>46235</v>
      </c>
      <c r="L3254" t="str">
        <f t="shared" si="203"/>
        <v>Q3-2026</v>
      </c>
    </row>
    <row r="3255" spans="1:12">
      <c r="A3255" s="6">
        <v>46237</v>
      </c>
      <c r="B3255" t="s">
        <v>34</v>
      </c>
      <c r="C3255" t="s">
        <v>35</v>
      </c>
      <c r="D3255" s="2">
        <v>3974</v>
      </c>
      <c r="E3255" s="2">
        <v>4025</v>
      </c>
      <c r="F3255" s="2">
        <v>3962.5</v>
      </c>
      <c r="G3255" s="2">
        <v>4025</v>
      </c>
      <c r="H3255" s="3">
        <v>1890377</v>
      </c>
      <c r="I3255" s="4">
        <f t="shared" si="200"/>
        <v>-0.28999999999999998</v>
      </c>
      <c r="J3255" s="2">
        <f t="shared" si="201"/>
        <v>0</v>
      </c>
      <c r="K3255" s="7">
        <f t="shared" si="202"/>
        <v>46235</v>
      </c>
      <c r="L3255" t="str">
        <f t="shared" si="203"/>
        <v>Q3-2026</v>
      </c>
    </row>
    <row r="3256" spans="1:12">
      <c r="A3256" s="6">
        <v>46237</v>
      </c>
      <c r="B3256" t="s">
        <v>36</v>
      </c>
      <c r="C3256" t="s">
        <v>37</v>
      </c>
      <c r="D3256" s="2">
        <v>1236.900024414062</v>
      </c>
      <c r="E3256" s="2">
        <v>1272</v>
      </c>
      <c r="F3256" s="2">
        <v>1230.5</v>
      </c>
      <c r="G3256" s="2">
        <v>1272</v>
      </c>
      <c r="H3256" s="3">
        <v>6713421</v>
      </c>
      <c r="I3256" s="4">
        <f t="shared" si="200"/>
        <v>-0.52</v>
      </c>
      <c r="J3256" s="2">
        <f t="shared" si="201"/>
        <v>0</v>
      </c>
      <c r="K3256" s="7">
        <f t="shared" si="202"/>
        <v>46235</v>
      </c>
      <c r="L3256" t="str">
        <f t="shared" si="203"/>
        <v>Q3-2026</v>
      </c>
    </row>
    <row r="3257" spans="1:12">
      <c r="A3257" s="6">
        <v>46238</v>
      </c>
      <c r="B3257" t="s">
        <v>8</v>
      </c>
      <c r="C3257" t="s">
        <v>9</v>
      </c>
      <c r="D3257" s="2">
        <v>1315</v>
      </c>
      <c r="E3257" s="2">
        <v>1315</v>
      </c>
      <c r="F3257" s="2">
        <v>1286.400024414062</v>
      </c>
      <c r="G3257" s="2">
        <v>1290.900024414062</v>
      </c>
      <c r="H3257" s="3">
        <v>10759546</v>
      </c>
      <c r="I3257" s="4">
        <f t="shared" si="200"/>
        <v>-2.17</v>
      </c>
      <c r="J3257" s="2">
        <f t="shared" si="201"/>
        <v>24.1</v>
      </c>
      <c r="K3257" s="7">
        <f t="shared" si="202"/>
        <v>46235</v>
      </c>
      <c r="L3257" t="str">
        <f t="shared" si="203"/>
        <v>Q3-2026</v>
      </c>
    </row>
    <row r="3258" spans="1:12">
      <c r="A3258" s="6">
        <v>46238</v>
      </c>
      <c r="B3258" t="s">
        <v>10</v>
      </c>
      <c r="C3258" t="s">
        <v>11</v>
      </c>
      <c r="D3258" s="2">
        <v>2463.10009765625</v>
      </c>
      <c r="E3258" s="2">
        <v>2467.39990234375</v>
      </c>
      <c r="F3258" s="2">
        <v>2435.10009765625</v>
      </c>
      <c r="G3258" s="2">
        <v>2460</v>
      </c>
      <c r="H3258" s="3">
        <v>2792792</v>
      </c>
      <c r="I3258" s="4">
        <f t="shared" si="200"/>
        <v>-1.1399999999999999</v>
      </c>
      <c r="J3258" s="2">
        <f t="shared" si="201"/>
        <v>7.4</v>
      </c>
      <c r="K3258" s="7">
        <f t="shared" si="202"/>
        <v>46235</v>
      </c>
      <c r="L3258" t="str">
        <f t="shared" si="203"/>
        <v>Q3-2026</v>
      </c>
    </row>
    <row r="3259" spans="1:12">
      <c r="A3259" s="6">
        <v>46238</v>
      </c>
      <c r="B3259" t="s">
        <v>12</v>
      </c>
      <c r="C3259" t="s">
        <v>13</v>
      </c>
      <c r="D3259" s="2">
        <v>1168</v>
      </c>
      <c r="E3259" s="2">
        <v>1175.699951171875</v>
      </c>
      <c r="F3259" s="2">
        <v>1153.300048828125</v>
      </c>
      <c r="G3259" s="2">
        <v>1167.5</v>
      </c>
      <c r="H3259" s="3">
        <v>9243589</v>
      </c>
      <c r="I3259" s="4">
        <f t="shared" si="200"/>
        <v>-1.26</v>
      </c>
      <c r="J3259" s="2">
        <f t="shared" si="201"/>
        <v>8.1999999999999993</v>
      </c>
      <c r="K3259" s="7">
        <f t="shared" si="202"/>
        <v>46235</v>
      </c>
      <c r="L3259" t="str">
        <f t="shared" si="203"/>
        <v>Q3-2026</v>
      </c>
    </row>
    <row r="3260" spans="1:12">
      <c r="A3260" s="6">
        <v>46238</v>
      </c>
      <c r="B3260" t="s">
        <v>14</v>
      </c>
      <c r="C3260" t="s">
        <v>15</v>
      </c>
      <c r="D3260" s="2">
        <v>753.20001220703125</v>
      </c>
      <c r="E3260" s="2">
        <v>753.20001220703125</v>
      </c>
      <c r="F3260" s="2">
        <v>738</v>
      </c>
      <c r="G3260" s="2">
        <v>742</v>
      </c>
      <c r="H3260" s="3">
        <v>31559802</v>
      </c>
      <c r="I3260" s="4">
        <f t="shared" si="200"/>
        <v>-2.02</v>
      </c>
      <c r="J3260" s="2">
        <f t="shared" si="201"/>
        <v>11.2</v>
      </c>
      <c r="K3260" s="7">
        <f t="shared" si="202"/>
        <v>46235</v>
      </c>
      <c r="L3260" t="str">
        <f t="shared" si="203"/>
        <v>Q3-2026</v>
      </c>
    </row>
    <row r="3261" spans="1:12">
      <c r="A3261" s="6">
        <v>46238</v>
      </c>
      <c r="B3261" t="s">
        <v>16</v>
      </c>
      <c r="C3261" t="s">
        <v>17</v>
      </c>
      <c r="D3261" s="2">
        <v>1452</v>
      </c>
      <c r="E3261" s="2">
        <v>1454.599975585938</v>
      </c>
      <c r="F3261" s="2">
        <v>1430.800048828125</v>
      </c>
      <c r="G3261" s="2">
        <v>1454.599975585938</v>
      </c>
      <c r="H3261" s="3">
        <v>11458963</v>
      </c>
      <c r="I3261" s="4">
        <f t="shared" si="200"/>
        <v>-1.46</v>
      </c>
      <c r="J3261" s="2">
        <f t="shared" si="201"/>
        <v>0</v>
      </c>
      <c r="K3261" s="7">
        <f t="shared" si="202"/>
        <v>46235</v>
      </c>
      <c r="L3261" t="str">
        <f t="shared" si="203"/>
        <v>Q3-2026</v>
      </c>
    </row>
    <row r="3262" spans="1:12">
      <c r="A3262" s="6">
        <v>46238</v>
      </c>
      <c r="B3262" t="s">
        <v>18</v>
      </c>
      <c r="C3262" t="s">
        <v>19</v>
      </c>
      <c r="D3262" s="2">
        <v>189</v>
      </c>
      <c r="E3262" s="2">
        <v>189.3999938964844</v>
      </c>
      <c r="F3262" s="2">
        <v>186.30000305175781</v>
      </c>
      <c r="G3262" s="2">
        <v>186.30000305175781</v>
      </c>
      <c r="H3262" s="3">
        <v>11903457</v>
      </c>
      <c r="I3262" s="4">
        <f t="shared" si="200"/>
        <v>-1.43</v>
      </c>
      <c r="J3262" s="2">
        <f t="shared" si="201"/>
        <v>3.1</v>
      </c>
      <c r="K3262" s="7">
        <f t="shared" si="202"/>
        <v>46235</v>
      </c>
      <c r="L3262" t="str">
        <f t="shared" si="203"/>
        <v>Q3-2026</v>
      </c>
    </row>
    <row r="3263" spans="1:12">
      <c r="A3263" s="6">
        <v>46238</v>
      </c>
      <c r="B3263" t="s">
        <v>20</v>
      </c>
      <c r="C3263" t="s">
        <v>21</v>
      </c>
      <c r="D3263" s="2">
        <v>1375.699951171875</v>
      </c>
      <c r="E3263" s="2">
        <v>1375.900024414062</v>
      </c>
      <c r="F3263" s="2">
        <v>1347.400024414062</v>
      </c>
      <c r="G3263" s="2">
        <v>1369.900024414062</v>
      </c>
      <c r="H3263" s="3">
        <v>3013543</v>
      </c>
      <c r="I3263" s="4">
        <f t="shared" si="200"/>
        <v>-2.06</v>
      </c>
      <c r="J3263" s="2">
        <f t="shared" si="201"/>
        <v>6</v>
      </c>
      <c r="K3263" s="7">
        <f t="shared" si="202"/>
        <v>46235</v>
      </c>
      <c r="L3263" t="str">
        <f t="shared" si="203"/>
        <v>Q3-2026</v>
      </c>
    </row>
    <row r="3264" spans="1:12">
      <c r="A3264" s="6">
        <v>46238</v>
      </c>
      <c r="B3264" t="s">
        <v>22</v>
      </c>
      <c r="C3264" t="s">
        <v>23</v>
      </c>
      <c r="D3264" s="2">
        <v>1164</v>
      </c>
      <c r="E3264" s="2">
        <v>1164</v>
      </c>
      <c r="F3264" s="2">
        <v>1139.5</v>
      </c>
      <c r="G3264" s="2">
        <v>1149</v>
      </c>
      <c r="H3264" s="3">
        <v>9437990</v>
      </c>
      <c r="I3264" s="4">
        <f t="shared" si="200"/>
        <v>-2.1</v>
      </c>
      <c r="J3264" s="2">
        <f t="shared" si="201"/>
        <v>15</v>
      </c>
      <c r="K3264" s="7">
        <f t="shared" si="202"/>
        <v>46235</v>
      </c>
      <c r="L3264" t="str">
        <f t="shared" si="203"/>
        <v>Q3-2026</v>
      </c>
    </row>
    <row r="3265" spans="1:12">
      <c r="A3265" s="6">
        <v>46238</v>
      </c>
      <c r="B3265" t="s">
        <v>24</v>
      </c>
      <c r="C3265" t="s">
        <v>25</v>
      </c>
      <c r="D3265" s="2">
        <v>13983.5625</v>
      </c>
      <c r="E3265" s="2">
        <v>14112.26988636364</v>
      </c>
      <c r="F3265" s="2">
        <v>13875.64630681818</v>
      </c>
      <c r="G3265" s="2">
        <v>14027.125</v>
      </c>
      <c r="H3265" s="3">
        <v>619717</v>
      </c>
      <c r="I3265" s="4">
        <f t="shared" si="200"/>
        <v>-0.77</v>
      </c>
      <c r="J3265" s="2">
        <f t="shared" si="201"/>
        <v>85.14</v>
      </c>
      <c r="K3265" s="7">
        <f t="shared" si="202"/>
        <v>46235</v>
      </c>
      <c r="L3265" t="str">
        <f t="shared" si="203"/>
        <v>Q3-2026</v>
      </c>
    </row>
    <row r="3266" spans="1:12">
      <c r="A3266" s="6">
        <v>46238</v>
      </c>
      <c r="B3266" t="s">
        <v>26</v>
      </c>
      <c r="C3266" t="s">
        <v>27</v>
      </c>
      <c r="D3266" s="2">
        <v>348.95001220703119</v>
      </c>
      <c r="E3266" s="2">
        <v>349.54998779296881</v>
      </c>
      <c r="F3266" s="2">
        <v>345</v>
      </c>
      <c r="G3266" s="2">
        <v>348.54998779296881</v>
      </c>
      <c r="H3266" s="3">
        <v>8003110</v>
      </c>
      <c r="I3266" s="4">
        <f t="shared" ref="I3266:I3329" si="204">ROUND(((F3266-D3266)/D3266)*100, 2)</f>
        <v>-1.1299999999999999</v>
      </c>
      <c r="J3266" s="2">
        <f t="shared" ref="J3266:J3329" si="205">ROUND(E3266-G3266, 2)</f>
        <v>1</v>
      </c>
      <c r="K3266" s="7">
        <f t="shared" ref="K3266:K3329" si="206">DATE(YEAR(A3266),MONTH(A3266),1)</f>
        <v>46235</v>
      </c>
      <c r="L3266" t="str">
        <f t="shared" ref="L3266:L3329" si="207">"Q"&amp;INT((MONTH(A3266)-1)/3)+1&amp;"-"&amp;YEAR(A3266)</f>
        <v>Q3-2026</v>
      </c>
    </row>
    <row r="3267" spans="1:12">
      <c r="A3267" s="6">
        <v>46238</v>
      </c>
      <c r="B3267" t="s">
        <v>28</v>
      </c>
      <c r="C3267" t="s">
        <v>29</v>
      </c>
      <c r="D3267" s="2">
        <v>1951.099975585938</v>
      </c>
      <c r="E3267" s="2">
        <v>1965</v>
      </c>
      <c r="F3267" s="2">
        <v>1947</v>
      </c>
      <c r="G3267" s="2">
        <v>1964</v>
      </c>
      <c r="H3267" s="3">
        <v>1452888</v>
      </c>
      <c r="I3267" s="4">
        <f t="shared" si="204"/>
        <v>-0.21</v>
      </c>
      <c r="J3267" s="2">
        <f t="shared" si="205"/>
        <v>1</v>
      </c>
      <c r="K3267" s="7">
        <f t="shared" si="206"/>
        <v>46235</v>
      </c>
      <c r="L3267" t="str">
        <f t="shared" si="207"/>
        <v>Q3-2026</v>
      </c>
    </row>
    <row r="3268" spans="1:12">
      <c r="A3268" s="6">
        <v>46238</v>
      </c>
      <c r="B3268" t="s">
        <v>30</v>
      </c>
      <c r="C3268" t="s">
        <v>31</v>
      </c>
      <c r="D3268" s="2">
        <v>2774.89990234375</v>
      </c>
      <c r="E3268" s="2">
        <v>2807.300048828125</v>
      </c>
      <c r="F3268" s="2">
        <v>2732.39990234375</v>
      </c>
      <c r="G3268" s="2">
        <v>2775</v>
      </c>
      <c r="H3268" s="3">
        <v>820097</v>
      </c>
      <c r="I3268" s="4">
        <f t="shared" si="204"/>
        <v>-1.53</v>
      </c>
      <c r="J3268" s="2">
        <f t="shared" si="205"/>
        <v>32.299999999999997</v>
      </c>
      <c r="K3268" s="7">
        <f t="shared" si="206"/>
        <v>46235</v>
      </c>
      <c r="L3268" t="str">
        <f t="shared" si="207"/>
        <v>Q3-2026</v>
      </c>
    </row>
    <row r="3269" spans="1:12">
      <c r="A3269" s="6">
        <v>46238</v>
      </c>
      <c r="B3269" t="s">
        <v>32</v>
      </c>
      <c r="C3269" t="s">
        <v>33</v>
      </c>
      <c r="D3269" s="2">
        <v>2119.10009765625</v>
      </c>
      <c r="E3269" s="2">
        <v>2119.10009765625</v>
      </c>
      <c r="F3269" s="2">
        <v>2070.199951171875</v>
      </c>
      <c r="G3269" s="2">
        <v>2096.5</v>
      </c>
      <c r="H3269" s="3">
        <v>1657094</v>
      </c>
      <c r="I3269" s="4">
        <f t="shared" si="204"/>
        <v>-2.31</v>
      </c>
      <c r="J3269" s="2">
        <f t="shared" si="205"/>
        <v>22.6</v>
      </c>
      <c r="K3269" s="7">
        <f t="shared" si="206"/>
        <v>46235</v>
      </c>
      <c r="L3269" t="str">
        <f t="shared" si="207"/>
        <v>Q3-2026</v>
      </c>
    </row>
    <row r="3270" spans="1:12">
      <c r="A3270" s="6">
        <v>46238</v>
      </c>
      <c r="B3270" t="s">
        <v>34</v>
      </c>
      <c r="C3270" t="s">
        <v>35</v>
      </c>
      <c r="D3270" s="2">
        <v>4007.199951171875</v>
      </c>
      <c r="E3270" s="2">
        <v>4042.39990234375</v>
      </c>
      <c r="F3270" s="2">
        <v>3988.199951171875</v>
      </c>
      <c r="G3270" s="2">
        <v>3990</v>
      </c>
      <c r="H3270" s="3">
        <v>1827982</v>
      </c>
      <c r="I3270" s="4">
        <f t="shared" si="204"/>
        <v>-0.47</v>
      </c>
      <c r="J3270" s="2">
        <f t="shared" si="205"/>
        <v>52.4</v>
      </c>
      <c r="K3270" s="7">
        <f t="shared" si="206"/>
        <v>46235</v>
      </c>
      <c r="L3270" t="str">
        <f t="shared" si="207"/>
        <v>Q3-2026</v>
      </c>
    </row>
    <row r="3271" spans="1:12">
      <c r="A3271" s="6">
        <v>46238</v>
      </c>
      <c r="B3271" t="s">
        <v>36</v>
      </c>
      <c r="C3271" t="s">
        <v>37</v>
      </c>
      <c r="D3271" s="2">
        <v>1264</v>
      </c>
      <c r="E3271" s="2">
        <v>1264</v>
      </c>
      <c r="F3271" s="2">
        <v>1244</v>
      </c>
      <c r="G3271" s="2">
        <v>1261.800048828125</v>
      </c>
      <c r="H3271" s="3">
        <v>5694891</v>
      </c>
      <c r="I3271" s="4">
        <f t="shared" si="204"/>
        <v>-1.58</v>
      </c>
      <c r="J3271" s="2">
        <f t="shared" si="205"/>
        <v>2.2000000000000002</v>
      </c>
      <c r="K3271" s="7">
        <f t="shared" si="206"/>
        <v>46235</v>
      </c>
      <c r="L3271" t="str">
        <f t="shared" si="207"/>
        <v>Q3-2026</v>
      </c>
    </row>
    <row r="3272" spans="1:12">
      <c r="A3272" s="6">
        <v>46239</v>
      </c>
      <c r="B3272" t="s">
        <v>8</v>
      </c>
      <c r="C3272" t="s">
        <v>9</v>
      </c>
      <c r="D3272" s="2">
        <v>1293</v>
      </c>
      <c r="E3272" s="2">
        <v>1299</v>
      </c>
      <c r="F3272" s="2">
        <v>1270.099975585938</v>
      </c>
      <c r="G3272" s="2">
        <v>1280</v>
      </c>
      <c r="H3272" s="3">
        <v>24820782</v>
      </c>
      <c r="I3272" s="4">
        <f t="shared" si="204"/>
        <v>-1.77</v>
      </c>
      <c r="J3272" s="2">
        <f t="shared" si="205"/>
        <v>19</v>
      </c>
      <c r="K3272" s="7">
        <f t="shared" si="206"/>
        <v>46235</v>
      </c>
      <c r="L3272" t="str">
        <f t="shared" si="207"/>
        <v>Q3-2026</v>
      </c>
    </row>
    <row r="3273" spans="1:12">
      <c r="A3273" s="6">
        <v>46239</v>
      </c>
      <c r="B3273" t="s">
        <v>10</v>
      </c>
      <c r="C3273" t="s">
        <v>11</v>
      </c>
      <c r="D3273" s="2">
        <v>2460</v>
      </c>
      <c r="E3273" s="2">
        <v>2460.89990234375</v>
      </c>
      <c r="F3273" s="2">
        <v>2408</v>
      </c>
      <c r="G3273" s="2">
        <v>2413</v>
      </c>
      <c r="H3273" s="3">
        <v>3014409</v>
      </c>
      <c r="I3273" s="4">
        <f t="shared" si="204"/>
        <v>-2.11</v>
      </c>
      <c r="J3273" s="2">
        <f t="shared" si="205"/>
        <v>47.9</v>
      </c>
      <c r="K3273" s="7">
        <f t="shared" si="206"/>
        <v>46235</v>
      </c>
      <c r="L3273" t="str">
        <f t="shared" si="207"/>
        <v>Q3-2026</v>
      </c>
    </row>
    <row r="3274" spans="1:12">
      <c r="A3274" s="6">
        <v>46239</v>
      </c>
      <c r="B3274" t="s">
        <v>12</v>
      </c>
      <c r="C3274" t="s">
        <v>13</v>
      </c>
      <c r="D3274" s="2">
        <v>1174.699951171875</v>
      </c>
      <c r="E3274" s="2">
        <v>1177.5</v>
      </c>
      <c r="F3274" s="2">
        <v>1162.300048828125</v>
      </c>
      <c r="G3274" s="2">
        <v>1174</v>
      </c>
      <c r="H3274" s="3">
        <v>9964155</v>
      </c>
      <c r="I3274" s="4">
        <f t="shared" si="204"/>
        <v>-1.06</v>
      </c>
      <c r="J3274" s="2">
        <f t="shared" si="205"/>
        <v>3.5</v>
      </c>
      <c r="K3274" s="7">
        <f t="shared" si="206"/>
        <v>46235</v>
      </c>
      <c r="L3274" t="str">
        <f t="shared" si="207"/>
        <v>Q3-2026</v>
      </c>
    </row>
    <row r="3275" spans="1:12">
      <c r="A3275" s="6">
        <v>46239</v>
      </c>
      <c r="B3275" t="s">
        <v>14</v>
      </c>
      <c r="C3275" t="s">
        <v>15</v>
      </c>
      <c r="D3275" s="2">
        <v>733.79998779296875</v>
      </c>
      <c r="E3275" s="2">
        <v>741.95001220703125</v>
      </c>
      <c r="F3275" s="2">
        <v>732.5999755859375</v>
      </c>
      <c r="G3275" s="2">
        <v>735</v>
      </c>
      <c r="H3275" s="3">
        <v>60050538</v>
      </c>
      <c r="I3275" s="4">
        <f t="shared" si="204"/>
        <v>-0.16</v>
      </c>
      <c r="J3275" s="2">
        <f t="shared" si="205"/>
        <v>6.95</v>
      </c>
      <c r="K3275" s="7">
        <f t="shared" si="206"/>
        <v>46235</v>
      </c>
      <c r="L3275" t="str">
        <f t="shared" si="207"/>
        <v>Q3-2026</v>
      </c>
    </row>
    <row r="3276" spans="1:12">
      <c r="A3276" s="6">
        <v>46239</v>
      </c>
      <c r="B3276" t="s">
        <v>16</v>
      </c>
      <c r="C3276" t="s">
        <v>17</v>
      </c>
      <c r="D3276" s="2">
        <v>1454.599975585938</v>
      </c>
      <c r="E3276" s="2">
        <v>1454.599975585938</v>
      </c>
      <c r="F3276" s="2">
        <v>1431.199951171875</v>
      </c>
      <c r="G3276" s="2">
        <v>1450.099975585938</v>
      </c>
      <c r="H3276" s="3">
        <v>11723296</v>
      </c>
      <c r="I3276" s="4">
        <f t="shared" si="204"/>
        <v>-1.61</v>
      </c>
      <c r="J3276" s="2">
        <f t="shared" si="205"/>
        <v>4.5</v>
      </c>
      <c r="K3276" s="7">
        <f t="shared" si="206"/>
        <v>46235</v>
      </c>
      <c r="L3276" t="str">
        <f t="shared" si="207"/>
        <v>Q3-2026</v>
      </c>
    </row>
    <row r="3277" spans="1:12">
      <c r="A3277" s="6">
        <v>46239</v>
      </c>
      <c r="B3277" t="s">
        <v>18</v>
      </c>
      <c r="C3277" t="s">
        <v>19</v>
      </c>
      <c r="D3277" s="2">
        <v>187</v>
      </c>
      <c r="E3277" s="2">
        <v>188.53999328613281</v>
      </c>
      <c r="F3277" s="2">
        <v>186.07000732421881</v>
      </c>
      <c r="G3277" s="2">
        <v>186.99000549316409</v>
      </c>
      <c r="H3277" s="3">
        <v>8829250</v>
      </c>
      <c r="I3277" s="4">
        <f t="shared" si="204"/>
        <v>-0.5</v>
      </c>
      <c r="J3277" s="2">
        <f t="shared" si="205"/>
        <v>1.55</v>
      </c>
      <c r="K3277" s="7">
        <f t="shared" si="206"/>
        <v>46235</v>
      </c>
      <c r="L3277" t="str">
        <f t="shared" si="207"/>
        <v>Q3-2026</v>
      </c>
    </row>
    <row r="3278" spans="1:12">
      <c r="A3278" s="6">
        <v>46239</v>
      </c>
      <c r="B3278" t="s">
        <v>20</v>
      </c>
      <c r="C3278" t="s">
        <v>21</v>
      </c>
      <c r="D3278" s="2">
        <v>1370</v>
      </c>
      <c r="E3278" s="2">
        <v>1375</v>
      </c>
      <c r="F3278" s="2">
        <v>1337.099975585938</v>
      </c>
      <c r="G3278" s="2">
        <v>1350</v>
      </c>
      <c r="H3278" s="3">
        <v>3215211</v>
      </c>
      <c r="I3278" s="4">
        <f t="shared" si="204"/>
        <v>-2.4</v>
      </c>
      <c r="J3278" s="2">
        <f t="shared" si="205"/>
        <v>25</v>
      </c>
      <c r="K3278" s="7">
        <f t="shared" si="206"/>
        <v>46235</v>
      </c>
      <c r="L3278" t="str">
        <f t="shared" si="207"/>
        <v>Q3-2026</v>
      </c>
    </row>
    <row r="3279" spans="1:12">
      <c r="A3279" s="6">
        <v>46239</v>
      </c>
      <c r="B3279" t="s">
        <v>22</v>
      </c>
      <c r="C3279" t="s">
        <v>23</v>
      </c>
      <c r="D3279" s="2">
        <v>1152</v>
      </c>
      <c r="E3279" s="2">
        <v>1166</v>
      </c>
      <c r="F3279" s="2">
        <v>1145.099975585938</v>
      </c>
      <c r="G3279" s="2">
        <v>1158.800048828125</v>
      </c>
      <c r="H3279" s="3">
        <v>5154683</v>
      </c>
      <c r="I3279" s="4">
        <f t="shared" si="204"/>
        <v>-0.6</v>
      </c>
      <c r="J3279" s="2">
        <f t="shared" si="205"/>
        <v>7.2</v>
      </c>
      <c r="K3279" s="7">
        <f t="shared" si="206"/>
        <v>46235</v>
      </c>
      <c r="L3279" t="str">
        <f t="shared" si="207"/>
        <v>Q3-2026</v>
      </c>
    </row>
    <row r="3280" spans="1:12">
      <c r="A3280" s="6">
        <v>46239</v>
      </c>
      <c r="B3280" t="s">
        <v>24</v>
      </c>
      <c r="C3280" t="s">
        <v>25</v>
      </c>
      <c r="D3280" s="2">
        <v>14098.40909090909</v>
      </c>
      <c r="E3280" s="2">
        <v>14107.31960227273</v>
      </c>
      <c r="F3280" s="2">
        <v>13948.91051136364</v>
      </c>
      <c r="G3280" s="2">
        <v>14048.90625</v>
      </c>
      <c r="H3280" s="3">
        <v>312540</v>
      </c>
      <c r="I3280" s="4">
        <f t="shared" si="204"/>
        <v>-1.06</v>
      </c>
      <c r="J3280" s="2">
        <f t="shared" si="205"/>
        <v>58.41</v>
      </c>
      <c r="K3280" s="7">
        <f t="shared" si="206"/>
        <v>46235</v>
      </c>
      <c r="L3280" t="str">
        <f t="shared" si="207"/>
        <v>Q3-2026</v>
      </c>
    </row>
    <row r="3281" spans="1:12">
      <c r="A3281" s="6">
        <v>46239</v>
      </c>
      <c r="B3281" t="s">
        <v>26</v>
      </c>
      <c r="C3281" t="s">
        <v>27</v>
      </c>
      <c r="D3281" s="2">
        <v>349</v>
      </c>
      <c r="E3281" s="2">
        <v>353.20001220703119</v>
      </c>
      <c r="F3281" s="2">
        <v>346.39999389648438</v>
      </c>
      <c r="G3281" s="2">
        <v>349.79998779296881</v>
      </c>
      <c r="H3281" s="3">
        <v>7110154</v>
      </c>
      <c r="I3281" s="4">
        <f t="shared" si="204"/>
        <v>-0.74</v>
      </c>
      <c r="J3281" s="2">
        <f t="shared" si="205"/>
        <v>3.4</v>
      </c>
      <c r="K3281" s="7">
        <f t="shared" si="206"/>
        <v>46235</v>
      </c>
      <c r="L3281" t="str">
        <f t="shared" si="207"/>
        <v>Q3-2026</v>
      </c>
    </row>
    <row r="3282" spans="1:12">
      <c r="A3282" s="6">
        <v>46239</v>
      </c>
      <c r="B3282" t="s">
        <v>28</v>
      </c>
      <c r="C3282" t="s">
        <v>29</v>
      </c>
      <c r="D3282" s="2">
        <v>1967.800048828125</v>
      </c>
      <c r="E3282" s="2">
        <v>1968.199951171875</v>
      </c>
      <c r="F3282" s="2">
        <v>1934</v>
      </c>
      <c r="G3282" s="2">
        <v>1940</v>
      </c>
      <c r="H3282" s="3">
        <v>2152829</v>
      </c>
      <c r="I3282" s="4">
        <f t="shared" si="204"/>
        <v>-1.72</v>
      </c>
      <c r="J3282" s="2">
        <f t="shared" si="205"/>
        <v>28.2</v>
      </c>
      <c r="K3282" s="7">
        <f t="shared" si="206"/>
        <v>46235</v>
      </c>
      <c r="L3282" t="str">
        <f t="shared" si="207"/>
        <v>Q3-2026</v>
      </c>
    </row>
    <row r="3283" spans="1:12">
      <c r="A3283" s="6">
        <v>46239</v>
      </c>
      <c r="B3283" t="s">
        <v>30</v>
      </c>
      <c r="C3283" t="s">
        <v>31</v>
      </c>
      <c r="D3283" s="2">
        <v>2787</v>
      </c>
      <c r="E3283" s="2">
        <v>2787</v>
      </c>
      <c r="F3283" s="2">
        <v>2748.699951171875</v>
      </c>
      <c r="G3283" s="2">
        <v>2760</v>
      </c>
      <c r="H3283" s="3">
        <v>688876</v>
      </c>
      <c r="I3283" s="4">
        <f t="shared" si="204"/>
        <v>-1.37</v>
      </c>
      <c r="J3283" s="2">
        <f t="shared" si="205"/>
        <v>27</v>
      </c>
      <c r="K3283" s="7">
        <f t="shared" si="206"/>
        <v>46235</v>
      </c>
      <c r="L3283" t="str">
        <f t="shared" si="207"/>
        <v>Q3-2026</v>
      </c>
    </row>
    <row r="3284" spans="1:12">
      <c r="A3284" s="6">
        <v>46239</v>
      </c>
      <c r="B3284" t="s">
        <v>32</v>
      </c>
      <c r="C3284" t="s">
        <v>33</v>
      </c>
      <c r="D3284" s="2">
        <v>2085.300048828125</v>
      </c>
      <c r="E3284" s="2">
        <v>2097.800048828125</v>
      </c>
      <c r="F3284" s="2">
        <v>2074.199951171875</v>
      </c>
      <c r="G3284" s="2">
        <v>2085.300048828125</v>
      </c>
      <c r="H3284" s="3">
        <v>1150148</v>
      </c>
      <c r="I3284" s="4">
        <f t="shared" si="204"/>
        <v>-0.53</v>
      </c>
      <c r="J3284" s="2">
        <f t="shared" si="205"/>
        <v>12.5</v>
      </c>
      <c r="K3284" s="7">
        <f t="shared" si="206"/>
        <v>46235</v>
      </c>
      <c r="L3284" t="str">
        <f t="shared" si="207"/>
        <v>Q3-2026</v>
      </c>
    </row>
    <row r="3285" spans="1:12">
      <c r="A3285" s="6">
        <v>46239</v>
      </c>
      <c r="B3285" t="s">
        <v>34</v>
      </c>
      <c r="C3285" t="s">
        <v>35</v>
      </c>
      <c r="D3285" s="2">
        <v>4025</v>
      </c>
      <c r="E3285" s="2">
        <v>4074</v>
      </c>
      <c r="F3285" s="2">
        <v>4024.800048828125</v>
      </c>
      <c r="G3285" s="2">
        <v>4057</v>
      </c>
      <c r="H3285" s="3">
        <v>1910224</v>
      </c>
      <c r="I3285" s="4">
        <f t="shared" si="204"/>
        <v>0</v>
      </c>
      <c r="J3285" s="2">
        <f t="shared" si="205"/>
        <v>17</v>
      </c>
      <c r="K3285" s="7">
        <f t="shared" si="206"/>
        <v>46235</v>
      </c>
      <c r="L3285" t="str">
        <f t="shared" si="207"/>
        <v>Q3-2026</v>
      </c>
    </row>
    <row r="3286" spans="1:12">
      <c r="A3286" s="6">
        <v>46239</v>
      </c>
      <c r="B3286" t="s">
        <v>36</v>
      </c>
      <c r="C3286" t="s">
        <v>37</v>
      </c>
      <c r="D3286" s="2">
        <v>1260</v>
      </c>
      <c r="E3286" s="2">
        <v>1263</v>
      </c>
      <c r="F3286" s="2">
        <v>1246.199951171875</v>
      </c>
      <c r="G3286" s="2">
        <v>1253.900024414062</v>
      </c>
      <c r="H3286" s="3">
        <v>4295407</v>
      </c>
      <c r="I3286" s="4">
        <f t="shared" si="204"/>
        <v>-1.1000000000000001</v>
      </c>
      <c r="J3286" s="2">
        <f t="shared" si="205"/>
        <v>9.1</v>
      </c>
      <c r="K3286" s="7">
        <f t="shared" si="206"/>
        <v>46235</v>
      </c>
      <c r="L3286" t="str">
        <f t="shared" si="207"/>
        <v>Q3-2026</v>
      </c>
    </row>
    <row r="3287" spans="1:12">
      <c r="A3287" s="6">
        <v>46240</v>
      </c>
      <c r="B3287" t="s">
        <v>8</v>
      </c>
      <c r="C3287" t="s">
        <v>9</v>
      </c>
      <c r="D3287" s="2">
        <v>1285</v>
      </c>
      <c r="E3287" s="2">
        <v>1325.199951171875</v>
      </c>
      <c r="F3287" s="2">
        <v>1281.199951171875</v>
      </c>
      <c r="G3287" s="2">
        <v>1325</v>
      </c>
      <c r="H3287" s="3">
        <v>20342297</v>
      </c>
      <c r="I3287" s="4">
        <f t="shared" si="204"/>
        <v>-0.3</v>
      </c>
      <c r="J3287" s="2">
        <f t="shared" si="205"/>
        <v>0.2</v>
      </c>
      <c r="K3287" s="7">
        <f t="shared" si="206"/>
        <v>46235</v>
      </c>
      <c r="L3287" t="str">
        <f t="shared" si="207"/>
        <v>Q3-2026</v>
      </c>
    </row>
    <row r="3288" spans="1:12">
      <c r="A3288" s="6">
        <v>46240</v>
      </c>
      <c r="B3288" t="s">
        <v>10</v>
      </c>
      <c r="C3288" t="s">
        <v>11</v>
      </c>
      <c r="D3288" s="2">
        <v>2417</v>
      </c>
      <c r="E3288" s="2">
        <v>2434.5</v>
      </c>
      <c r="F3288" s="2">
        <v>2368.5</v>
      </c>
      <c r="G3288" s="2">
        <v>2373</v>
      </c>
      <c r="H3288" s="3">
        <v>2729141</v>
      </c>
      <c r="I3288" s="4">
        <f t="shared" si="204"/>
        <v>-2.0099999999999998</v>
      </c>
      <c r="J3288" s="2">
        <f t="shared" si="205"/>
        <v>61.5</v>
      </c>
      <c r="K3288" s="7">
        <f t="shared" si="206"/>
        <v>46235</v>
      </c>
      <c r="L3288" t="str">
        <f t="shared" si="207"/>
        <v>Q3-2026</v>
      </c>
    </row>
    <row r="3289" spans="1:12">
      <c r="A3289" s="6">
        <v>46240</v>
      </c>
      <c r="B3289" t="s">
        <v>12</v>
      </c>
      <c r="C3289" t="s">
        <v>13</v>
      </c>
      <c r="D3289" s="2">
        <v>1174.099975585938</v>
      </c>
      <c r="E3289" s="2">
        <v>1185.800048828125</v>
      </c>
      <c r="F3289" s="2">
        <v>1163</v>
      </c>
      <c r="G3289" s="2">
        <v>1165</v>
      </c>
      <c r="H3289" s="3">
        <v>8521064</v>
      </c>
      <c r="I3289" s="4">
        <f t="shared" si="204"/>
        <v>-0.95</v>
      </c>
      <c r="J3289" s="2">
        <f t="shared" si="205"/>
        <v>20.8</v>
      </c>
      <c r="K3289" s="7">
        <f t="shared" si="206"/>
        <v>46235</v>
      </c>
      <c r="L3289" t="str">
        <f t="shared" si="207"/>
        <v>Q3-2026</v>
      </c>
    </row>
    <row r="3290" spans="1:12">
      <c r="A3290" s="6">
        <v>46240</v>
      </c>
      <c r="B3290" t="s">
        <v>14</v>
      </c>
      <c r="C3290" t="s">
        <v>15</v>
      </c>
      <c r="D3290" s="2">
        <v>739</v>
      </c>
      <c r="E3290" s="2">
        <v>740.5</v>
      </c>
      <c r="F3290" s="2">
        <v>733.54998779296875</v>
      </c>
      <c r="G3290" s="2">
        <v>734.29998779296875</v>
      </c>
      <c r="H3290" s="3">
        <v>44772122</v>
      </c>
      <c r="I3290" s="4">
        <f t="shared" si="204"/>
        <v>-0.74</v>
      </c>
      <c r="J3290" s="2">
        <f t="shared" si="205"/>
        <v>6.2</v>
      </c>
      <c r="K3290" s="7">
        <f t="shared" si="206"/>
        <v>46235</v>
      </c>
      <c r="L3290" t="str">
        <f t="shared" si="207"/>
        <v>Q3-2026</v>
      </c>
    </row>
    <row r="3291" spans="1:12">
      <c r="A3291" s="6">
        <v>46240</v>
      </c>
      <c r="B3291" t="s">
        <v>16</v>
      </c>
      <c r="C3291" t="s">
        <v>17</v>
      </c>
      <c r="D3291" s="2">
        <v>1460</v>
      </c>
      <c r="E3291" s="2">
        <v>1460</v>
      </c>
      <c r="F3291" s="2">
        <v>1448.300048828125</v>
      </c>
      <c r="G3291" s="2">
        <v>1457.5</v>
      </c>
      <c r="H3291" s="3">
        <v>14954726</v>
      </c>
      <c r="I3291" s="4">
        <f t="shared" si="204"/>
        <v>-0.8</v>
      </c>
      <c r="J3291" s="2">
        <f t="shared" si="205"/>
        <v>2.5</v>
      </c>
      <c r="K3291" s="7">
        <f t="shared" si="206"/>
        <v>46235</v>
      </c>
      <c r="L3291" t="str">
        <f t="shared" si="207"/>
        <v>Q3-2026</v>
      </c>
    </row>
    <row r="3292" spans="1:12">
      <c r="A3292" s="6">
        <v>46240</v>
      </c>
      <c r="B3292" t="s">
        <v>18</v>
      </c>
      <c r="C3292" t="s">
        <v>19</v>
      </c>
      <c r="D3292" s="2">
        <v>186</v>
      </c>
      <c r="E3292" s="2">
        <v>188.24000549316409</v>
      </c>
      <c r="F3292" s="2">
        <v>185.4100036621094</v>
      </c>
      <c r="G3292" s="2">
        <v>186.1199951171875</v>
      </c>
      <c r="H3292" s="3">
        <v>6629768</v>
      </c>
      <c r="I3292" s="4">
        <f t="shared" si="204"/>
        <v>-0.32</v>
      </c>
      <c r="J3292" s="2">
        <f t="shared" si="205"/>
        <v>2.12</v>
      </c>
      <c r="K3292" s="7">
        <f t="shared" si="206"/>
        <v>46235</v>
      </c>
      <c r="L3292" t="str">
        <f t="shared" si="207"/>
        <v>Q3-2026</v>
      </c>
    </row>
    <row r="3293" spans="1:12">
      <c r="A3293" s="6">
        <v>46240</v>
      </c>
      <c r="B3293" t="s">
        <v>20</v>
      </c>
      <c r="C3293" t="s">
        <v>21</v>
      </c>
      <c r="D3293" s="2">
        <v>1349.900024414062</v>
      </c>
      <c r="E3293" s="2">
        <v>1363.199951171875</v>
      </c>
      <c r="F3293" s="2">
        <v>1332.5</v>
      </c>
      <c r="G3293" s="2">
        <v>1335</v>
      </c>
      <c r="H3293" s="3">
        <v>3821560</v>
      </c>
      <c r="I3293" s="4">
        <f t="shared" si="204"/>
        <v>-1.29</v>
      </c>
      <c r="J3293" s="2">
        <f t="shared" si="205"/>
        <v>28.2</v>
      </c>
      <c r="K3293" s="7">
        <f t="shared" si="206"/>
        <v>46235</v>
      </c>
      <c r="L3293" t="str">
        <f t="shared" si="207"/>
        <v>Q3-2026</v>
      </c>
    </row>
    <row r="3294" spans="1:12">
      <c r="A3294" s="6">
        <v>46240</v>
      </c>
      <c r="B3294" t="s">
        <v>22</v>
      </c>
      <c r="C3294" t="s">
        <v>23</v>
      </c>
      <c r="D3294" s="2">
        <v>1155.5</v>
      </c>
      <c r="E3294" s="2">
        <v>1160.199951171875</v>
      </c>
      <c r="F3294" s="2">
        <v>1144.599975585938</v>
      </c>
      <c r="G3294" s="2">
        <v>1144.800048828125</v>
      </c>
      <c r="H3294" s="3">
        <v>6472397</v>
      </c>
      <c r="I3294" s="4">
        <f t="shared" si="204"/>
        <v>-0.94</v>
      </c>
      <c r="J3294" s="2">
        <f t="shared" si="205"/>
        <v>15.4</v>
      </c>
      <c r="K3294" s="7">
        <f t="shared" si="206"/>
        <v>46235</v>
      </c>
      <c r="L3294" t="str">
        <f t="shared" si="207"/>
        <v>Q3-2026</v>
      </c>
    </row>
    <row r="3295" spans="1:12">
      <c r="A3295" s="6">
        <v>46240</v>
      </c>
      <c r="B3295" t="s">
        <v>24</v>
      </c>
      <c r="C3295" t="s">
        <v>25</v>
      </c>
      <c r="D3295" s="2">
        <v>14039.99573863636</v>
      </c>
      <c r="E3295" s="2">
        <v>14039.99573863636</v>
      </c>
      <c r="F3295" s="2">
        <v>13845.94460227273</v>
      </c>
      <c r="G3295" s="2">
        <v>13940</v>
      </c>
      <c r="H3295" s="3">
        <v>333510</v>
      </c>
      <c r="I3295" s="4">
        <f t="shared" si="204"/>
        <v>-1.38</v>
      </c>
      <c r="J3295" s="2">
        <f t="shared" si="205"/>
        <v>100</v>
      </c>
      <c r="K3295" s="7">
        <f t="shared" si="206"/>
        <v>46235</v>
      </c>
      <c r="L3295" t="str">
        <f t="shared" si="207"/>
        <v>Q3-2026</v>
      </c>
    </row>
    <row r="3296" spans="1:12">
      <c r="A3296" s="6">
        <v>46240</v>
      </c>
      <c r="B3296" t="s">
        <v>26</v>
      </c>
      <c r="C3296" t="s">
        <v>27</v>
      </c>
      <c r="D3296" s="2">
        <v>349</v>
      </c>
      <c r="E3296" s="2">
        <v>349</v>
      </c>
      <c r="F3296" s="2">
        <v>343</v>
      </c>
      <c r="G3296" s="2">
        <v>345.35000610351563</v>
      </c>
      <c r="H3296" s="3">
        <v>5218339</v>
      </c>
      <c r="I3296" s="4">
        <f t="shared" si="204"/>
        <v>-1.72</v>
      </c>
      <c r="J3296" s="2">
        <f t="shared" si="205"/>
        <v>3.65</v>
      </c>
      <c r="K3296" s="7">
        <f t="shared" si="206"/>
        <v>46235</v>
      </c>
      <c r="L3296" t="str">
        <f t="shared" si="207"/>
        <v>Q3-2026</v>
      </c>
    </row>
    <row r="3297" spans="1:12">
      <c r="A3297" s="6">
        <v>46240</v>
      </c>
      <c r="B3297" t="s">
        <v>28</v>
      </c>
      <c r="C3297" t="s">
        <v>29</v>
      </c>
      <c r="D3297" s="2">
        <v>1930</v>
      </c>
      <c r="E3297" s="2">
        <v>1965.900024414062</v>
      </c>
      <c r="F3297" s="2">
        <v>1930</v>
      </c>
      <c r="G3297" s="2">
        <v>1951</v>
      </c>
      <c r="H3297" s="3">
        <v>1864891</v>
      </c>
      <c r="I3297" s="4">
        <f t="shared" si="204"/>
        <v>0</v>
      </c>
      <c r="J3297" s="2">
        <f t="shared" si="205"/>
        <v>14.9</v>
      </c>
      <c r="K3297" s="7">
        <f t="shared" si="206"/>
        <v>46235</v>
      </c>
      <c r="L3297" t="str">
        <f t="shared" si="207"/>
        <v>Q3-2026</v>
      </c>
    </row>
    <row r="3298" spans="1:12">
      <c r="A3298" s="6">
        <v>46240</v>
      </c>
      <c r="B3298" t="s">
        <v>30</v>
      </c>
      <c r="C3298" t="s">
        <v>31</v>
      </c>
      <c r="D3298" s="2">
        <v>2788</v>
      </c>
      <c r="E3298" s="2">
        <v>2788</v>
      </c>
      <c r="F3298" s="2">
        <v>2741.60009765625</v>
      </c>
      <c r="G3298" s="2">
        <v>2755</v>
      </c>
      <c r="H3298" s="3">
        <v>797083</v>
      </c>
      <c r="I3298" s="4">
        <f t="shared" si="204"/>
        <v>-1.66</v>
      </c>
      <c r="J3298" s="2">
        <f t="shared" si="205"/>
        <v>33</v>
      </c>
      <c r="K3298" s="7">
        <f t="shared" si="206"/>
        <v>46235</v>
      </c>
      <c r="L3298" t="str">
        <f t="shared" si="207"/>
        <v>Q3-2026</v>
      </c>
    </row>
    <row r="3299" spans="1:12">
      <c r="A3299" s="6">
        <v>46240</v>
      </c>
      <c r="B3299" t="s">
        <v>32</v>
      </c>
      <c r="C3299" t="s">
        <v>33</v>
      </c>
      <c r="D3299" s="2">
        <v>2081</v>
      </c>
      <c r="E3299" s="2">
        <v>2094</v>
      </c>
      <c r="F3299" s="2">
        <v>2075.199951171875</v>
      </c>
      <c r="G3299" s="2">
        <v>2079.5</v>
      </c>
      <c r="H3299" s="3">
        <v>1160270</v>
      </c>
      <c r="I3299" s="4">
        <f t="shared" si="204"/>
        <v>-0.28000000000000003</v>
      </c>
      <c r="J3299" s="2">
        <f t="shared" si="205"/>
        <v>14.5</v>
      </c>
      <c r="K3299" s="7">
        <f t="shared" si="206"/>
        <v>46235</v>
      </c>
      <c r="L3299" t="str">
        <f t="shared" si="207"/>
        <v>Q3-2026</v>
      </c>
    </row>
    <row r="3300" spans="1:12">
      <c r="A3300" s="6">
        <v>46240</v>
      </c>
      <c r="B3300" t="s">
        <v>34</v>
      </c>
      <c r="C3300" t="s">
        <v>35</v>
      </c>
      <c r="D3300" s="2">
        <v>4056</v>
      </c>
      <c r="E3300" s="2">
        <v>4070</v>
      </c>
      <c r="F3300" s="2">
        <v>4045</v>
      </c>
      <c r="G3300" s="2">
        <v>4061.800048828125</v>
      </c>
      <c r="H3300" s="3">
        <v>1401341</v>
      </c>
      <c r="I3300" s="4">
        <f t="shared" si="204"/>
        <v>-0.27</v>
      </c>
      <c r="J3300" s="2">
        <f t="shared" si="205"/>
        <v>8.1999999999999993</v>
      </c>
      <c r="K3300" s="7">
        <f t="shared" si="206"/>
        <v>46235</v>
      </c>
      <c r="L3300" t="str">
        <f t="shared" si="207"/>
        <v>Q3-2026</v>
      </c>
    </row>
    <row r="3301" spans="1:12">
      <c r="A3301" s="6">
        <v>46240</v>
      </c>
      <c r="B3301" t="s">
        <v>36</v>
      </c>
      <c r="C3301" t="s">
        <v>37</v>
      </c>
      <c r="D3301" s="2">
        <v>1256.099975585938</v>
      </c>
      <c r="E3301" s="2">
        <v>1259.900024414062</v>
      </c>
      <c r="F3301" s="2">
        <v>1248.300048828125</v>
      </c>
      <c r="G3301" s="2">
        <v>1256</v>
      </c>
      <c r="H3301" s="3">
        <v>4845792</v>
      </c>
      <c r="I3301" s="4">
        <f t="shared" si="204"/>
        <v>-0.62</v>
      </c>
      <c r="J3301" s="2">
        <f t="shared" si="205"/>
        <v>3.9</v>
      </c>
      <c r="K3301" s="7">
        <f t="shared" si="206"/>
        <v>46235</v>
      </c>
      <c r="L3301" t="str">
        <f t="shared" si="207"/>
        <v>Q3-2026</v>
      </c>
    </row>
    <row r="3302" spans="1:12">
      <c r="A3302" s="6">
        <v>46241</v>
      </c>
      <c r="B3302" t="s">
        <v>8</v>
      </c>
      <c r="C3302" t="s">
        <v>9</v>
      </c>
      <c r="D3302" s="2">
        <v>1320</v>
      </c>
      <c r="E3302" s="2">
        <v>1337</v>
      </c>
      <c r="F3302" s="2">
        <v>1316.599975585938</v>
      </c>
      <c r="G3302" s="2">
        <v>1334.800048828125</v>
      </c>
      <c r="H3302" s="3">
        <v>9885638</v>
      </c>
      <c r="I3302" s="4">
        <f t="shared" si="204"/>
        <v>-0.26</v>
      </c>
      <c r="J3302" s="2">
        <f t="shared" si="205"/>
        <v>2.2000000000000002</v>
      </c>
      <c r="K3302" s="7">
        <f t="shared" si="206"/>
        <v>46235</v>
      </c>
      <c r="L3302" t="str">
        <f t="shared" si="207"/>
        <v>Q3-2026</v>
      </c>
    </row>
    <row r="3303" spans="1:12">
      <c r="A3303" s="6">
        <v>46241</v>
      </c>
      <c r="B3303" t="s">
        <v>10</v>
      </c>
      <c r="C3303" t="s">
        <v>11</v>
      </c>
      <c r="D3303" s="2">
        <v>2375</v>
      </c>
      <c r="E3303" s="2">
        <v>2457.699951171875</v>
      </c>
      <c r="F3303" s="2">
        <v>2375</v>
      </c>
      <c r="G3303" s="2">
        <v>2452.699951171875</v>
      </c>
      <c r="H3303" s="3">
        <v>4547979</v>
      </c>
      <c r="I3303" s="4">
        <f t="shared" si="204"/>
        <v>0</v>
      </c>
      <c r="J3303" s="2">
        <f t="shared" si="205"/>
        <v>5</v>
      </c>
      <c r="K3303" s="7">
        <f t="shared" si="206"/>
        <v>46235</v>
      </c>
      <c r="L3303" t="str">
        <f t="shared" si="207"/>
        <v>Q3-2026</v>
      </c>
    </row>
    <row r="3304" spans="1:12">
      <c r="A3304" s="6">
        <v>46241</v>
      </c>
      <c r="B3304" t="s">
        <v>12</v>
      </c>
      <c r="C3304" t="s">
        <v>13</v>
      </c>
      <c r="D3304" s="2">
        <v>1160</v>
      </c>
      <c r="E3304" s="2">
        <v>1183</v>
      </c>
      <c r="F3304" s="2">
        <v>1155.599975585938</v>
      </c>
      <c r="G3304" s="2">
        <v>1175.099975585938</v>
      </c>
      <c r="H3304" s="3">
        <v>7581410</v>
      </c>
      <c r="I3304" s="4">
        <f t="shared" si="204"/>
        <v>-0.38</v>
      </c>
      <c r="J3304" s="2">
        <f t="shared" si="205"/>
        <v>7.9</v>
      </c>
      <c r="K3304" s="7">
        <f t="shared" si="206"/>
        <v>46235</v>
      </c>
      <c r="L3304" t="str">
        <f t="shared" si="207"/>
        <v>Q3-2026</v>
      </c>
    </row>
    <row r="3305" spans="1:12">
      <c r="A3305" s="6">
        <v>46241</v>
      </c>
      <c r="B3305" t="s">
        <v>14</v>
      </c>
      <c r="C3305" t="s">
        <v>15</v>
      </c>
      <c r="D3305" s="2">
        <v>733</v>
      </c>
      <c r="E3305" s="2">
        <v>736</v>
      </c>
      <c r="F3305" s="2">
        <v>728.20001220703125</v>
      </c>
      <c r="G3305" s="2">
        <v>731</v>
      </c>
      <c r="H3305" s="3">
        <v>19382042</v>
      </c>
      <c r="I3305" s="4">
        <f t="shared" si="204"/>
        <v>-0.65</v>
      </c>
      <c r="J3305" s="2">
        <f t="shared" si="205"/>
        <v>5</v>
      </c>
      <c r="K3305" s="7">
        <f t="shared" si="206"/>
        <v>46235</v>
      </c>
      <c r="L3305" t="str">
        <f t="shared" si="207"/>
        <v>Q3-2026</v>
      </c>
    </row>
    <row r="3306" spans="1:12">
      <c r="A3306" s="6">
        <v>46241</v>
      </c>
      <c r="B3306" t="s">
        <v>16</v>
      </c>
      <c r="C3306" t="s">
        <v>17</v>
      </c>
      <c r="D3306" s="2">
        <v>1451</v>
      </c>
      <c r="E3306" s="2">
        <v>1455</v>
      </c>
      <c r="F3306" s="2">
        <v>1418.199951171875</v>
      </c>
      <c r="G3306" s="2">
        <v>1421</v>
      </c>
      <c r="H3306" s="3">
        <v>14395789</v>
      </c>
      <c r="I3306" s="4">
        <f t="shared" si="204"/>
        <v>-2.2599999999999998</v>
      </c>
      <c r="J3306" s="2">
        <f t="shared" si="205"/>
        <v>34</v>
      </c>
      <c r="K3306" s="7">
        <f t="shared" si="206"/>
        <v>46235</v>
      </c>
      <c r="L3306" t="str">
        <f t="shared" si="207"/>
        <v>Q3-2026</v>
      </c>
    </row>
    <row r="3307" spans="1:12">
      <c r="A3307" s="6">
        <v>46241</v>
      </c>
      <c r="B3307" t="s">
        <v>18</v>
      </c>
      <c r="C3307" t="s">
        <v>19</v>
      </c>
      <c r="D3307" s="2">
        <v>185.8699951171875</v>
      </c>
      <c r="E3307" s="2">
        <v>188.3699951171875</v>
      </c>
      <c r="F3307" s="2">
        <v>185.6499938964844</v>
      </c>
      <c r="G3307" s="2">
        <v>187.5299987792969</v>
      </c>
      <c r="H3307" s="3">
        <v>7823102</v>
      </c>
      <c r="I3307" s="4">
        <f t="shared" si="204"/>
        <v>-0.12</v>
      </c>
      <c r="J3307" s="2">
        <f t="shared" si="205"/>
        <v>0.84</v>
      </c>
      <c r="K3307" s="7">
        <f t="shared" si="206"/>
        <v>46235</v>
      </c>
      <c r="L3307" t="str">
        <f t="shared" si="207"/>
        <v>Q3-2026</v>
      </c>
    </row>
    <row r="3308" spans="1:12">
      <c r="A3308" s="6">
        <v>46241</v>
      </c>
      <c r="B3308" t="s">
        <v>20</v>
      </c>
      <c r="C3308" t="s">
        <v>21</v>
      </c>
      <c r="D3308" s="2">
        <v>1329</v>
      </c>
      <c r="E3308" s="2">
        <v>1369</v>
      </c>
      <c r="F3308" s="2">
        <v>1328</v>
      </c>
      <c r="G3308" s="2">
        <v>1356.599975585938</v>
      </c>
      <c r="H3308" s="3">
        <v>1725616</v>
      </c>
      <c r="I3308" s="4">
        <f t="shared" si="204"/>
        <v>-0.08</v>
      </c>
      <c r="J3308" s="2">
        <f t="shared" si="205"/>
        <v>12.4</v>
      </c>
      <c r="K3308" s="7">
        <f t="shared" si="206"/>
        <v>46235</v>
      </c>
      <c r="L3308" t="str">
        <f t="shared" si="207"/>
        <v>Q3-2026</v>
      </c>
    </row>
    <row r="3309" spans="1:12">
      <c r="A3309" s="6">
        <v>46241</v>
      </c>
      <c r="B3309" t="s">
        <v>22</v>
      </c>
      <c r="C3309" t="s">
        <v>23</v>
      </c>
      <c r="D3309" s="2">
        <v>1113</v>
      </c>
      <c r="E3309" s="2">
        <v>1113</v>
      </c>
      <c r="F3309" s="2">
        <v>1074.5</v>
      </c>
      <c r="G3309" s="2">
        <v>1078</v>
      </c>
      <c r="H3309" s="3">
        <v>15614001</v>
      </c>
      <c r="I3309" s="4">
        <f t="shared" si="204"/>
        <v>-3.46</v>
      </c>
      <c r="J3309" s="2">
        <f t="shared" si="205"/>
        <v>35</v>
      </c>
      <c r="K3309" s="7">
        <f t="shared" si="206"/>
        <v>46235</v>
      </c>
      <c r="L3309" t="str">
        <f t="shared" si="207"/>
        <v>Q3-2026</v>
      </c>
    </row>
    <row r="3310" spans="1:12">
      <c r="A3310" s="6">
        <v>46241</v>
      </c>
      <c r="B3310" t="s">
        <v>24</v>
      </c>
      <c r="C3310" t="s">
        <v>25</v>
      </c>
      <c r="D3310" s="2">
        <v>13811</v>
      </c>
      <c r="E3310" s="2">
        <v>14038</v>
      </c>
      <c r="F3310" s="2">
        <v>13811</v>
      </c>
      <c r="G3310" s="2">
        <v>14037</v>
      </c>
      <c r="H3310" s="3">
        <v>324104</v>
      </c>
      <c r="I3310" s="4">
        <f t="shared" si="204"/>
        <v>0</v>
      </c>
      <c r="J3310" s="2">
        <f t="shared" si="205"/>
        <v>1</v>
      </c>
      <c r="K3310" s="7">
        <f t="shared" si="206"/>
        <v>46235</v>
      </c>
      <c r="L3310" t="str">
        <f t="shared" si="207"/>
        <v>Q3-2026</v>
      </c>
    </row>
    <row r="3311" spans="1:12">
      <c r="A3311" s="6">
        <v>46241</v>
      </c>
      <c r="B3311" t="s">
        <v>26</v>
      </c>
      <c r="C3311" t="s">
        <v>27</v>
      </c>
      <c r="D3311" s="2">
        <v>345</v>
      </c>
      <c r="E3311" s="2">
        <v>349.79998779296881</v>
      </c>
      <c r="F3311" s="2">
        <v>343.64999389648438</v>
      </c>
      <c r="G3311" s="2">
        <v>347</v>
      </c>
      <c r="H3311" s="3">
        <v>4274035</v>
      </c>
      <c r="I3311" s="4">
        <f t="shared" si="204"/>
        <v>-0.39</v>
      </c>
      <c r="J3311" s="2">
        <f t="shared" si="205"/>
        <v>2.8</v>
      </c>
      <c r="K3311" s="7">
        <f t="shared" si="206"/>
        <v>46235</v>
      </c>
      <c r="L3311" t="str">
        <f t="shared" si="207"/>
        <v>Q3-2026</v>
      </c>
    </row>
    <row r="3312" spans="1:12">
      <c r="A3312" s="6">
        <v>46241</v>
      </c>
      <c r="B3312" t="s">
        <v>28</v>
      </c>
      <c r="C3312" t="s">
        <v>29</v>
      </c>
      <c r="D3312" s="2">
        <v>1955</v>
      </c>
      <c r="E3312" s="2">
        <v>1957</v>
      </c>
      <c r="F3312" s="2">
        <v>1925.099975585938</v>
      </c>
      <c r="G3312" s="2">
        <v>1945</v>
      </c>
      <c r="H3312" s="3">
        <v>2425268</v>
      </c>
      <c r="I3312" s="4">
        <f t="shared" si="204"/>
        <v>-1.53</v>
      </c>
      <c r="J3312" s="2">
        <f t="shared" si="205"/>
        <v>12</v>
      </c>
      <c r="K3312" s="7">
        <f t="shared" si="206"/>
        <v>46235</v>
      </c>
      <c r="L3312" t="str">
        <f t="shared" si="207"/>
        <v>Q3-2026</v>
      </c>
    </row>
    <row r="3313" spans="1:12">
      <c r="A3313" s="6">
        <v>46241</v>
      </c>
      <c r="B3313" t="s">
        <v>30</v>
      </c>
      <c r="C3313" t="s">
        <v>31</v>
      </c>
      <c r="D3313" s="2">
        <v>2755</v>
      </c>
      <c r="E3313" s="2">
        <v>2755</v>
      </c>
      <c r="F3313" s="2">
        <v>2695</v>
      </c>
      <c r="G3313" s="2">
        <v>2735</v>
      </c>
      <c r="H3313" s="3">
        <v>1067986</v>
      </c>
      <c r="I3313" s="4">
        <f t="shared" si="204"/>
        <v>-2.1800000000000002</v>
      </c>
      <c r="J3313" s="2">
        <f t="shared" si="205"/>
        <v>20</v>
      </c>
      <c r="K3313" s="7">
        <f t="shared" si="206"/>
        <v>46235</v>
      </c>
      <c r="L3313" t="str">
        <f t="shared" si="207"/>
        <v>Q3-2026</v>
      </c>
    </row>
    <row r="3314" spans="1:12">
      <c r="A3314" s="6">
        <v>46241</v>
      </c>
      <c r="B3314" t="s">
        <v>32</v>
      </c>
      <c r="C3314" t="s">
        <v>33</v>
      </c>
      <c r="D3314" s="2">
        <v>2083.10009765625</v>
      </c>
      <c r="E3314" s="2">
        <v>2099.39990234375</v>
      </c>
      <c r="F3314" s="2">
        <v>2077.199951171875</v>
      </c>
      <c r="G3314" s="2">
        <v>2096</v>
      </c>
      <c r="H3314" s="3">
        <v>1054665</v>
      </c>
      <c r="I3314" s="4">
        <f t="shared" si="204"/>
        <v>-0.28000000000000003</v>
      </c>
      <c r="J3314" s="2">
        <f t="shared" si="205"/>
        <v>3.4</v>
      </c>
      <c r="K3314" s="7">
        <f t="shared" si="206"/>
        <v>46235</v>
      </c>
      <c r="L3314" t="str">
        <f t="shared" si="207"/>
        <v>Q3-2026</v>
      </c>
    </row>
    <row r="3315" spans="1:12">
      <c r="A3315" s="6">
        <v>46241</v>
      </c>
      <c r="B3315" t="s">
        <v>34</v>
      </c>
      <c r="C3315" t="s">
        <v>35</v>
      </c>
      <c r="D3315" s="2">
        <v>4040.10009765625</v>
      </c>
      <c r="E3315" s="2">
        <v>4062</v>
      </c>
      <c r="F3315" s="2">
        <v>4030</v>
      </c>
      <c r="G3315" s="2">
        <v>4056</v>
      </c>
      <c r="H3315" s="3">
        <v>901290</v>
      </c>
      <c r="I3315" s="4">
        <f t="shared" si="204"/>
        <v>-0.25</v>
      </c>
      <c r="J3315" s="2">
        <f t="shared" si="205"/>
        <v>6</v>
      </c>
      <c r="K3315" s="7">
        <f t="shared" si="206"/>
        <v>46235</v>
      </c>
      <c r="L3315" t="str">
        <f t="shared" si="207"/>
        <v>Q3-2026</v>
      </c>
    </row>
    <row r="3316" spans="1:12">
      <c r="A3316" s="6">
        <v>46241</v>
      </c>
      <c r="B3316" t="s">
        <v>36</v>
      </c>
      <c r="C3316" t="s">
        <v>37</v>
      </c>
      <c r="D3316" s="2">
        <v>1252.099975585938</v>
      </c>
      <c r="E3316" s="2">
        <v>1256</v>
      </c>
      <c r="F3316" s="2">
        <v>1238</v>
      </c>
      <c r="G3316" s="2">
        <v>1238</v>
      </c>
      <c r="H3316" s="3">
        <v>3628823</v>
      </c>
      <c r="I3316" s="4">
        <f t="shared" si="204"/>
        <v>-1.1299999999999999</v>
      </c>
      <c r="J3316" s="2">
        <f t="shared" si="205"/>
        <v>18</v>
      </c>
      <c r="K3316" s="7">
        <f t="shared" si="206"/>
        <v>46235</v>
      </c>
      <c r="L3316" t="str">
        <f t="shared" si="207"/>
        <v>Q3-2026</v>
      </c>
    </row>
    <row r="3317" spans="1:12">
      <c r="A3317" s="6">
        <v>46244</v>
      </c>
      <c r="B3317" t="s">
        <v>8</v>
      </c>
      <c r="C3317" t="s">
        <v>9</v>
      </c>
      <c r="D3317" s="2">
        <v>1330.099975585938</v>
      </c>
      <c r="E3317" s="2">
        <v>1332.900024414062</v>
      </c>
      <c r="F3317" s="2">
        <v>1321.300048828125</v>
      </c>
      <c r="G3317" s="2">
        <v>1327.300048828125</v>
      </c>
      <c r="H3317" s="3">
        <v>8207102</v>
      </c>
      <c r="I3317" s="4">
        <f t="shared" si="204"/>
        <v>-0.66</v>
      </c>
      <c r="J3317" s="2">
        <f t="shared" si="205"/>
        <v>5.6</v>
      </c>
      <c r="K3317" s="7">
        <f t="shared" si="206"/>
        <v>46235</v>
      </c>
      <c r="L3317" t="str">
        <f t="shared" si="207"/>
        <v>Q3-2026</v>
      </c>
    </row>
    <row r="3318" spans="1:12">
      <c r="A3318" s="6">
        <v>46244</v>
      </c>
      <c r="B3318" t="s">
        <v>10</v>
      </c>
      <c r="C3318" t="s">
        <v>11</v>
      </c>
      <c r="D3318" s="2">
        <v>2452.699951171875</v>
      </c>
      <c r="E3318" s="2">
        <v>2472.89990234375</v>
      </c>
      <c r="F3318" s="2">
        <v>2423.5</v>
      </c>
      <c r="G3318" s="2">
        <v>2425.699951171875</v>
      </c>
      <c r="H3318" s="3">
        <v>2322023</v>
      </c>
      <c r="I3318" s="4">
        <f t="shared" si="204"/>
        <v>-1.19</v>
      </c>
      <c r="J3318" s="2">
        <f t="shared" si="205"/>
        <v>47.2</v>
      </c>
      <c r="K3318" s="7">
        <f t="shared" si="206"/>
        <v>46235</v>
      </c>
      <c r="L3318" t="str">
        <f t="shared" si="207"/>
        <v>Q3-2026</v>
      </c>
    </row>
    <row r="3319" spans="1:12">
      <c r="A3319" s="6">
        <v>46244</v>
      </c>
      <c r="B3319" t="s">
        <v>12</v>
      </c>
      <c r="C3319" t="s">
        <v>13</v>
      </c>
      <c r="D3319" s="2">
        <v>1178.099975585938</v>
      </c>
      <c r="E3319" s="2">
        <v>1195</v>
      </c>
      <c r="F3319" s="2">
        <v>1175.199951171875</v>
      </c>
      <c r="G3319" s="2">
        <v>1183</v>
      </c>
      <c r="H3319" s="3">
        <v>9377001</v>
      </c>
      <c r="I3319" s="4">
        <f t="shared" si="204"/>
        <v>-0.25</v>
      </c>
      <c r="J3319" s="2">
        <f t="shared" si="205"/>
        <v>12</v>
      </c>
      <c r="K3319" s="7">
        <f t="shared" si="206"/>
        <v>46235</v>
      </c>
      <c r="L3319" t="str">
        <f t="shared" si="207"/>
        <v>Q3-2026</v>
      </c>
    </row>
    <row r="3320" spans="1:12">
      <c r="A3320" s="6">
        <v>46244</v>
      </c>
      <c r="B3320" t="s">
        <v>14</v>
      </c>
      <c r="C3320" t="s">
        <v>15</v>
      </c>
      <c r="D3320" s="2">
        <v>731.5</v>
      </c>
      <c r="E3320" s="2">
        <v>737.54998779296875</v>
      </c>
      <c r="F3320" s="2">
        <v>728.5</v>
      </c>
      <c r="G3320" s="2">
        <v>731</v>
      </c>
      <c r="H3320" s="3">
        <v>23660590</v>
      </c>
      <c r="I3320" s="4">
        <f t="shared" si="204"/>
        <v>-0.41</v>
      </c>
      <c r="J3320" s="2">
        <f t="shared" si="205"/>
        <v>6.55</v>
      </c>
      <c r="K3320" s="7">
        <f t="shared" si="206"/>
        <v>46235</v>
      </c>
      <c r="L3320" t="str">
        <f t="shared" si="207"/>
        <v>Q3-2026</v>
      </c>
    </row>
    <row r="3321" spans="1:12">
      <c r="A3321" s="6">
        <v>46244</v>
      </c>
      <c r="B3321" t="s">
        <v>16</v>
      </c>
      <c r="C3321" t="s">
        <v>17</v>
      </c>
      <c r="D3321" s="2">
        <v>1428.099975585938</v>
      </c>
      <c r="E3321" s="2">
        <v>1441.900024414062</v>
      </c>
      <c r="F3321" s="2">
        <v>1415.5</v>
      </c>
      <c r="G3321" s="2">
        <v>1431.800048828125</v>
      </c>
      <c r="H3321" s="3">
        <v>12749354</v>
      </c>
      <c r="I3321" s="4">
        <f t="shared" si="204"/>
        <v>-0.88</v>
      </c>
      <c r="J3321" s="2">
        <f t="shared" si="205"/>
        <v>10.1</v>
      </c>
      <c r="K3321" s="7">
        <f t="shared" si="206"/>
        <v>46235</v>
      </c>
      <c r="L3321" t="str">
        <f t="shared" si="207"/>
        <v>Q3-2026</v>
      </c>
    </row>
    <row r="3322" spans="1:12">
      <c r="A3322" s="6">
        <v>46244</v>
      </c>
      <c r="B3322" t="s">
        <v>18</v>
      </c>
      <c r="C3322" t="s">
        <v>19</v>
      </c>
      <c r="D3322" s="2">
        <v>187.5299987792969</v>
      </c>
      <c r="E3322" s="2">
        <v>187.88999938964841</v>
      </c>
      <c r="F3322" s="2">
        <v>185</v>
      </c>
      <c r="G3322" s="2">
        <v>185.5</v>
      </c>
      <c r="H3322" s="3">
        <v>5337618</v>
      </c>
      <c r="I3322" s="4">
        <f t="shared" si="204"/>
        <v>-1.35</v>
      </c>
      <c r="J3322" s="2">
        <f t="shared" si="205"/>
        <v>2.39</v>
      </c>
      <c r="K3322" s="7">
        <f t="shared" si="206"/>
        <v>46235</v>
      </c>
      <c r="L3322" t="str">
        <f t="shared" si="207"/>
        <v>Q3-2026</v>
      </c>
    </row>
    <row r="3323" spans="1:12">
      <c r="A3323" s="6">
        <v>46244</v>
      </c>
      <c r="B3323" t="s">
        <v>20</v>
      </c>
      <c r="C3323" t="s">
        <v>21</v>
      </c>
      <c r="D3323" s="2">
        <v>1356.599975585938</v>
      </c>
      <c r="E3323" s="2">
        <v>1367.5</v>
      </c>
      <c r="F3323" s="2">
        <v>1351.599975585938</v>
      </c>
      <c r="G3323" s="2">
        <v>1357.199951171875</v>
      </c>
      <c r="H3323" s="3">
        <v>1321698</v>
      </c>
      <c r="I3323" s="4">
        <f t="shared" si="204"/>
        <v>-0.37</v>
      </c>
      <c r="J3323" s="2">
        <f t="shared" si="205"/>
        <v>10.3</v>
      </c>
      <c r="K3323" s="7">
        <f t="shared" si="206"/>
        <v>46235</v>
      </c>
      <c r="L3323" t="str">
        <f t="shared" si="207"/>
        <v>Q3-2026</v>
      </c>
    </row>
    <row r="3324" spans="1:12">
      <c r="A3324" s="6">
        <v>46244</v>
      </c>
      <c r="B3324" t="s">
        <v>22</v>
      </c>
      <c r="C3324" t="s">
        <v>23</v>
      </c>
      <c r="D3324" s="2">
        <v>1078</v>
      </c>
      <c r="E3324" s="2">
        <v>1106.099975585938</v>
      </c>
      <c r="F3324" s="2">
        <v>1070.800048828125</v>
      </c>
      <c r="G3324" s="2">
        <v>1102.199951171875</v>
      </c>
      <c r="H3324" s="3">
        <v>7303098</v>
      </c>
      <c r="I3324" s="4">
        <f t="shared" si="204"/>
        <v>-0.67</v>
      </c>
      <c r="J3324" s="2">
        <f t="shared" si="205"/>
        <v>3.9</v>
      </c>
      <c r="K3324" s="7">
        <f t="shared" si="206"/>
        <v>46235</v>
      </c>
      <c r="L3324" t="str">
        <f t="shared" si="207"/>
        <v>Q3-2026</v>
      </c>
    </row>
    <row r="3325" spans="1:12">
      <c r="A3325" s="6">
        <v>46244</v>
      </c>
      <c r="B3325" t="s">
        <v>24</v>
      </c>
      <c r="C3325" t="s">
        <v>25</v>
      </c>
      <c r="D3325" s="2">
        <v>14039</v>
      </c>
      <c r="E3325" s="2">
        <v>14119</v>
      </c>
      <c r="F3325" s="2">
        <v>13954</v>
      </c>
      <c r="G3325" s="2">
        <v>14097</v>
      </c>
      <c r="H3325" s="3">
        <v>299446</v>
      </c>
      <c r="I3325" s="4">
        <f t="shared" si="204"/>
        <v>-0.61</v>
      </c>
      <c r="J3325" s="2">
        <f t="shared" si="205"/>
        <v>22</v>
      </c>
      <c r="K3325" s="7">
        <f t="shared" si="206"/>
        <v>46235</v>
      </c>
      <c r="L3325" t="str">
        <f t="shared" si="207"/>
        <v>Q3-2026</v>
      </c>
    </row>
    <row r="3326" spans="1:12">
      <c r="A3326" s="6">
        <v>46244</v>
      </c>
      <c r="B3326" t="s">
        <v>26</v>
      </c>
      <c r="C3326" t="s">
        <v>27</v>
      </c>
      <c r="D3326" s="2">
        <v>347</v>
      </c>
      <c r="E3326" s="2">
        <v>351.39999389648438</v>
      </c>
      <c r="F3326" s="2">
        <v>344.60000610351563</v>
      </c>
      <c r="G3326" s="2">
        <v>347.10000610351563</v>
      </c>
      <c r="H3326" s="3">
        <v>5233700</v>
      </c>
      <c r="I3326" s="4">
        <f t="shared" si="204"/>
        <v>-0.69</v>
      </c>
      <c r="J3326" s="2">
        <f t="shared" si="205"/>
        <v>4.3</v>
      </c>
      <c r="K3326" s="7">
        <f t="shared" si="206"/>
        <v>46235</v>
      </c>
      <c r="L3326" t="str">
        <f t="shared" si="207"/>
        <v>Q3-2026</v>
      </c>
    </row>
    <row r="3327" spans="1:12">
      <c r="A3327" s="6">
        <v>46244</v>
      </c>
      <c r="B3327" t="s">
        <v>28</v>
      </c>
      <c r="C3327" t="s">
        <v>29</v>
      </c>
      <c r="D3327" s="2">
        <v>1949.900024414062</v>
      </c>
      <c r="E3327" s="2">
        <v>1965</v>
      </c>
      <c r="F3327" s="2">
        <v>1939.800048828125</v>
      </c>
      <c r="G3327" s="2">
        <v>1944.400024414062</v>
      </c>
      <c r="H3327" s="3">
        <v>1726946</v>
      </c>
      <c r="I3327" s="4">
        <f t="shared" si="204"/>
        <v>-0.52</v>
      </c>
      <c r="J3327" s="2">
        <f t="shared" si="205"/>
        <v>20.6</v>
      </c>
      <c r="K3327" s="7">
        <f t="shared" si="206"/>
        <v>46235</v>
      </c>
      <c r="L3327" t="str">
        <f t="shared" si="207"/>
        <v>Q3-2026</v>
      </c>
    </row>
    <row r="3328" spans="1:12">
      <c r="A3328" s="6">
        <v>46244</v>
      </c>
      <c r="B3328" t="s">
        <v>30</v>
      </c>
      <c r="C3328" t="s">
        <v>31</v>
      </c>
      <c r="D3328" s="2">
        <v>2724.699951171875</v>
      </c>
      <c r="E3328" s="2">
        <v>2761.5</v>
      </c>
      <c r="F3328" s="2">
        <v>2713.5</v>
      </c>
      <c r="G3328" s="2">
        <v>2750</v>
      </c>
      <c r="H3328" s="3">
        <v>977656</v>
      </c>
      <c r="I3328" s="4">
        <f t="shared" si="204"/>
        <v>-0.41</v>
      </c>
      <c r="J3328" s="2">
        <f t="shared" si="205"/>
        <v>11.5</v>
      </c>
      <c r="K3328" s="7">
        <f t="shared" si="206"/>
        <v>46235</v>
      </c>
      <c r="L3328" t="str">
        <f t="shared" si="207"/>
        <v>Q3-2026</v>
      </c>
    </row>
    <row r="3329" spans="1:12">
      <c r="A3329" s="6">
        <v>46244</v>
      </c>
      <c r="B3329" t="s">
        <v>32</v>
      </c>
      <c r="C3329" t="s">
        <v>33</v>
      </c>
      <c r="D3329" s="2">
        <v>2096</v>
      </c>
      <c r="E3329" s="2">
        <v>2097</v>
      </c>
      <c r="F3329" s="2">
        <v>2076</v>
      </c>
      <c r="G3329" s="2">
        <v>2087.199951171875</v>
      </c>
      <c r="H3329" s="3">
        <v>1118008</v>
      </c>
      <c r="I3329" s="4">
        <f t="shared" si="204"/>
        <v>-0.95</v>
      </c>
      <c r="J3329" s="2">
        <f t="shared" si="205"/>
        <v>9.8000000000000007</v>
      </c>
      <c r="K3329" s="7">
        <f t="shared" si="206"/>
        <v>46235</v>
      </c>
      <c r="L3329" t="str">
        <f t="shared" si="207"/>
        <v>Q3-2026</v>
      </c>
    </row>
    <row r="3330" spans="1:12">
      <c r="A3330" s="6">
        <v>46244</v>
      </c>
      <c r="B3330" t="s">
        <v>34</v>
      </c>
      <c r="C3330" t="s">
        <v>35</v>
      </c>
      <c r="D3330" s="2">
        <v>4055.699951171875</v>
      </c>
      <c r="E3330" s="2">
        <v>4080</v>
      </c>
      <c r="F3330" s="2">
        <v>4025.800048828125</v>
      </c>
      <c r="G3330" s="2">
        <v>4080</v>
      </c>
      <c r="H3330" s="3">
        <v>1082855</v>
      </c>
      <c r="I3330" s="4">
        <f t="shared" ref="I3330:I3393" si="208">ROUND(((F3330-D3330)/D3330)*100, 2)</f>
        <v>-0.74</v>
      </c>
      <c r="J3330" s="2">
        <f t="shared" ref="J3330:J3393" si="209">ROUND(E3330-G3330, 2)</f>
        <v>0</v>
      </c>
      <c r="K3330" s="7">
        <f t="shared" ref="K3330:K3393" si="210">DATE(YEAR(A3330),MONTH(A3330),1)</f>
        <v>46235</v>
      </c>
      <c r="L3330" t="str">
        <f t="shared" ref="L3330:L3393" si="211">"Q"&amp;INT((MONTH(A3330)-1)/3)+1&amp;"-"&amp;YEAR(A3330)</f>
        <v>Q3-2026</v>
      </c>
    </row>
    <row r="3331" spans="1:12">
      <c r="A3331" s="6">
        <v>46244</v>
      </c>
      <c r="B3331" t="s">
        <v>36</v>
      </c>
      <c r="C3331" t="s">
        <v>37</v>
      </c>
      <c r="D3331" s="2">
        <v>1235</v>
      </c>
      <c r="E3331" s="2">
        <v>1250</v>
      </c>
      <c r="F3331" s="2">
        <v>1235</v>
      </c>
      <c r="G3331" s="2">
        <v>1247.300048828125</v>
      </c>
      <c r="H3331" s="3">
        <v>3661847</v>
      </c>
      <c r="I3331" s="4">
        <f t="shared" si="208"/>
        <v>0</v>
      </c>
      <c r="J3331" s="2">
        <f t="shared" si="209"/>
        <v>2.7</v>
      </c>
      <c r="K3331" s="7">
        <f t="shared" si="210"/>
        <v>46235</v>
      </c>
      <c r="L3331" t="str">
        <f t="shared" si="211"/>
        <v>Q3-2026</v>
      </c>
    </row>
    <row r="3332" spans="1:12">
      <c r="A3332" s="6">
        <v>46245</v>
      </c>
      <c r="B3332" t="s">
        <v>8</v>
      </c>
      <c r="C3332" t="s">
        <v>9</v>
      </c>
      <c r="D3332" s="2">
        <v>1326.599975585938</v>
      </c>
      <c r="E3332" s="2">
        <v>1328.699951171875</v>
      </c>
      <c r="F3332" s="2">
        <v>1314.099975585938</v>
      </c>
      <c r="G3332" s="2">
        <v>1323.900024414062</v>
      </c>
      <c r="H3332" s="3">
        <v>9953124</v>
      </c>
      <c r="I3332" s="4">
        <f t="shared" si="208"/>
        <v>-0.94</v>
      </c>
      <c r="J3332" s="2">
        <f t="shared" si="209"/>
        <v>4.8</v>
      </c>
      <c r="K3332" s="7">
        <f t="shared" si="210"/>
        <v>46235</v>
      </c>
      <c r="L3332" t="str">
        <f t="shared" si="211"/>
        <v>Q3-2026</v>
      </c>
    </row>
    <row r="3333" spans="1:12">
      <c r="A3333" s="6">
        <v>46245</v>
      </c>
      <c r="B3333" t="s">
        <v>10</v>
      </c>
      <c r="C3333" t="s">
        <v>11</v>
      </c>
      <c r="D3333" s="2">
        <v>2438</v>
      </c>
      <c r="E3333" s="2">
        <v>2456.60009765625</v>
      </c>
      <c r="F3333" s="2">
        <v>2428</v>
      </c>
      <c r="G3333" s="2">
        <v>2445.699951171875</v>
      </c>
      <c r="H3333" s="3">
        <v>1514105</v>
      </c>
      <c r="I3333" s="4">
        <f t="shared" si="208"/>
        <v>-0.41</v>
      </c>
      <c r="J3333" s="2">
        <f t="shared" si="209"/>
        <v>10.9</v>
      </c>
      <c r="K3333" s="7">
        <f t="shared" si="210"/>
        <v>46235</v>
      </c>
      <c r="L3333" t="str">
        <f t="shared" si="211"/>
        <v>Q3-2026</v>
      </c>
    </row>
    <row r="3334" spans="1:12">
      <c r="A3334" s="6">
        <v>46245</v>
      </c>
      <c r="B3334" t="s">
        <v>12</v>
      </c>
      <c r="C3334" t="s">
        <v>13</v>
      </c>
      <c r="D3334" s="2">
        <v>1188</v>
      </c>
      <c r="E3334" s="2">
        <v>1193.5</v>
      </c>
      <c r="F3334" s="2">
        <v>1182</v>
      </c>
      <c r="G3334" s="2">
        <v>1190.699951171875</v>
      </c>
      <c r="H3334" s="3">
        <v>10160091</v>
      </c>
      <c r="I3334" s="4">
        <f t="shared" si="208"/>
        <v>-0.51</v>
      </c>
      <c r="J3334" s="2">
        <f t="shared" si="209"/>
        <v>2.8</v>
      </c>
      <c r="K3334" s="7">
        <f t="shared" si="210"/>
        <v>46235</v>
      </c>
      <c r="L3334" t="str">
        <f t="shared" si="211"/>
        <v>Q3-2026</v>
      </c>
    </row>
    <row r="3335" spans="1:12">
      <c r="A3335" s="6">
        <v>46245</v>
      </c>
      <c r="B3335" t="s">
        <v>14</v>
      </c>
      <c r="C3335" t="s">
        <v>15</v>
      </c>
      <c r="D3335" s="2">
        <v>730.5</v>
      </c>
      <c r="E3335" s="2">
        <v>730.8499755859375</v>
      </c>
      <c r="F3335" s="2">
        <v>726.54998779296875</v>
      </c>
      <c r="G3335" s="2">
        <v>729</v>
      </c>
      <c r="H3335" s="3">
        <v>29154365</v>
      </c>
      <c r="I3335" s="4">
        <f t="shared" si="208"/>
        <v>-0.54</v>
      </c>
      <c r="J3335" s="2">
        <f t="shared" si="209"/>
        <v>1.85</v>
      </c>
      <c r="K3335" s="7">
        <f t="shared" si="210"/>
        <v>46235</v>
      </c>
      <c r="L3335" t="str">
        <f t="shared" si="211"/>
        <v>Q3-2026</v>
      </c>
    </row>
    <row r="3336" spans="1:12">
      <c r="A3336" s="6">
        <v>46245</v>
      </c>
      <c r="B3336" t="s">
        <v>16</v>
      </c>
      <c r="C3336" t="s">
        <v>17</v>
      </c>
      <c r="D3336" s="2">
        <v>1432.099975585938</v>
      </c>
      <c r="E3336" s="2">
        <v>1434</v>
      </c>
      <c r="F3336" s="2">
        <v>1412.199951171875</v>
      </c>
      <c r="G3336" s="2">
        <v>1429.599975585938</v>
      </c>
      <c r="H3336" s="3">
        <v>10471914</v>
      </c>
      <c r="I3336" s="4">
        <f t="shared" si="208"/>
        <v>-1.39</v>
      </c>
      <c r="J3336" s="2">
        <f t="shared" si="209"/>
        <v>4.4000000000000004</v>
      </c>
      <c r="K3336" s="7">
        <f t="shared" si="210"/>
        <v>46235</v>
      </c>
      <c r="L3336" t="str">
        <f t="shared" si="211"/>
        <v>Q3-2026</v>
      </c>
    </row>
    <row r="3337" spans="1:12">
      <c r="A3337" s="6">
        <v>46245</v>
      </c>
      <c r="B3337" t="s">
        <v>18</v>
      </c>
      <c r="C3337" t="s">
        <v>19</v>
      </c>
      <c r="D3337" s="2">
        <v>185.5</v>
      </c>
      <c r="E3337" s="2">
        <v>187.47999572753909</v>
      </c>
      <c r="F3337" s="2">
        <v>183.30999755859381</v>
      </c>
      <c r="G3337" s="2">
        <v>184.6000061035156</v>
      </c>
      <c r="H3337" s="3">
        <v>9182421</v>
      </c>
      <c r="I3337" s="4">
        <f t="shared" si="208"/>
        <v>-1.18</v>
      </c>
      <c r="J3337" s="2">
        <f t="shared" si="209"/>
        <v>2.88</v>
      </c>
      <c r="K3337" s="7">
        <f t="shared" si="210"/>
        <v>46235</v>
      </c>
      <c r="L3337" t="str">
        <f t="shared" si="211"/>
        <v>Q3-2026</v>
      </c>
    </row>
    <row r="3338" spans="1:12">
      <c r="A3338" s="6">
        <v>46245</v>
      </c>
      <c r="B3338" t="s">
        <v>20</v>
      </c>
      <c r="C3338" t="s">
        <v>21</v>
      </c>
      <c r="D3338" s="2">
        <v>1360.099975585938</v>
      </c>
      <c r="E3338" s="2">
        <v>1379.800048828125</v>
      </c>
      <c r="F3338" s="2">
        <v>1358</v>
      </c>
      <c r="G3338" s="2">
        <v>1365.400024414062</v>
      </c>
      <c r="H3338" s="3">
        <v>1828636</v>
      </c>
      <c r="I3338" s="4">
        <f t="shared" si="208"/>
        <v>-0.15</v>
      </c>
      <c r="J3338" s="2">
        <f t="shared" si="209"/>
        <v>14.4</v>
      </c>
      <c r="K3338" s="7">
        <f t="shared" si="210"/>
        <v>46235</v>
      </c>
      <c r="L3338" t="str">
        <f t="shared" si="211"/>
        <v>Q3-2026</v>
      </c>
    </row>
    <row r="3339" spans="1:12">
      <c r="A3339" s="6">
        <v>46245</v>
      </c>
      <c r="B3339" t="s">
        <v>22</v>
      </c>
      <c r="C3339" t="s">
        <v>23</v>
      </c>
      <c r="D3339" s="2">
        <v>1098</v>
      </c>
      <c r="E3339" s="2">
        <v>1101.5</v>
      </c>
      <c r="F3339" s="2">
        <v>1086.300048828125</v>
      </c>
      <c r="G3339" s="2">
        <v>1093.300048828125</v>
      </c>
      <c r="H3339" s="3">
        <v>6523358</v>
      </c>
      <c r="I3339" s="4">
        <f t="shared" si="208"/>
        <v>-1.07</v>
      </c>
      <c r="J3339" s="2">
        <f t="shared" si="209"/>
        <v>8.1999999999999993</v>
      </c>
      <c r="K3339" s="7">
        <f t="shared" si="210"/>
        <v>46235</v>
      </c>
      <c r="L3339" t="str">
        <f t="shared" si="211"/>
        <v>Q3-2026</v>
      </c>
    </row>
    <row r="3340" spans="1:12">
      <c r="A3340" s="6">
        <v>46245</v>
      </c>
      <c r="B3340" t="s">
        <v>24</v>
      </c>
      <c r="C3340" t="s">
        <v>25</v>
      </c>
      <c r="D3340" s="2">
        <v>14120</v>
      </c>
      <c r="E3340" s="2">
        <v>14175</v>
      </c>
      <c r="F3340" s="2">
        <v>13980</v>
      </c>
      <c r="G3340" s="2">
        <v>13990</v>
      </c>
      <c r="H3340" s="3">
        <v>334931</v>
      </c>
      <c r="I3340" s="4">
        <f t="shared" si="208"/>
        <v>-0.99</v>
      </c>
      <c r="J3340" s="2">
        <f t="shared" si="209"/>
        <v>185</v>
      </c>
      <c r="K3340" s="7">
        <f t="shared" si="210"/>
        <v>46235</v>
      </c>
      <c r="L3340" t="str">
        <f t="shared" si="211"/>
        <v>Q3-2026</v>
      </c>
    </row>
    <row r="3341" spans="1:12">
      <c r="A3341" s="6">
        <v>46245</v>
      </c>
      <c r="B3341" t="s">
        <v>26</v>
      </c>
      <c r="C3341" t="s">
        <v>27</v>
      </c>
      <c r="D3341" s="2">
        <v>345.5</v>
      </c>
      <c r="E3341" s="2">
        <v>348.70001220703119</v>
      </c>
      <c r="F3341" s="2">
        <v>344.25</v>
      </c>
      <c r="G3341" s="2">
        <v>347.60000610351563</v>
      </c>
      <c r="H3341" s="3">
        <v>4864857</v>
      </c>
      <c r="I3341" s="4">
        <f t="shared" si="208"/>
        <v>-0.36</v>
      </c>
      <c r="J3341" s="2">
        <f t="shared" si="209"/>
        <v>1.1000000000000001</v>
      </c>
      <c r="K3341" s="7">
        <f t="shared" si="210"/>
        <v>46235</v>
      </c>
      <c r="L3341" t="str">
        <f t="shared" si="211"/>
        <v>Q3-2026</v>
      </c>
    </row>
    <row r="3342" spans="1:12">
      <c r="A3342" s="6">
        <v>46245</v>
      </c>
      <c r="B3342" t="s">
        <v>28</v>
      </c>
      <c r="C3342" t="s">
        <v>29</v>
      </c>
      <c r="D3342" s="2">
        <v>1939</v>
      </c>
      <c r="E3342" s="2">
        <v>1951.099975585938</v>
      </c>
      <c r="F3342" s="2">
        <v>1928.599975585938</v>
      </c>
      <c r="G3342" s="2">
        <v>1942</v>
      </c>
      <c r="H3342" s="3">
        <v>2125972</v>
      </c>
      <c r="I3342" s="4">
        <f t="shared" si="208"/>
        <v>-0.54</v>
      </c>
      <c r="J3342" s="2">
        <f t="shared" si="209"/>
        <v>9.1</v>
      </c>
      <c r="K3342" s="7">
        <f t="shared" si="210"/>
        <v>46235</v>
      </c>
      <c r="L3342" t="str">
        <f t="shared" si="211"/>
        <v>Q3-2026</v>
      </c>
    </row>
    <row r="3343" spans="1:12">
      <c r="A3343" s="6">
        <v>46245</v>
      </c>
      <c r="B3343" t="s">
        <v>30</v>
      </c>
      <c r="C3343" t="s">
        <v>31</v>
      </c>
      <c r="D3343" s="2">
        <v>2742.10009765625</v>
      </c>
      <c r="E3343" s="2">
        <v>2747.60009765625</v>
      </c>
      <c r="F3343" s="2">
        <v>2720</v>
      </c>
      <c r="G3343" s="2">
        <v>2735.5</v>
      </c>
      <c r="H3343" s="3">
        <v>951134</v>
      </c>
      <c r="I3343" s="4">
        <f t="shared" si="208"/>
        <v>-0.81</v>
      </c>
      <c r="J3343" s="2">
        <f t="shared" si="209"/>
        <v>12.1</v>
      </c>
      <c r="K3343" s="7">
        <f t="shared" si="210"/>
        <v>46235</v>
      </c>
      <c r="L3343" t="str">
        <f t="shared" si="211"/>
        <v>Q3-2026</v>
      </c>
    </row>
    <row r="3344" spans="1:12">
      <c r="A3344" s="6">
        <v>46245</v>
      </c>
      <c r="B3344" t="s">
        <v>32</v>
      </c>
      <c r="C3344" t="s">
        <v>33</v>
      </c>
      <c r="D3344" s="2">
        <v>2086</v>
      </c>
      <c r="E3344" s="2">
        <v>2086.5</v>
      </c>
      <c r="F3344" s="2">
        <v>2063.800048828125</v>
      </c>
      <c r="G3344" s="2">
        <v>2064.89990234375</v>
      </c>
      <c r="H3344" s="3">
        <v>956661</v>
      </c>
      <c r="I3344" s="4">
        <f t="shared" si="208"/>
        <v>-1.06</v>
      </c>
      <c r="J3344" s="2">
        <f t="shared" si="209"/>
        <v>21.6</v>
      </c>
      <c r="K3344" s="7">
        <f t="shared" si="210"/>
        <v>46235</v>
      </c>
      <c r="L3344" t="str">
        <f t="shared" si="211"/>
        <v>Q3-2026</v>
      </c>
    </row>
    <row r="3345" spans="1:12">
      <c r="A3345" s="6">
        <v>46245</v>
      </c>
      <c r="B3345" t="s">
        <v>34</v>
      </c>
      <c r="C3345" t="s">
        <v>35</v>
      </c>
      <c r="D3345" s="2">
        <v>4075.10009765625</v>
      </c>
      <c r="E3345" s="2">
        <v>4075.5</v>
      </c>
      <c r="F3345" s="2">
        <v>4028.5</v>
      </c>
      <c r="G3345" s="2">
        <v>4037.39990234375</v>
      </c>
      <c r="H3345" s="3">
        <v>1401285</v>
      </c>
      <c r="I3345" s="4">
        <f t="shared" si="208"/>
        <v>-1.1399999999999999</v>
      </c>
      <c r="J3345" s="2">
        <f t="shared" si="209"/>
        <v>38.1</v>
      </c>
      <c r="K3345" s="7">
        <f t="shared" si="210"/>
        <v>46235</v>
      </c>
      <c r="L3345" t="str">
        <f t="shared" si="211"/>
        <v>Q3-2026</v>
      </c>
    </row>
    <row r="3346" spans="1:12">
      <c r="A3346" s="6">
        <v>46245</v>
      </c>
      <c r="B3346" t="s">
        <v>36</v>
      </c>
      <c r="C3346" t="s">
        <v>37</v>
      </c>
      <c r="D3346" s="2">
        <v>1242</v>
      </c>
      <c r="E3346" s="2">
        <v>1243</v>
      </c>
      <c r="F3346" s="2">
        <v>1225.400024414062</v>
      </c>
      <c r="G3346" s="2">
        <v>1229.800048828125</v>
      </c>
      <c r="H3346" s="3">
        <v>5843702</v>
      </c>
      <c r="I3346" s="4">
        <f t="shared" si="208"/>
        <v>-1.34</v>
      </c>
      <c r="J3346" s="2">
        <f t="shared" si="209"/>
        <v>13.2</v>
      </c>
      <c r="K3346" s="7">
        <f t="shared" si="210"/>
        <v>46235</v>
      </c>
      <c r="L3346" t="str">
        <f t="shared" si="211"/>
        <v>Q3-2026</v>
      </c>
    </row>
    <row r="3347" spans="1:12">
      <c r="A3347" s="6">
        <v>46246</v>
      </c>
      <c r="B3347" t="s">
        <v>8</v>
      </c>
      <c r="C3347" t="s">
        <v>9</v>
      </c>
      <c r="D3347" s="2">
        <v>1323.900024414062</v>
      </c>
      <c r="E3347" s="2">
        <v>1329</v>
      </c>
      <c r="F3347" s="2">
        <v>1309.199951171875</v>
      </c>
      <c r="G3347" s="2">
        <v>1329</v>
      </c>
      <c r="H3347" s="3">
        <v>7901012</v>
      </c>
      <c r="I3347" s="4">
        <f t="shared" si="208"/>
        <v>-1.1100000000000001</v>
      </c>
      <c r="J3347" s="2">
        <f t="shared" si="209"/>
        <v>0</v>
      </c>
      <c r="K3347" s="7">
        <f t="shared" si="210"/>
        <v>46235</v>
      </c>
      <c r="L3347" t="str">
        <f t="shared" si="211"/>
        <v>Q3-2026</v>
      </c>
    </row>
    <row r="3348" spans="1:12">
      <c r="A3348" s="6">
        <v>46246</v>
      </c>
      <c r="B3348" t="s">
        <v>10</v>
      </c>
      <c r="C3348" t="s">
        <v>11</v>
      </c>
      <c r="D3348" s="2">
        <v>2445.699951171875</v>
      </c>
      <c r="E3348" s="2">
        <v>2445.800048828125</v>
      </c>
      <c r="F3348" s="2">
        <v>2300.10009765625</v>
      </c>
      <c r="G3348" s="2">
        <v>2349.699951171875</v>
      </c>
      <c r="H3348" s="3">
        <v>7022647</v>
      </c>
      <c r="I3348" s="4">
        <f t="shared" si="208"/>
        <v>-5.95</v>
      </c>
      <c r="J3348" s="2">
        <f t="shared" si="209"/>
        <v>96.1</v>
      </c>
      <c r="K3348" s="7">
        <f t="shared" si="210"/>
        <v>46235</v>
      </c>
      <c r="L3348" t="str">
        <f t="shared" si="211"/>
        <v>Q3-2026</v>
      </c>
    </row>
    <row r="3349" spans="1:12">
      <c r="A3349" s="6">
        <v>46246</v>
      </c>
      <c r="B3349" t="s">
        <v>12</v>
      </c>
      <c r="C3349" t="s">
        <v>13</v>
      </c>
      <c r="D3349" s="2">
        <v>1185.599975585938</v>
      </c>
      <c r="E3349" s="2">
        <v>1190.400024414062</v>
      </c>
      <c r="F3349" s="2">
        <v>1163.300048828125</v>
      </c>
      <c r="G3349" s="2">
        <v>1176.099975585938</v>
      </c>
      <c r="H3349" s="3">
        <v>7529777</v>
      </c>
      <c r="I3349" s="4">
        <f t="shared" si="208"/>
        <v>-1.88</v>
      </c>
      <c r="J3349" s="2">
        <f t="shared" si="209"/>
        <v>14.3</v>
      </c>
      <c r="K3349" s="7">
        <f t="shared" si="210"/>
        <v>46235</v>
      </c>
      <c r="L3349" t="str">
        <f t="shared" si="211"/>
        <v>Q3-2026</v>
      </c>
    </row>
    <row r="3350" spans="1:12">
      <c r="A3350" s="6">
        <v>46246</v>
      </c>
      <c r="B3350" t="s">
        <v>14</v>
      </c>
      <c r="C3350" t="s">
        <v>15</v>
      </c>
      <c r="D3350" s="2">
        <v>729</v>
      </c>
      <c r="E3350" s="2">
        <v>730.6500244140625</v>
      </c>
      <c r="F3350" s="2">
        <v>722</v>
      </c>
      <c r="G3350" s="2">
        <v>729</v>
      </c>
      <c r="H3350" s="3">
        <v>26993177</v>
      </c>
      <c r="I3350" s="4">
        <f t="shared" si="208"/>
        <v>-0.96</v>
      </c>
      <c r="J3350" s="2">
        <f t="shared" si="209"/>
        <v>1.65</v>
      </c>
      <c r="K3350" s="7">
        <f t="shared" si="210"/>
        <v>46235</v>
      </c>
      <c r="L3350" t="str">
        <f t="shared" si="211"/>
        <v>Q3-2026</v>
      </c>
    </row>
    <row r="3351" spans="1:12">
      <c r="A3351" s="6">
        <v>46246</v>
      </c>
      <c r="B3351" t="s">
        <v>16</v>
      </c>
      <c r="C3351" t="s">
        <v>17</v>
      </c>
      <c r="D3351" s="2">
        <v>1429.400024414062</v>
      </c>
      <c r="E3351" s="2">
        <v>1435</v>
      </c>
      <c r="F3351" s="2">
        <v>1418.599975585938</v>
      </c>
      <c r="G3351" s="2">
        <v>1431.699951171875</v>
      </c>
      <c r="H3351" s="3">
        <v>8201733</v>
      </c>
      <c r="I3351" s="4">
        <f t="shared" si="208"/>
        <v>-0.76</v>
      </c>
      <c r="J3351" s="2">
        <f t="shared" si="209"/>
        <v>3.3</v>
      </c>
      <c r="K3351" s="7">
        <f t="shared" si="210"/>
        <v>46235</v>
      </c>
      <c r="L3351" t="str">
        <f t="shared" si="211"/>
        <v>Q3-2026</v>
      </c>
    </row>
    <row r="3352" spans="1:12">
      <c r="A3352" s="6">
        <v>46246</v>
      </c>
      <c r="B3352" t="s">
        <v>18</v>
      </c>
      <c r="C3352" t="s">
        <v>19</v>
      </c>
      <c r="D3352" s="2">
        <v>184.50999450683591</v>
      </c>
      <c r="E3352" s="2">
        <v>185</v>
      </c>
      <c r="F3352" s="2">
        <v>181.9100036621094</v>
      </c>
      <c r="G3352" s="2">
        <v>183.94000244140619</v>
      </c>
      <c r="H3352" s="3">
        <v>8624548</v>
      </c>
      <c r="I3352" s="4">
        <f t="shared" si="208"/>
        <v>-1.41</v>
      </c>
      <c r="J3352" s="2">
        <f t="shared" si="209"/>
        <v>1.06</v>
      </c>
      <c r="K3352" s="7">
        <f t="shared" si="210"/>
        <v>46235</v>
      </c>
      <c r="L3352" t="str">
        <f t="shared" si="211"/>
        <v>Q3-2026</v>
      </c>
    </row>
    <row r="3353" spans="1:12">
      <c r="A3353" s="6">
        <v>46246</v>
      </c>
      <c r="B3353" t="s">
        <v>20</v>
      </c>
      <c r="C3353" t="s">
        <v>21</v>
      </c>
      <c r="D3353" s="2">
        <v>1370</v>
      </c>
      <c r="E3353" s="2">
        <v>1370</v>
      </c>
      <c r="F3353" s="2">
        <v>1340.400024414062</v>
      </c>
      <c r="G3353" s="2">
        <v>1365.400024414062</v>
      </c>
      <c r="H3353" s="3">
        <v>1418468</v>
      </c>
      <c r="I3353" s="4">
        <f t="shared" si="208"/>
        <v>-2.16</v>
      </c>
      <c r="J3353" s="2">
        <f t="shared" si="209"/>
        <v>4.5999999999999996</v>
      </c>
      <c r="K3353" s="7">
        <f t="shared" si="210"/>
        <v>46235</v>
      </c>
      <c r="L3353" t="str">
        <f t="shared" si="211"/>
        <v>Q3-2026</v>
      </c>
    </row>
    <row r="3354" spans="1:12">
      <c r="A3354" s="6">
        <v>46246</v>
      </c>
      <c r="B3354" t="s">
        <v>22</v>
      </c>
      <c r="C3354" t="s">
        <v>23</v>
      </c>
      <c r="D3354" s="2">
        <v>1093</v>
      </c>
      <c r="E3354" s="2">
        <v>1094.699951171875</v>
      </c>
      <c r="F3354" s="2">
        <v>1080</v>
      </c>
      <c r="G3354" s="2">
        <v>1094.199951171875</v>
      </c>
      <c r="H3354" s="3">
        <v>7054842</v>
      </c>
      <c r="I3354" s="4">
        <f t="shared" si="208"/>
        <v>-1.19</v>
      </c>
      <c r="J3354" s="2">
        <f t="shared" si="209"/>
        <v>0.5</v>
      </c>
      <c r="K3354" s="7">
        <f t="shared" si="210"/>
        <v>46235</v>
      </c>
      <c r="L3354" t="str">
        <f t="shared" si="211"/>
        <v>Q3-2026</v>
      </c>
    </row>
    <row r="3355" spans="1:12">
      <c r="A3355" s="6">
        <v>46246</v>
      </c>
      <c r="B3355" t="s">
        <v>24</v>
      </c>
      <c r="C3355" t="s">
        <v>25</v>
      </c>
      <c r="D3355" s="2">
        <v>13990</v>
      </c>
      <c r="E3355" s="2">
        <v>14067</v>
      </c>
      <c r="F3355" s="2">
        <v>13875</v>
      </c>
      <c r="G3355" s="2">
        <v>13875</v>
      </c>
      <c r="H3355" s="3">
        <v>354408</v>
      </c>
      <c r="I3355" s="4">
        <f t="shared" si="208"/>
        <v>-0.82</v>
      </c>
      <c r="J3355" s="2">
        <f t="shared" si="209"/>
        <v>192</v>
      </c>
      <c r="K3355" s="7">
        <f t="shared" si="210"/>
        <v>46235</v>
      </c>
      <c r="L3355" t="str">
        <f t="shared" si="211"/>
        <v>Q3-2026</v>
      </c>
    </row>
    <row r="3356" spans="1:12">
      <c r="A3356" s="6">
        <v>46246</v>
      </c>
      <c r="B3356" t="s">
        <v>26</v>
      </c>
      <c r="C3356" t="s">
        <v>27</v>
      </c>
      <c r="D3356" s="2">
        <v>348.39999389648438</v>
      </c>
      <c r="E3356" s="2">
        <v>351.25</v>
      </c>
      <c r="F3356" s="2">
        <v>334.20001220703119</v>
      </c>
      <c r="G3356" s="2">
        <v>343</v>
      </c>
      <c r="H3356" s="3">
        <v>22384343</v>
      </c>
      <c r="I3356" s="4">
        <f t="shared" si="208"/>
        <v>-4.08</v>
      </c>
      <c r="J3356" s="2">
        <f t="shared" si="209"/>
        <v>8.25</v>
      </c>
      <c r="K3356" s="7">
        <f t="shared" si="210"/>
        <v>46235</v>
      </c>
      <c r="L3356" t="str">
        <f t="shared" si="211"/>
        <v>Q3-2026</v>
      </c>
    </row>
    <row r="3357" spans="1:12">
      <c r="A3357" s="6">
        <v>46246</v>
      </c>
      <c r="B3357" t="s">
        <v>28</v>
      </c>
      <c r="C3357" t="s">
        <v>29</v>
      </c>
      <c r="D3357" s="2">
        <v>1942</v>
      </c>
      <c r="E3357" s="2">
        <v>1945.699951171875</v>
      </c>
      <c r="F3357" s="2">
        <v>1926.800048828125</v>
      </c>
      <c r="G3357" s="2">
        <v>1944</v>
      </c>
      <c r="H3357" s="3">
        <v>1536383</v>
      </c>
      <c r="I3357" s="4">
        <f t="shared" si="208"/>
        <v>-0.78</v>
      </c>
      <c r="J3357" s="2">
        <f t="shared" si="209"/>
        <v>1.7</v>
      </c>
      <c r="K3357" s="7">
        <f t="shared" si="210"/>
        <v>46235</v>
      </c>
      <c r="L3357" t="str">
        <f t="shared" si="211"/>
        <v>Q3-2026</v>
      </c>
    </row>
    <row r="3358" spans="1:12">
      <c r="A3358" s="6">
        <v>46246</v>
      </c>
      <c r="B3358" t="s">
        <v>30</v>
      </c>
      <c r="C3358" t="s">
        <v>31</v>
      </c>
      <c r="D3358" s="2">
        <v>2733.199951171875</v>
      </c>
      <c r="E3358" s="2">
        <v>2748.39990234375</v>
      </c>
      <c r="F3358" s="2">
        <v>2698.199951171875</v>
      </c>
      <c r="G3358" s="2">
        <v>2740</v>
      </c>
      <c r="H3358" s="3">
        <v>648174</v>
      </c>
      <c r="I3358" s="4">
        <f t="shared" si="208"/>
        <v>-1.28</v>
      </c>
      <c r="J3358" s="2">
        <f t="shared" si="209"/>
        <v>8.4</v>
      </c>
      <c r="K3358" s="7">
        <f t="shared" si="210"/>
        <v>46235</v>
      </c>
      <c r="L3358" t="str">
        <f t="shared" si="211"/>
        <v>Q3-2026</v>
      </c>
    </row>
    <row r="3359" spans="1:12">
      <c r="A3359" s="6">
        <v>46246</v>
      </c>
      <c r="B3359" t="s">
        <v>32</v>
      </c>
      <c r="C3359" t="s">
        <v>33</v>
      </c>
      <c r="D3359" s="2">
        <v>2065</v>
      </c>
      <c r="E3359" s="2">
        <v>2072.10009765625</v>
      </c>
      <c r="F3359" s="2">
        <v>2050.10009765625</v>
      </c>
      <c r="G3359" s="2">
        <v>2063</v>
      </c>
      <c r="H3359" s="3">
        <v>995523</v>
      </c>
      <c r="I3359" s="4">
        <f t="shared" si="208"/>
        <v>-0.72</v>
      </c>
      <c r="J3359" s="2">
        <f t="shared" si="209"/>
        <v>9.1</v>
      </c>
      <c r="K3359" s="7">
        <f t="shared" si="210"/>
        <v>46235</v>
      </c>
      <c r="L3359" t="str">
        <f t="shared" si="211"/>
        <v>Q3-2026</v>
      </c>
    </row>
    <row r="3360" spans="1:12">
      <c r="A3360" s="6">
        <v>46246</v>
      </c>
      <c r="B3360" t="s">
        <v>34</v>
      </c>
      <c r="C3360" t="s">
        <v>35</v>
      </c>
      <c r="D3360" s="2">
        <v>4038</v>
      </c>
      <c r="E3360" s="2">
        <v>4044.10009765625</v>
      </c>
      <c r="F3360" s="2">
        <v>3990</v>
      </c>
      <c r="G3360" s="2">
        <v>4020</v>
      </c>
      <c r="H3360" s="3">
        <v>2226623</v>
      </c>
      <c r="I3360" s="4">
        <f t="shared" si="208"/>
        <v>-1.19</v>
      </c>
      <c r="J3360" s="2">
        <f t="shared" si="209"/>
        <v>24.1</v>
      </c>
      <c r="K3360" s="7">
        <f t="shared" si="210"/>
        <v>46235</v>
      </c>
      <c r="L3360" t="str">
        <f t="shared" si="211"/>
        <v>Q3-2026</v>
      </c>
    </row>
    <row r="3361" spans="1:12">
      <c r="A3361" s="6">
        <v>46246</v>
      </c>
      <c r="B3361" t="s">
        <v>36</v>
      </c>
      <c r="C3361" t="s">
        <v>37</v>
      </c>
      <c r="D3361" s="2">
        <v>1230</v>
      </c>
      <c r="E3361" s="2">
        <v>1234.900024414062</v>
      </c>
      <c r="F3361" s="2">
        <v>1216.900024414062</v>
      </c>
      <c r="G3361" s="2">
        <v>1230</v>
      </c>
      <c r="H3361" s="3">
        <v>7218881</v>
      </c>
      <c r="I3361" s="4">
        <f t="shared" si="208"/>
        <v>-1.07</v>
      </c>
      <c r="J3361" s="2">
        <f t="shared" si="209"/>
        <v>4.9000000000000004</v>
      </c>
      <c r="K3361" s="7">
        <f t="shared" si="210"/>
        <v>46235</v>
      </c>
      <c r="L3361" t="str">
        <f t="shared" si="211"/>
        <v>Q3-2026</v>
      </c>
    </row>
    <row r="3362" spans="1:12">
      <c r="A3362" s="6">
        <v>46247</v>
      </c>
      <c r="B3362" t="s">
        <v>8</v>
      </c>
      <c r="C3362" t="s">
        <v>9</v>
      </c>
      <c r="D3362" s="2">
        <v>1327.800048828125</v>
      </c>
      <c r="E3362" s="2">
        <v>1327.800048828125</v>
      </c>
      <c r="F3362" s="2">
        <v>1307.199951171875</v>
      </c>
      <c r="G3362" s="2">
        <v>1317</v>
      </c>
      <c r="H3362" s="3">
        <v>9397301</v>
      </c>
      <c r="I3362" s="4">
        <f t="shared" si="208"/>
        <v>-1.55</v>
      </c>
      <c r="J3362" s="2">
        <f t="shared" si="209"/>
        <v>10.8</v>
      </c>
      <c r="K3362" s="7">
        <f t="shared" si="210"/>
        <v>46235</v>
      </c>
      <c r="L3362" t="str">
        <f t="shared" si="211"/>
        <v>Q3-2026</v>
      </c>
    </row>
    <row r="3363" spans="1:12">
      <c r="A3363" s="6">
        <v>46247</v>
      </c>
      <c r="B3363" t="s">
        <v>10</v>
      </c>
      <c r="C3363" t="s">
        <v>11</v>
      </c>
      <c r="D3363" s="2">
        <v>2349.699951171875</v>
      </c>
      <c r="E3363" s="2">
        <v>2375</v>
      </c>
      <c r="F3363" s="2">
        <v>2332.300048828125</v>
      </c>
      <c r="G3363" s="2">
        <v>2375</v>
      </c>
      <c r="H3363" s="3">
        <v>2123494</v>
      </c>
      <c r="I3363" s="4">
        <f t="shared" si="208"/>
        <v>-0.74</v>
      </c>
      <c r="J3363" s="2">
        <f t="shared" si="209"/>
        <v>0</v>
      </c>
      <c r="K3363" s="7">
        <f t="shared" si="210"/>
        <v>46235</v>
      </c>
      <c r="L3363" t="str">
        <f t="shared" si="211"/>
        <v>Q3-2026</v>
      </c>
    </row>
    <row r="3364" spans="1:12">
      <c r="A3364" s="6">
        <v>46247</v>
      </c>
      <c r="B3364" t="s">
        <v>12</v>
      </c>
      <c r="C3364" t="s">
        <v>13</v>
      </c>
      <c r="D3364" s="2">
        <v>1170</v>
      </c>
      <c r="E3364" s="2">
        <v>1175</v>
      </c>
      <c r="F3364" s="2">
        <v>1157</v>
      </c>
      <c r="G3364" s="2">
        <v>1175</v>
      </c>
      <c r="H3364" s="3">
        <v>6234215</v>
      </c>
      <c r="I3364" s="4">
        <f t="shared" si="208"/>
        <v>-1.1100000000000001</v>
      </c>
      <c r="J3364" s="2">
        <f t="shared" si="209"/>
        <v>0</v>
      </c>
      <c r="K3364" s="7">
        <f t="shared" si="210"/>
        <v>46235</v>
      </c>
      <c r="L3364" t="str">
        <f t="shared" si="211"/>
        <v>Q3-2026</v>
      </c>
    </row>
    <row r="3365" spans="1:12">
      <c r="A3365" s="6">
        <v>46247</v>
      </c>
      <c r="B3365" t="s">
        <v>14</v>
      </c>
      <c r="C3365" t="s">
        <v>15</v>
      </c>
      <c r="D3365" s="2">
        <v>726.9000244140625</v>
      </c>
      <c r="E3365" s="2">
        <v>729</v>
      </c>
      <c r="F3365" s="2">
        <v>724.5</v>
      </c>
      <c r="G3365" s="2">
        <v>725</v>
      </c>
      <c r="H3365" s="3">
        <v>22129893</v>
      </c>
      <c r="I3365" s="4">
        <f t="shared" si="208"/>
        <v>-0.33</v>
      </c>
      <c r="J3365" s="2">
        <f t="shared" si="209"/>
        <v>4</v>
      </c>
      <c r="K3365" s="7">
        <f t="shared" si="210"/>
        <v>46235</v>
      </c>
      <c r="L3365" t="str">
        <f t="shared" si="211"/>
        <v>Q3-2026</v>
      </c>
    </row>
    <row r="3366" spans="1:12">
      <c r="A3366" s="6">
        <v>46247</v>
      </c>
      <c r="B3366" t="s">
        <v>16</v>
      </c>
      <c r="C3366" t="s">
        <v>17</v>
      </c>
      <c r="D3366" s="2">
        <v>1429</v>
      </c>
      <c r="E3366" s="2">
        <v>1429</v>
      </c>
      <c r="F3366" s="2">
        <v>1406.400024414062</v>
      </c>
      <c r="G3366" s="2">
        <v>1406.800048828125</v>
      </c>
      <c r="H3366" s="3">
        <v>11408206</v>
      </c>
      <c r="I3366" s="4">
        <f t="shared" si="208"/>
        <v>-1.58</v>
      </c>
      <c r="J3366" s="2">
        <f t="shared" si="209"/>
        <v>22.2</v>
      </c>
      <c r="K3366" s="7">
        <f t="shared" si="210"/>
        <v>46235</v>
      </c>
      <c r="L3366" t="str">
        <f t="shared" si="211"/>
        <v>Q3-2026</v>
      </c>
    </row>
    <row r="3367" spans="1:12">
      <c r="A3367" s="6">
        <v>46247</v>
      </c>
      <c r="B3367" t="s">
        <v>18</v>
      </c>
      <c r="C3367" t="s">
        <v>19</v>
      </c>
      <c r="D3367" s="2">
        <v>183.49000549316409</v>
      </c>
      <c r="E3367" s="2">
        <v>183.75</v>
      </c>
      <c r="F3367" s="2">
        <v>181.7200012207031</v>
      </c>
      <c r="G3367" s="2">
        <v>183.1000061035156</v>
      </c>
      <c r="H3367" s="3">
        <v>5434084</v>
      </c>
      <c r="I3367" s="4">
        <f t="shared" si="208"/>
        <v>-0.96</v>
      </c>
      <c r="J3367" s="2">
        <f t="shared" si="209"/>
        <v>0.65</v>
      </c>
      <c r="K3367" s="7">
        <f t="shared" si="210"/>
        <v>46235</v>
      </c>
      <c r="L3367" t="str">
        <f t="shared" si="211"/>
        <v>Q3-2026</v>
      </c>
    </row>
    <row r="3368" spans="1:12">
      <c r="A3368" s="6">
        <v>46247</v>
      </c>
      <c r="B3368" t="s">
        <v>20</v>
      </c>
      <c r="C3368" t="s">
        <v>21</v>
      </c>
      <c r="D3368" s="2">
        <v>1362.900024414062</v>
      </c>
      <c r="E3368" s="2">
        <v>1372.900024414062</v>
      </c>
      <c r="F3368" s="2">
        <v>1354</v>
      </c>
      <c r="G3368" s="2">
        <v>1370</v>
      </c>
      <c r="H3368" s="3">
        <v>778760</v>
      </c>
      <c r="I3368" s="4">
        <f t="shared" si="208"/>
        <v>-0.65</v>
      </c>
      <c r="J3368" s="2">
        <f t="shared" si="209"/>
        <v>2.9</v>
      </c>
      <c r="K3368" s="7">
        <f t="shared" si="210"/>
        <v>46235</v>
      </c>
      <c r="L3368" t="str">
        <f t="shared" si="211"/>
        <v>Q3-2026</v>
      </c>
    </row>
    <row r="3369" spans="1:12">
      <c r="A3369" s="6">
        <v>46247</v>
      </c>
      <c r="B3369" t="s">
        <v>22</v>
      </c>
      <c r="C3369" t="s">
        <v>23</v>
      </c>
      <c r="D3369" s="2">
        <v>1095</v>
      </c>
      <c r="E3369" s="2">
        <v>1095.300048828125</v>
      </c>
      <c r="F3369" s="2">
        <v>1083</v>
      </c>
      <c r="G3369" s="2">
        <v>1090.800048828125</v>
      </c>
      <c r="H3369" s="3">
        <v>2405186</v>
      </c>
      <c r="I3369" s="4">
        <f t="shared" si="208"/>
        <v>-1.1000000000000001</v>
      </c>
      <c r="J3369" s="2">
        <f t="shared" si="209"/>
        <v>4.5</v>
      </c>
      <c r="K3369" s="7">
        <f t="shared" si="210"/>
        <v>46235</v>
      </c>
      <c r="L3369" t="str">
        <f t="shared" si="211"/>
        <v>Q3-2026</v>
      </c>
    </row>
    <row r="3370" spans="1:12">
      <c r="A3370" s="6">
        <v>46247</v>
      </c>
      <c r="B3370" t="s">
        <v>24</v>
      </c>
      <c r="C3370" t="s">
        <v>25</v>
      </c>
      <c r="D3370" s="2">
        <v>13884</v>
      </c>
      <c r="E3370" s="2">
        <v>13938</v>
      </c>
      <c r="F3370" s="2">
        <v>13825</v>
      </c>
      <c r="G3370" s="2">
        <v>13905</v>
      </c>
      <c r="H3370" s="3">
        <v>220061</v>
      </c>
      <c r="I3370" s="4">
        <f t="shared" si="208"/>
        <v>-0.42</v>
      </c>
      <c r="J3370" s="2">
        <f t="shared" si="209"/>
        <v>33</v>
      </c>
      <c r="K3370" s="7">
        <f t="shared" si="210"/>
        <v>46235</v>
      </c>
      <c r="L3370" t="str">
        <f t="shared" si="211"/>
        <v>Q3-2026</v>
      </c>
    </row>
    <row r="3371" spans="1:12">
      <c r="A3371" s="6">
        <v>46247</v>
      </c>
      <c r="B3371" t="s">
        <v>26</v>
      </c>
      <c r="C3371" t="s">
        <v>27</v>
      </c>
      <c r="D3371" s="2">
        <v>343.5</v>
      </c>
      <c r="E3371" s="2">
        <v>351.54998779296881</v>
      </c>
      <c r="F3371" s="2">
        <v>342.45001220703119</v>
      </c>
      <c r="G3371" s="2">
        <v>349.60000610351563</v>
      </c>
      <c r="H3371" s="3">
        <v>9528820</v>
      </c>
      <c r="I3371" s="4">
        <f t="shared" si="208"/>
        <v>-0.31</v>
      </c>
      <c r="J3371" s="2">
        <f t="shared" si="209"/>
        <v>1.95</v>
      </c>
      <c r="K3371" s="7">
        <f t="shared" si="210"/>
        <v>46235</v>
      </c>
      <c r="L3371" t="str">
        <f t="shared" si="211"/>
        <v>Q3-2026</v>
      </c>
    </row>
    <row r="3372" spans="1:12">
      <c r="A3372" s="6">
        <v>46247</v>
      </c>
      <c r="B3372" t="s">
        <v>28</v>
      </c>
      <c r="C3372" t="s">
        <v>29</v>
      </c>
      <c r="D3372" s="2">
        <v>1943</v>
      </c>
      <c r="E3372" s="2">
        <v>1946.300048828125</v>
      </c>
      <c r="F3372" s="2">
        <v>1931.099975585938</v>
      </c>
      <c r="G3372" s="2">
        <v>1932</v>
      </c>
      <c r="H3372" s="3">
        <v>1216049</v>
      </c>
      <c r="I3372" s="4">
        <f t="shared" si="208"/>
        <v>-0.61</v>
      </c>
      <c r="J3372" s="2">
        <f t="shared" si="209"/>
        <v>14.3</v>
      </c>
      <c r="K3372" s="7">
        <f t="shared" si="210"/>
        <v>46235</v>
      </c>
      <c r="L3372" t="str">
        <f t="shared" si="211"/>
        <v>Q3-2026</v>
      </c>
    </row>
    <row r="3373" spans="1:12">
      <c r="A3373" s="6">
        <v>46247</v>
      </c>
      <c r="B3373" t="s">
        <v>30</v>
      </c>
      <c r="C3373" t="s">
        <v>31</v>
      </c>
      <c r="D3373" s="2">
        <v>2725</v>
      </c>
      <c r="E3373" s="2">
        <v>2755.5</v>
      </c>
      <c r="F3373" s="2">
        <v>2720</v>
      </c>
      <c r="G3373" s="2">
        <v>2755.5</v>
      </c>
      <c r="H3373" s="3">
        <v>579435</v>
      </c>
      <c r="I3373" s="4">
        <f t="shared" si="208"/>
        <v>-0.18</v>
      </c>
      <c r="J3373" s="2">
        <f t="shared" si="209"/>
        <v>0</v>
      </c>
      <c r="K3373" s="7">
        <f t="shared" si="210"/>
        <v>46235</v>
      </c>
      <c r="L3373" t="str">
        <f t="shared" si="211"/>
        <v>Q3-2026</v>
      </c>
    </row>
    <row r="3374" spans="1:12">
      <c r="A3374" s="6">
        <v>46247</v>
      </c>
      <c r="B3374" t="s">
        <v>32</v>
      </c>
      <c r="C3374" t="s">
        <v>33</v>
      </c>
      <c r="D3374" s="2">
        <v>2063</v>
      </c>
      <c r="E3374" s="2">
        <v>2092</v>
      </c>
      <c r="F3374" s="2">
        <v>2052.89990234375</v>
      </c>
      <c r="G3374" s="2">
        <v>2092</v>
      </c>
      <c r="H3374" s="3">
        <v>1186057</v>
      </c>
      <c r="I3374" s="4">
        <f t="shared" si="208"/>
        <v>-0.49</v>
      </c>
      <c r="J3374" s="2">
        <f t="shared" si="209"/>
        <v>0</v>
      </c>
      <c r="K3374" s="7">
        <f t="shared" si="210"/>
        <v>46235</v>
      </c>
      <c r="L3374" t="str">
        <f t="shared" si="211"/>
        <v>Q3-2026</v>
      </c>
    </row>
    <row r="3375" spans="1:12">
      <c r="A3375" s="6">
        <v>46247</v>
      </c>
      <c r="B3375" t="s">
        <v>34</v>
      </c>
      <c r="C3375" t="s">
        <v>35</v>
      </c>
      <c r="D3375" s="2">
        <v>4010</v>
      </c>
      <c r="E3375" s="2">
        <v>4070.699951171875</v>
      </c>
      <c r="F3375" s="2">
        <v>3990</v>
      </c>
      <c r="G3375" s="2">
        <v>4070.699951171875</v>
      </c>
      <c r="H3375" s="3">
        <v>2299928</v>
      </c>
      <c r="I3375" s="4">
        <f t="shared" si="208"/>
        <v>-0.5</v>
      </c>
      <c r="J3375" s="2">
        <f t="shared" si="209"/>
        <v>0</v>
      </c>
      <c r="K3375" s="7">
        <f t="shared" si="210"/>
        <v>46235</v>
      </c>
      <c r="L3375" t="str">
        <f t="shared" si="211"/>
        <v>Q3-2026</v>
      </c>
    </row>
    <row r="3376" spans="1:12">
      <c r="A3376" s="6">
        <v>46247</v>
      </c>
      <c r="B3376" t="s">
        <v>36</v>
      </c>
      <c r="C3376" t="s">
        <v>37</v>
      </c>
      <c r="D3376" s="2">
        <v>1224.5</v>
      </c>
      <c r="E3376" s="2">
        <v>1224.800048828125</v>
      </c>
      <c r="F3376" s="2">
        <v>1215.599975585938</v>
      </c>
      <c r="G3376" s="2">
        <v>1221.800048828125</v>
      </c>
      <c r="H3376" s="3">
        <v>5284300</v>
      </c>
      <c r="I3376" s="4">
        <f t="shared" si="208"/>
        <v>-0.73</v>
      </c>
      <c r="J3376" s="2">
        <f t="shared" si="209"/>
        <v>3</v>
      </c>
      <c r="K3376" s="7">
        <f t="shared" si="210"/>
        <v>46235</v>
      </c>
      <c r="L3376" t="str">
        <f t="shared" si="211"/>
        <v>Q3-2026</v>
      </c>
    </row>
    <row r="3377" spans="1:12">
      <c r="A3377" s="6">
        <v>46248</v>
      </c>
      <c r="B3377" t="s">
        <v>8</v>
      </c>
      <c r="C3377" t="s">
        <v>9</v>
      </c>
      <c r="D3377" s="2">
        <v>1317</v>
      </c>
      <c r="E3377" s="2">
        <v>1317.5</v>
      </c>
      <c r="F3377" s="2">
        <v>1301.5</v>
      </c>
      <c r="G3377" s="2">
        <v>1310</v>
      </c>
      <c r="H3377" s="3">
        <v>10497358</v>
      </c>
      <c r="I3377" s="4">
        <f t="shared" si="208"/>
        <v>-1.18</v>
      </c>
      <c r="J3377" s="2">
        <f t="shared" si="209"/>
        <v>7.5</v>
      </c>
      <c r="K3377" s="7">
        <f t="shared" si="210"/>
        <v>46235</v>
      </c>
      <c r="L3377" t="str">
        <f t="shared" si="211"/>
        <v>Q3-2026</v>
      </c>
    </row>
    <row r="3378" spans="1:12">
      <c r="A3378" s="6">
        <v>46248</v>
      </c>
      <c r="B3378" t="s">
        <v>10</v>
      </c>
      <c r="C3378" t="s">
        <v>11</v>
      </c>
      <c r="D3378" s="2">
        <v>2375.10009765625</v>
      </c>
      <c r="E3378" s="2">
        <v>2390</v>
      </c>
      <c r="F3378" s="2">
        <v>2333.39990234375</v>
      </c>
      <c r="G3378" s="2">
        <v>2361</v>
      </c>
      <c r="H3378" s="3">
        <v>2232160</v>
      </c>
      <c r="I3378" s="4">
        <f t="shared" si="208"/>
        <v>-1.76</v>
      </c>
      <c r="J3378" s="2">
        <f t="shared" si="209"/>
        <v>29</v>
      </c>
      <c r="K3378" s="7">
        <f t="shared" si="210"/>
        <v>46235</v>
      </c>
      <c r="L3378" t="str">
        <f t="shared" si="211"/>
        <v>Q3-2026</v>
      </c>
    </row>
    <row r="3379" spans="1:12">
      <c r="A3379" s="6">
        <v>46248</v>
      </c>
      <c r="B3379" t="s">
        <v>12</v>
      </c>
      <c r="C3379" t="s">
        <v>13</v>
      </c>
      <c r="D3379" s="2">
        <v>1170.400024414062</v>
      </c>
      <c r="E3379" s="2">
        <v>1174.099975585938</v>
      </c>
      <c r="F3379" s="2">
        <v>1158.900024414062</v>
      </c>
      <c r="G3379" s="2">
        <v>1169.199951171875</v>
      </c>
      <c r="H3379" s="3">
        <v>5844763</v>
      </c>
      <c r="I3379" s="4">
        <f t="shared" si="208"/>
        <v>-0.98</v>
      </c>
      <c r="J3379" s="2">
        <f t="shared" si="209"/>
        <v>4.9000000000000004</v>
      </c>
      <c r="K3379" s="7">
        <f t="shared" si="210"/>
        <v>46235</v>
      </c>
      <c r="L3379" t="str">
        <f t="shared" si="211"/>
        <v>Q3-2026</v>
      </c>
    </row>
    <row r="3380" spans="1:12">
      <c r="A3380" s="6">
        <v>46248</v>
      </c>
      <c r="B3380" t="s">
        <v>14</v>
      </c>
      <c r="C3380" t="s">
        <v>15</v>
      </c>
      <c r="D3380" s="2">
        <v>725</v>
      </c>
      <c r="E3380" s="2">
        <v>729.5999755859375</v>
      </c>
      <c r="F3380" s="2">
        <v>723.5</v>
      </c>
      <c r="G3380" s="2">
        <v>727</v>
      </c>
      <c r="H3380" s="3">
        <v>20364131</v>
      </c>
      <c r="I3380" s="4">
        <f t="shared" si="208"/>
        <v>-0.21</v>
      </c>
      <c r="J3380" s="2">
        <f t="shared" si="209"/>
        <v>2.6</v>
      </c>
      <c r="K3380" s="7">
        <f t="shared" si="210"/>
        <v>46235</v>
      </c>
      <c r="L3380" t="str">
        <f t="shared" si="211"/>
        <v>Q3-2026</v>
      </c>
    </row>
    <row r="3381" spans="1:12">
      <c r="A3381" s="6">
        <v>46248</v>
      </c>
      <c r="B3381" t="s">
        <v>16</v>
      </c>
      <c r="C3381" t="s">
        <v>17</v>
      </c>
      <c r="D3381" s="2">
        <v>1403</v>
      </c>
      <c r="E3381" s="2">
        <v>1417.800048828125</v>
      </c>
      <c r="F3381" s="2">
        <v>1401</v>
      </c>
      <c r="G3381" s="2">
        <v>1417</v>
      </c>
      <c r="H3381" s="3">
        <v>6097934</v>
      </c>
      <c r="I3381" s="4">
        <f t="shared" si="208"/>
        <v>-0.14000000000000001</v>
      </c>
      <c r="J3381" s="2">
        <f t="shared" si="209"/>
        <v>0.8</v>
      </c>
      <c r="K3381" s="7">
        <f t="shared" si="210"/>
        <v>46235</v>
      </c>
      <c r="L3381" t="str">
        <f t="shared" si="211"/>
        <v>Q3-2026</v>
      </c>
    </row>
    <row r="3382" spans="1:12">
      <c r="A3382" s="6">
        <v>46248</v>
      </c>
      <c r="B3382" t="s">
        <v>18</v>
      </c>
      <c r="C3382" t="s">
        <v>19</v>
      </c>
      <c r="D3382" s="2">
        <v>183.55000305175781</v>
      </c>
      <c r="E3382" s="2">
        <v>185.8399963378906</v>
      </c>
      <c r="F3382" s="2">
        <v>183.1000061035156</v>
      </c>
      <c r="G3382" s="2">
        <v>184</v>
      </c>
      <c r="H3382" s="3">
        <v>7366162</v>
      </c>
      <c r="I3382" s="4">
        <f t="shared" si="208"/>
        <v>-0.25</v>
      </c>
      <c r="J3382" s="2">
        <f t="shared" si="209"/>
        <v>1.84</v>
      </c>
      <c r="K3382" s="7">
        <f t="shared" si="210"/>
        <v>46235</v>
      </c>
      <c r="L3382" t="str">
        <f t="shared" si="211"/>
        <v>Q3-2026</v>
      </c>
    </row>
    <row r="3383" spans="1:12">
      <c r="A3383" s="6">
        <v>46248</v>
      </c>
      <c r="B3383" t="s">
        <v>20</v>
      </c>
      <c r="C3383" t="s">
        <v>21</v>
      </c>
      <c r="D3383" s="2">
        <v>1372.800048828125</v>
      </c>
      <c r="E3383" s="2">
        <v>1374.900024414062</v>
      </c>
      <c r="F3383" s="2">
        <v>1346.5</v>
      </c>
      <c r="G3383" s="2">
        <v>1360</v>
      </c>
      <c r="H3383" s="3">
        <v>1033374</v>
      </c>
      <c r="I3383" s="4">
        <f t="shared" si="208"/>
        <v>-1.92</v>
      </c>
      <c r="J3383" s="2">
        <f t="shared" si="209"/>
        <v>14.9</v>
      </c>
      <c r="K3383" s="7">
        <f t="shared" si="210"/>
        <v>46235</v>
      </c>
      <c r="L3383" t="str">
        <f t="shared" si="211"/>
        <v>Q3-2026</v>
      </c>
    </row>
    <row r="3384" spans="1:12">
      <c r="A3384" s="6">
        <v>46248</v>
      </c>
      <c r="B3384" t="s">
        <v>22</v>
      </c>
      <c r="C3384" t="s">
        <v>23</v>
      </c>
      <c r="D3384" s="2">
        <v>1090.800048828125</v>
      </c>
      <c r="E3384" s="2">
        <v>1098.5</v>
      </c>
      <c r="F3384" s="2">
        <v>1085.199951171875</v>
      </c>
      <c r="G3384" s="2">
        <v>1087</v>
      </c>
      <c r="H3384" s="3">
        <v>4225781</v>
      </c>
      <c r="I3384" s="4">
        <f t="shared" si="208"/>
        <v>-0.51</v>
      </c>
      <c r="J3384" s="2">
        <f t="shared" si="209"/>
        <v>11.5</v>
      </c>
      <c r="K3384" s="7">
        <f t="shared" si="210"/>
        <v>46235</v>
      </c>
      <c r="L3384" t="str">
        <f t="shared" si="211"/>
        <v>Q3-2026</v>
      </c>
    </row>
    <row r="3385" spans="1:12">
      <c r="A3385" s="6">
        <v>46248</v>
      </c>
      <c r="B3385" t="s">
        <v>24</v>
      </c>
      <c r="C3385" t="s">
        <v>25</v>
      </c>
      <c r="D3385" s="2">
        <v>13905</v>
      </c>
      <c r="E3385" s="2">
        <v>13943</v>
      </c>
      <c r="F3385" s="2">
        <v>13760</v>
      </c>
      <c r="G3385" s="2">
        <v>13834</v>
      </c>
      <c r="H3385" s="3">
        <v>216810</v>
      </c>
      <c r="I3385" s="4">
        <f t="shared" si="208"/>
        <v>-1.04</v>
      </c>
      <c r="J3385" s="2">
        <f t="shared" si="209"/>
        <v>109</v>
      </c>
      <c r="K3385" s="7">
        <f t="shared" si="210"/>
        <v>46235</v>
      </c>
      <c r="L3385" t="str">
        <f t="shared" si="211"/>
        <v>Q3-2026</v>
      </c>
    </row>
    <row r="3386" spans="1:12">
      <c r="A3386" s="6">
        <v>46248</v>
      </c>
      <c r="B3386" t="s">
        <v>26</v>
      </c>
      <c r="C3386" t="s">
        <v>27</v>
      </c>
      <c r="D3386" s="2">
        <v>329</v>
      </c>
      <c r="E3386" s="2">
        <v>337.75</v>
      </c>
      <c r="F3386" s="2">
        <v>329</v>
      </c>
      <c r="G3386" s="2">
        <v>334.5</v>
      </c>
      <c r="H3386" s="3">
        <v>31933028</v>
      </c>
      <c r="I3386" s="4">
        <f t="shared" si="208"/>
        <v>0</v>
      </c>
      <c r="J3386" s="2">
        <f t="shared" si="209"/>
        <v>3.25</v>
      </c>
      <c r="K3386" s="7">
        <f t="shared" si="210"/>
        <v>46235</v>
      </c>
      <c r="L3386" t="str">
        <f t="shared" si="211"/>
        <v>Q3-2026</v>
      </c>
    </row>
    <row r="3387" spans="1:12">
      <c r="A3387" s="6">
        <v>46248</v>
      </c>
      <c r="B3387" t="s">
        <v>28</v>
      </c>
      <c r="C3387" t="s">
        <v>29</v>
      </c>
      <c r="D3387" s="2">
        <v>1932</v>
      </c>
      <c r="E3387" s="2">
        <v>1937</v>
      </c>
      <c r="F3387" s="2">
        <v>1914.699951171875</v>
      </c>
      <c r="G3387" s="2">
        <v>1930</v>
      </c>
      <c r="H3387" s="3">
        <v>881282</v>
      </c>
      <c r="I3387" s="4">
        <f t="shared" si="208"/>
        <v>-0.9</v>
      </c>
      <c r="J3387" s="2">
        <f t="shared" si="209"/>
        <v>7</v>
      </c>
      <c r="K3387" s="7">
        <f t="shared" si="210"/>
        <v>46235</v>
      </c>
      <c r="L3387" t="str">
        <f t="shared" si="211"/>
        <v>Q3-2026</v>
      </c>
    </row>
    <row r="3388" spans="1:12">
      <c r="A3388" s="6">
        <v>46248</v>
      </c>
      <c r="B3388" t="s">
        <v>30</v>
      </c>
      <c r="C3388" t="s">
        <v>31</v>
      </c>
      <c r="D3388" s="2">
        <v>2751</v>
      </c>
      <c r="E3388" s="2">
        <v>2751</v>
      </c>
      <c r="F3388" s="2">
        <v>2690.300048828125</v>
      </c>
      <c r="G3388" s="2">
        <v>2696.300048828125</v>
      </c>
      <c r="H3388" s="3">
        <v>667311</v>
      </c>
      <c r="I3388" s="4">
        <f t="shared" si="208"/>
        <v>-2.21</v>
      </c>
      <c r="J3388" s="2">
        <f t="shared" si="209"/>
        <v>54.7</v>
      </c>
      <c r="K3388" s="7">
        <f t="shared" si="210"/>
        <v>46235</v>
      </c>
      <c r="L3388" t="str">
        <f t="shared" si="211"/>
        <v>Q3-2026</v>
      </c>
    </row>
    <row r="3389" spans="1:12">
      <c r="A3389" s="6">
        <v>46248</v>
      </c>
      <c r="B3389" t="s">
        <v>32</v>
      </c>
      <c r="C3389" t="s">
        <v>33</v>
      </c>
      <c r="D3389" s="2">
        <v>2089</v>
      </c>
      <c r="E3389" s="2">
        <v>2090.89990234375</v>
      </c>
      <c r="F3389" s="2">
        <v>2066.39990234375</v>
      </c>
      <c r="G3389" s="2">
        <v>2077</v>
      </c>
      <c r="H3389" s="3">
        <v>1148419</v>
      </c>
      <c r="I3389" s="4">
        <f t="shared" si="208"/>
        <v>-1.08</v>
      </c>
      <c r="J3389" s="2">
        <f t="shared" si="209"/>
        <v>13.9</v>
      </c>
      <c r="K3389" s="7">
        <f t="shared" si="210"/>
        <v>46235</v>
      </c>
      <c r="L3389" t="str">
        <f t="shared" si="211"/>
        <v>Q3-2026</v>
      </c>
    </row>
    <row r="3390" spans="1:12">
      <c r="A3390" s="6">
        <v>46248</v>
      </c>
      <c r="B3390" t="s">
        <v>34</v>
      </c>
      <c r="C3390" t="s">
        <v>35</v>
      </c>
      <c r="D3390" s="2">
        <v>4068.699951171875</v>
      </c>
      <c r="E3390" s="2">
        <v>4072.5</v>
      </c>
      <c r="F3390" s="2">
        <v>4033.10009765625</v>
      </c>
      <c r="G3390" s="2">
        <v>4057</v>
      </c>
      <c r="H3390" s="3">
        <v>934044</v>
      </c>
      <c r="I3390" s="4">
        <f t="shared" si="208"/>
        <v>-0.87</v>
      </c>
      <c r="J3390" s="2">
        <f t="shared" si="209"/>
        <v>15.5</v>
      </c>
      <c r="K3390" s="7">
        <f t="shared" si="210"/>
        <v>46235</v>
      </c>
      <c r="L3390" t="str">
        <f t="shared" si="211"/>
        <v>Q3-2026</v>
      </c>
    </row>
    <row r="3391" spans="1:12">
      <c r="A3391" s="6">
        <v>46248</v>
      </c>
      <c r="B3391" t="s">
        <v>36</v>
      </c>
      <c r="C3391" t="s">
        <v>37</v>
      </c>
      <c r="D3391" s="2">
        <v>1216</v>
      </c>
      <c r="E3391" s="2">
        <v>1218.699951171875</v>
      </c>
      <c r="F3391" s="2">
        <v>1208.599975585938</v>
      </c>
      <c r="G3391" s="2">
        <v>1217.400024414062</v>
      </c>
      <c r="H3391" s="3">
        <v>5557745</v>
      </c>
      <c r="I3391" s="4">
        <f t="shared" si="208"/>
        <v>-0.61</v>
      </c>
      <c r="J3391" s="2">
        <f t="shared" si="209"/>
        <v>1.3</v>
      </c>
      <c r="K3391" s="7">
        <f t="shared" si="210"/>
        <v>46235</v>
      </c>
      <c r="L3391" t="str">
        <f t="shared" si="211"/>
        <v>Q3-2026</v>
      </c>
    </row>
    <row r="3392" spans="1:12">
      <c r="A3392" s="6">
        <v>46251</v>
      </c>
      <c r="B3392" t="s">
        <v>8</v>
      </c>
      <c r="C3392" t="s">
        <v>9</v>
      </c>
      <c r="D3392" s="2">
        <v>1314</v>
      </c>
      <c r="E3392" s="2">
        <v>1320.800048828125</v>
      </c>
      <c r="F3392" s="2">
        <v>1298.099975585938</v>
      </c>
      <c r="G3392" s="2">
        <v>1316</v>
      </c>
      <c r="H3392" s="3">
        <v>13383867</v>
      </c>
      <c r="I3392" s="4">
        <f t="shared" si="208"/>
        <v>-1.21</v>
      </c>
      <c r="J3392" s="2">
        <f t="shared" si="209"/>
        <v>4.8</v>
      </c>
      <c r="K3392" s="7">
        <f t="shared" si="210"/>
        <v>46235</v>
      </c>
      <c r="L3392" t="str">
        <f t="shared" si="211"/>
        <v>Q3-2026</v>
      </c>
    </row>
    <row r="3393" spans="1:12">
      <c r="A3393" s="6">
        <v>46251</v>
      </c>
      <c r="B3393" t="s">
        <v>10</v>
      </c>
      <c r="C3393" t="s">
        <v>11</v>
      </c>
      <c r="D3393" s="2">
        <v>2351</v>
      </c>
      <c r="E3393" s="2">
        <v>2361.10009765625</v>
      </c>
      <c r="F3393" s="2">
        <v>2310.60009765625</v>
      </c>
      <c r="G3393" s="2">
        <v>2313.199951171875</v>
      </c>
      <c r="H3393" s="3">
        <v>2237636</v>
      </c>
      <c r="I3393" s="4">
        <f t="shared" si="208"/>
        <v>-1.72</v>
      </c>
      <c r="J3393" s="2">
        <f t="shared" si="209"/>
        <v>47.9</v>
      </c>
      <c r="K3393" s="7">
        <f t="shared" si="210"/>
        <v>46235</v>
      </c>
      <c r="L3393" t="str">
        <f t="shared" si="211"/>
        <v>Q3-2026</v>
      </c>
    </row>
    <row r="3394" spans="1:12">
      <c r="A3394" s="6">
        <v>46251</v>
      </c>
      <c r="B3394" t="s">
        <v>12</v>
      </c>
      <c r="C3394" t="s">
        <v>13</v>
      </c>
      <c r="D3394" s="2">
        <v>1163.900024414062</v>
      </c>
      <c r="E3394" s="2">
        <v>1166.5</v>
      </c>
      <c r="F3394" s="2">
        <v>1129.699951171875</v>
      </c>
      <c r="G3394" s="2">
        <v>1139.900024414062</v>
      </c>
      <c r="H3394" s="3">
        <v>5817153</v>
      </c>
      <c r="I3394" s="4">
        <f t="shared" ref="I3394:I3457" si="212">ROUND(((F3394-D3394)/D3394)*100, 2)</f>
        <v>-2.94</v>
      </c>
      <c r="J3394" s="2">
        <f t="shared" ref="J3394:J3457" si="213">ROUND(E3394-G3394, 2)</f>
        <v>26.6</v>
      </c>
      <c r="K3394" s="7">
        <f t="shared" ref="K3394:K3457" si="214">DATE(YEAR(A3394),MONTH(A3394),1)</f>
        <v>46235</v>
      </c>
      <c r="L3394" t="str">
        <f t="shared" ref="L3394:L3457" si="215">"Q"&amp;INT((MONTH(A3394)-1)/3)+1&amp;"-"&amp;YEAR(A3394)</f>
        <v>Q3-2026</v>
      </c>
    </row>
    <row r="3395" spans="1:12">
      <c r="A3395" s="6">
        <v>46251</v>
      </c>
      <c r="B3395" t="s">
        <v>14</v>
      </c>
      <c r="C3395" t="s">
        <v>15</v>
      </c>
      <c r="D3395" s="2">
        <v>727.04998779296875</v>
      </c>
      <c r="E3395" s="2">
        <v>732.0999755859375</v>
      </c>
      <c r="F3395" s="2">
        <v>724.5</v>
      </c>
      <c r="G3395" s="2">
        <v>729</v>
      </c>
      <c r="H3395" s="3">
        <v>14823722</v>
      </c>
      <c r="I3395" s="4">
        <f t="shared" si="212"/>
        <v>-0.35</v>
      </c>
      <c r="J3395" s="2">
        <f t="shared" si="213"/>
        <v>3.1</v>
      </c>
      <c r="K3395" s="7">
        <f t="shared" si="214"/>
        <v>46235</v>
      </c>
      <c r="L3395" t="str">
        <f t="shared" si="215"/>
        <v>Q3-2026</v>
      </c>
    </row>
    <row r="3396" spans="1:12">
      <c r="A3396" s="6">
        <v>46251</v>
      </c>
      <c r="B3396" t="s">
        <v>16</v>
      </c>
      <c r="C3396" t="s">
        <v>17</v>
      </c>
      <c r="D3396" s="2">
        <v>1418</v>
      </c>
      <c r="E3396" s="2">
        <v>1423.599975585938</v>
      </c>
      <c r="F3396" s="2">
        <v>1407</v>
      </c>
      <c r="G3396" s="2">
        <v>1415.300048828125</v>
      </c>
      <c r="H3396" s="3">
        <v>5605603</v>
      </c>
      <c r="I3396" s="4">
        <f t="shared" si="212"/>
        <v>-0.78</v>
      </c>
      <c r="J3396" s="2">
        <f t="shared" si="213"/>
        <v>8.3000000000000007</v>
      </c>
      <c r="K3396" s="7">
        <f t="shared" si="214"/>
        <v>46235</v>
      </c>
      <c r="L3396" t="str">
        <f t="shared" si="215"/>
        <v>Q3-2026</v>
      </c>
    </row>
    <row r="3397" spans="1:12">
      <c r="A3397" s="6">
        <v>46251</v>
      </c>
      <c r="B3397" t="s">
        <v>18</v>
      </c>
      <c r="C3397" t="s">
        <v>19</v>
      </c>
      <c r="D3397" s="2">
        <v>183.5</v>
      </c>
      <c r="E3397" s="2">
        <v>183.71000671386719</v>
      </c>
      <c r="F3397" s="2">
        <v>181</v>
      </c>
      <c r="G3397" s="2">
        <v>181.8999938964844</v>
      </c>
      <c r="H3397" s="3">
        <v>4436515</v>
      </c>
      <c r="I3397" s="4">
        <f t="shared" si="212"/>
        <v>-1.36</v>
      </c>
      <c r="J3397" s="2">
        <f t="shared" si="213"/>
        <v>1.81</v>
      </c>
      <c r="K3397" s="7">
        <f t="shared" si="214"/>
        <v>46235</v>
      </c>
      <c r="L3397" t="str">
        <f t="shared" si="215"/>
        <v>Q3-2026</v>
      </c>
    </row>
    <row r="3398" spans="1:12">
      <c r="A3398" s="6">
        <v>46251</v>
      </c>
      <c r="B3398" t="s">
        <v>20</v>
      </c>
      <c r="C3398" t="s">
        <v>21</v>
      </c>
      <c r="D3398" s="2">
        <v>1355.099975585938</v>
      </c>
      <c r="E3398" s="2">
        <v>1362.800048828125</v>
      </c>
      <c r="F3398" s="2">
        <v>1325</v>
      </c>
      <c r="G3398" s="2">
        <v>1325</v>
      </c>
      <c r="H3398" s="3">
        <v>970745</v>
      </c>
      <c r="I3398" s="4">
        <f t="shared" si="212"/>
        <v>-2.2200000000000002</v>
      </c>
      <c r="J3398" s="2">
        <f t="shared" si="213"/>
        <v>37.799999999999997</v>
      </c>
      <c r="K3398" s="7">
        <f t="shared" si="214"/>
        <v>46235</v>
      </c>
      <c r="L3398" t="str">
        <f t="shared" si="215"/>
        <v>Q3-2026</v>
      </c>
    </row>
    <row r="3399" spans="1:12">
      <c r="A3399" s="6">
        <v>46251</v>
      </c>
      <c r="B3399" t="s">
        <v>22</v>
      </c>
      <c r="C3399" t="s">
        <v>23</v>
      </c>
      <c r="D3399" s="2">
        <v>1080</v>
      </c>
      <c r="E3399" s="2">
        <v>1100.400024414062</v>
      </c>
      <c r="F3399" s="2">
        <v>1078.800048828125</v>
      </c>
      <c r="G3399" s="2">
        <v>1089.300048828125</v>
      </c>
      <c r="H3399" s="3">
        <v>2295675</v>
      </c>
      <c r="I3399" s="4">
        <f t="shared" si="212"/>
        <v>-0.11</v>
      </c>
      <c r="J3399" s="2">
        <f t="shared" si="213"/>
        <v>11.1</v>
      </c>
      <c r="K3399" s="7">
        <f t="shared" si="214"/>
        <v>46235</v>
      </c>
      <c r="L3399" t="str">
        <f t="shared" si="215"/>
        <v>Q3-2026</v>
      </c>
    </row>
    <row r="3400" spans="1:12">
      <c r="A3400" s="6">
        <v>46251</v>
      </c>
      <c r="B3400" t="s">
        <v>24</v>
      </c>
      <c r="C3400" t="s">
        <v>25</v>
      </c>
      <c r="D3400" s="2">
        <v>13834</v>
      </c>
      <c r="E3400" s="2">
        <v>13920</v>
      </c>
      <c r="F3400" s="2">
        <v>13760</v>
      </c>
      <c r="G3400" s="2">
        <v>13760</v>
      </c>
      <c r="H3400" s="3">
        <v>177071</v>
      </c>
      <c r="I3400" s="4">
        <f t="shared" si="212"/>
        <v>-0.53</v>
      </c>
      <c r="J3400" s="2">
        <f t="shared" si="213"/>
        <v>160</v>
      </c>
      <c r="K3400" s="7">
        <f t="shared" si="214"/>
        <v>46235</v>
      </c>
      <c r="L3400" t="str">
        <f t="shared" si="215"/>
        <v>Q3-2026</v>
      </c>
    </row>
    <row r="3401" spans="1:12">
      <c r="A3401" s="6">
        <v>46251</v>
      </c>
      <c r="B3401" t="s">
        <v>26</v>
      </c>
      <c r="C3401" t="s">
        <v>27</v>
      </c>
      <c r="D3401" s="2">
        <v>334</v>
      </c>
      <c r="E3401" s="2">
        <v>334.20001220703119</v>
      </c>
      <c r="F3401" s="2">
        <v>329.04998779296881</v>
      </c>
      <c r="G3401" s="2">
        <v>330.20001220703119</v>
      </c>
      <c r="H3401" s="3">
        <v>7337847</v>
      </c>
      <c r="I3401" s="4">
        <f t="shared" si="212"/>
        <v>-1.48</v>
      </c>
      <c r="J3401" s="2">
        <f t="shared" si="213"/>
        <v>4</v>
      </c>
      <c r="K3401" s="7">
        <f t="shared" si="214"/>
        <v>46235</v>
      </c>
      <c r="L3401" t="str">
        <f t="shared" si="215"/>
        <v>Q3-2026</v>
      </c>
    </row>
    <row r="3402" spans="1:12">
      <c r="A3402" s="6">
        <v>46251</v>
      </c>
      <c r="B3402" t="s">
        <v>28</v>
      </c>
      <c r="C3402" t="s">
        <v>29</v>
      </c>
      <c r="D3402" s="2">
        <v>1945</v>
      </c>
      <c r="E3402" s="2">
        <v>1949.800048828125</v>
      </c>
      <c r="F3402" s="2">
        <v>1880.400024414062</v>
      </c>
      <c r="G3402" s="2">
        <v>1882</v>
      </c>
      <c r="H3402" s="3">
        <v>1893086</v>
      </c>
      <c r="I3402" s="4">
        <f t="shared" si="212"/>
        <v>-3.32</v>
      </c>
      <c r="J3402" s="2">
        <f t="shared" si="213"/>
        <v>67.8</v>
      </c>
      <c r="K3402" s="7">
        <f t="shared" si="214"/>
        <v>46235</v>
      </c>
      <c r="L3402" t="str">
        <f t="shared" si="215"/>
        <v>Q3-2026</v>
      </c>
    </row>
    <row r="3403" spans="1:12">
      <c r="A3403" s="6">
        <v>46251</v>
      </c>
      <c r="B3403" t="s">
        <v>30</v>
      </c>
      <c r="C3403" t="s">
        <v>31</v>
      </c>
      <c r="D3403" s="2">
        <v>2694.5</v>
      </c>
      <c r="E3403" s="2">
        <v>2714.60009765625</v>
      </c>
      <c r="F3403" s="2">
        <v>2687.5</v>
      </c>
      <c r="G3403" s="2">
        <v>2687.5</v>
      </c>
      <c r="H3403" s="3">
        <v>312900</v>
      </c>
      <c r="I3403" s="4">
        <f t="shared" si="212"/>
        <v>-0.26</v>
      </c>
      <c r="J3403" s="2">
        <f t="shared" si="213"/>
        <v>27.1</v>
      </c>
      <c r="K3403" s="7">
        <f t="shared" si="214"/>
        <v>46235</v>
      </c>
      <c r="L3403" t="str">
        <f t="shared" si="215"/>
        <v>Q3-2026</v>
      </c>
    </row>
    <row r="3404" spans="1:12">
      <c r="A3404" s="6">
        <v>46251</v>
      </c>
      <c r="B3404" t="s">
        <v>32</v>
      </c>
      <c r="C3404" t="s">
        <v>33</v>
      </c>
      <c r="D3404" s="2">
        <v>2070.89990234375</v>
      </c>
      <c r="E3404" s="2">
        <v>2076</v>
      </c>
      <c r="F3404" s="2">
        <v>2055</v>
      </c>
      <c r="G3404" s="2">
        <v>2055</v>
      </c>
      <c r="H3404" s="3">
        <v>1024288</v>
      </c>
      <c r="I3404" s="4">
        <f t="shared" si="212"/>
        <v>-0.77</v>
      </c>
      <c r="J3404" s="2">
        <f t="shared" si="213"/>
        <v>21</v>
      </c>
      <c r="K3404" s="7">
        <f t="shared" si="214"/>
        <v>46235</v>
      </c>
      <c r="L3404" t="str">
        <f t="shared" si="215"/>
        <v>Q3-2026</v>
      </c>
    </row>
    <row r="3405" spans="1:12">
      <c r="A3405" s="6">
        <v>46251</v>
      </c>
      <c r="B3405" t="s">
        <v>34</v>
      </c>
      <c r="C3405" t="s">
        <v>35</v>
      </c>
      <c r="D3405" s="2">
        <v>4041</v>
      </c>
      <c r="E3405" s="2">
        <v>4086.699951171875</v>
      </c>
      <c r="F3405" s="2">
        <v>4026</v>
      </c>
      <c r="G3405" s="2">
        <v>4086.699951171875</v>
      </c>
      <c r="H3405" s="3">
        <v>1066164</v>
      </c>
      <c r="I3405" s="4">
        <f t="shared" si="212"/>
        <v>-0.37</v>
      </c>
      <c r="J3405" s="2">
        <f t="shared" si="213"/>
        <v>0</v>
      </c>
      <c r="K3405" s="7">
        <f t="shared" si="214"/>
        <v>46235</v>
      </c>
      <c r="L3405" t="str">
        <f t="shared" si="215"/>
        <v>Q3-2026</v>
      </c>
    </row>
    <row r="3406" spans="1:12">
      <c r="A3406" s="6">
        <v>46251</v>
      </c>
      <c r="B3406" t="s">
        <v>36</v>
      </c>
      <c r="C3406" t="s">
        <v>37</v>
      </c>
      <c r="D3406" s="2">
        <v>1220</v>
      </c>
      <c r="E3406" s="2">
        <v>1235</v>
      </c>
      <c r="F3406" s="2">
        <v>1213.599975585938</v>
      </c>
      <c r="G3406" s="2">
        <v>1227.300048828125</v>
      </c>
      <c r="H3406" s="3">
        <v>6068014</v>
      </c>
      <c r="I3406" s="4">
        <f t="shared" si="212"/>
        <v>-0.52</v>
      </c>
      <c r="J3406" s="2">
        <f t="shared" si="213"/>
        <v>7.7</v>
      </c>
      <c r="K3406" s="7">
        <f t="shared" si="214"/>
        <v>46235</v>
      </c>
      <c r="L3406" t="str">
        <f t="shared" si="215"/>
        <v>Q3-2026</v>
      </c>
    </row>
    <row r="3407" spans="1:12">
      <c r="A3407" s="6">
        <v>46252</v>
      </c>
      <c r="B3407" t="s">
        <v>8</v>
      </c>
      <c r="C3407" t="s">
        <v>9</v>
      </c>
      <c r="D3407" s="2">
        <v>1314</v>
      </c>
      <c r="E3407" s="2">
        <v>1328.599975585938</v>
      </c>
      <c r="F3407" s="2">
        <v>1311.199951171875</v>
      </c>
      <c r="G3407" s="2">
        <v>1322</v>
      </c>
      <c r="H3407" s="3">
        <v>10180567</v>
      </c>
      <c r="I3407" s="4">
        <f t="shared" si="212"/>
        <v>-0.21</v>
      </c>
      <c r="J3407" s="2">
        <f t="shared" si="213"/>
        <v>6.6</v>
      </c>
      <c r="K3407" s="7">
        <f t="shared" si="214"/>
        <v>46235</v>
      </c>
      <c r="L3407" t="str">
        <f t="shared" si="215"/>
        <v>Q3-2026</v>
      </c>
    </row>
    <row r="3408" spans="1:12">
      <c r="A3408" s="6">
        <v>46252</v>
      </c>
      <c r="B3408" t="s">
        <v>10</v>
      </c>
      <c r="C3408" t="s">
        <v>11</v>
      </c>
      <c r="D3408" s="2">
        <v>2300</v>
      </c>
      <c r="E3408" s="2">
        <v>2307</v>
      </c>
      <c r="F3408" s="2">
        <v>2280</v>
      </c>
      <c r="G3408" s="2">
        <v>2280</v>
      </c>
      <c r="H3408" s="3">
        <v>1797822</v>
      </c>
      <c r="I3408" s="4">
        <f t="shared" si="212"/>
        <v>-0.87</v>
      </c>
      <c r="J3408" s="2">
        <f t="shared" si="213"/>
        <v>27</v>
      </c>
      <c r="K3408" s="7">
        <f t="shared" si="214"/>
        <v>46235</v>
      </c>
      <c r="L3408" t="str">
        <f t="shared" si="215"/>
        <v>Q3-2026</v>
      </c>
    </row>
    <row r="3409" spans="1:12">
      <c r="A3409" s="6">
        <v>46252</v>
      </c>
      <c r="B3409" t="s">
        <v>12</v>
      </c>
      <c r="C3409" t="s">
        <v>13</v>
      </c>
      <c r="D3409" s="2">
        <v>1124.5</v>
      </c>
      <c r="E3409" s="2">
        <v>1131.900024414062</v>
      </c>
      <c r="F3409" s="2">
        <v>1112.5</v>
      </c>
      <c r="G3409" s="2">
        <v>1115</v>
      </c>
      <c r="H3409" s="3">
        <v>8851110</v>
      </c>
      <c r="I3409" s="4">
        <f t="shared" si="212"/>
        <v>-1.07</v>
      </c>
      <c r="J3409" s="2">
        <f t="shared" si="213"/>
        <v>16.899999999999999</v>
      </c>
      <c r="K3409" s="7">
        <f t="shared" si="214"/>
        <v>46235</v>
      </c>
      <c r="L3409" t="str">
        <f t="shared" si="215"/>
        <v>Q3-2026</v>
      </c>
    </row>
    <row r="3410" spans="1:12">
      <c r="A3410" s="6">
        <v>46252</v>
      </c>
      <c r="B3410" t="s">
        <v>14</v>
      </c>
      <c r="C3410" t="s">
        <v>15</v>
      </c>
      <c r="D3410" s="2">
        <v>726.29998779296875</v>
      </c>
      <c r="E3410" s="2">
        <v>729</v>
      </c>
      <c r="F3410" s="2">
        <v>723</v>
      </c>
      <c r="G3410" s="2">
        <v>723</v>
      </c>
      <c r="H3410" s="3">
        <v>17916507</v>
      </c>
      <c r="I3410" s="4">
        <f t="shared" si="212"/>
        <v>-0.45</v>
      </c>
      <c r="J3410" s="2">
        <f t="shared" si="213"/>
        <v>6</v>
      </c>
      <c r="K3410" s="7">
        <f t="shared" si="214"/>
        <v>46235</v>
      </c>
      <c r="L3410" t="str">
        <f t="shared" si="215"/>
        <v>Q3-2026</v>
      </c>
    </row>
    <row r="3411" spans="1:12">
      <c r="A3411" s="6">
        <v>46252</v>
      </c>
      <c r="B3411" t="s">
        <v>16</v>
      </c>
      <c r="C3411" t="s">
        <v>17</v>
      </c>
      <c r="D3411" s="2">
        <v>1410</v>
      </c>
      <c r="E3411" s="2">
        <v>1416.599975585938</v>
      </c>
      <c r="F3411" s="2">
        <v>1406.300048828125</v>
      </c>
      <c r="G3411" s="2">
        <v>1412</v>
      </c>
      <c r="H3411" s="3">
        <v>8345198</v>
      </c>
      <c r="I3411" s="4">
        <f t="shared" si="212"/>
        <v>-0.26</v>
      </c>
      <c r="J3411" s="2">
        <f t="shared" si="213"/>
        <v>4.5999999999999996</v>
      </c>
      <c r="K3411" s="7">
        <f t="shared" si="214"/>
        <v>46235</v>
      </c>
      <c r="L3411" t="str">
        <f t="shared" si="215"/>
        <v>Q3-2026</v>
      </c>
    </row>
    <row r="3412" spans="1:12">
      <c r="A3412" s="6">
        <v>46252</v>
      </c>
      <c r="B3412" t="s">
        <v>18</v>
      </c>
      <c r="C3412" t="s">
        <v>19</v>
      </c>
      <c r="D3412" s="2">
        <v>181.8999938964844</v>
      </c>
      <c r="E3412" s="2">
        <v>181.99000549316409</v>
      </c>
      <c r="F3412" s="2">
        <v>178.05999755859381</v>
      </c>
      <c r="G3412" s="2">
        <v>178.05999755859381</v>
      </c>
      <c r="H3412" s="3">
        <v>7074731</v>
      </c>
      <c r="I3412" s="4">
        <f t="shared" si="212"/>
        <v>-2.11</v>
      </c>
      <c r="J3412" s="2">
        <f t="shared" si="213"/>
        <v>3.93</v>
      </c>
      <c r="K3412" s="7">
        <f t="shared" si="214"/>
        <v>46235</v>
      </c>
      <c r="L3412" t="str">
        <f t="shared" si="215"/>
        <v>Q3-2026</v>
      </c>
    </row>
    <row r="3413" spans="1:12">
      <c r="A3413" s="6">
        <v>46252</v>
      </c>
      <c r="B3413" t="s">
        <v>20</v>
      </c>
      <c r="C3413" t="s">
        <v>21</v>
      </c>
      <c r="D3413" s="2">
        <v>1318</v>
      </c>
      <c r="E3413" s="2">
        <v>1320</v>
      </c>
      <c r="F3413" s="2">
        <v>1292.5</v>
      </c>
      <c r="G3413" s="2">
        <v>1298</v>
      </c>
      <c r="H3413" s="3">
        <v>3056990</v>
      </c>
      <c r="I3413" s="4">
        <f t="shared" si="212"/>
        <v>-1.93</v>
      </c>
      <c r="J3413" s="2">
        <f t="shared" si="213"/>
        <v>22</v>
      </c>
      <c r="K3413" s="7">
        <f t="shared" si="214"/>
        <v>46235</v>
      </c>
      <c r="L3413" t="str">
        <f t="shared" si="215"/>
        <v>Q3-2026</v>
      </c>
    </row>
    <row r="3414" spans="1:12">
      <c r="A3414" s="6">
        <v>46252</v>
      </c>
      <c r="B3414" t="s">
        <v>22</v>
      </c>
      <c r="C3414" t="s">
        <v>23</v>
      </c>
      <c r="D3414" s="2">
        <v>1088.599975585938</v>
      </c>
      <c r="E3414" s="2">
        <v>1100</v>
      </c>
      <c r="F3414" s="2">
        <v>1087.599975585938</v>
      </c>
      <c r="G3414" s="2">
        <v>1094.300048828125</v>
      </c>
      <c r="H3414" s="3">
        <v>3374018</v>
      </c>
      <c r="I3414" s="4">
        <f t="shared" si="212"/>
        <v>-0.09</v>
      </c>
      <c r="J3414" s="2">
        <f t="shared" si="213"/>
        <v>5.7</v>
      </c>
      <c r="K3414" s="7">
        <f t="shared" si="214"/>
        <v>46235</v>
      </c>
      <c r="L3414" t="str">
        <f t="shared" si="215"/>
        <v>Q3-2026</v>
      </c>
    </row>
    <row r="3415" spans="1:12">
      <c r="A3415" s="6">
        <v>46252</v>
      </c>
      <c r="B3415" t="s">
        <v>24</v>
      </c>
      <c r="C3415" t="s">
        <v>25</v>
      </c>
      <c r="D3415" s="2">
        <v>13762</v>
      </c>
      <c r="E3415" s="2">
        <v>13890</v>
      </c>
      <c r="F3415" s="2">
        <v>13691</v>
      </c>
      <c r="G3415" s="2">
        <v>13691</v>
      </c>
      <c r="H3415" s="3">
        <v>267433</v>
      </c>
      <c r="I3415" s="4">
        <f t="shared" si="212"/>
        <v>-0.52</v>
      </c>
      <c r="J3415" s="2">
        <f t="shared" si="213"/>
        <v>199</v>
      </c>
      <c r="K3415" s="7">
        <f t="shared" si="214"/>
        <v>46235</v>
      </c>
      <c r="L3415" t="str">
        <f t="shared" si="215"/>
        <v>Q3-2026</v>
      </c>
    </row>
    <row r="3416" spans="1:12">
      <c r="A3416" s="6">
        <v>46252</v>
      </c>
      <c r="B3416" t="s">
        <v>26</v>
      </c>
      <c r="C3416" t="s">
        <v>27</v>
      </c>
      <c r="D3416" s="2">
        <v>330.5</v>
      </c>
      <c r="E3416" s="2">
        <v>331.70001220703119</v>
      </c>
      <c r="F3416" s="2">
        <v>322.79998779296881</v>
      </c>
      <c r="G3416" s="2">
        <v>322.79998779296881</v>
      </c>
      <c r="H3416" s="3">
        <v>9865820</v>
      </c>
      <c r="I3416" s="4">
        <f t="shared" si="212"/>
        <v>-2.33</v>
      </c>
      <c r="J3416" s="2">
        <f t="shared" si="213"/>
        <v>8.9</v>
      </c>
      <c r="K3416" s="7">
        <f t="shared" si="214"/>
        <v>46235</v>
      </c>
      <c r="L3416" t="str">
        <f t="shared" si="215"/>
        <v>Q3-2026</v>
      </c>
    </row>
    <row r="3417" spans="1:12">
      <c r="A3417" s="6">
        <v>46252</v>
      </c>
      <c r="B3417" t="s">
        <v>28</v>
      </c>
      <c r="C3417" t="s">
        <v>29</v>
      </c>
      <c r="D3417" s="2">
        <v>1890</v>
      </c>
      <c r="E3417" s="2">
        <v>1899</v>
      </c>
      <c r="F3417" s="2">
        <v>1868.300048828125</v>
      </c>
      <c r="G3417" s="2">
        <v>1875.099975585938</v>
      </c>
      <c r="H3417" s="3">
        <v>1819169</v>
      </c>
      <c r="I3417" s="4">
        <f t="shared" si="212"/>
        <v>-1.1499999999999999</v>
      </c>
      <c r="J3417" s="2">
        <f t="shared" si="213"/>
        <v>23.9</v>
      </c>
      <c r="K3417" s="7">
        <f t="shared" si="214"/>
        <v>46235</v>
      </c>
      <c r="L3417" t="str">
        <f t="shared" si="215"/>
        <v>Q3-2026</v>
      </c>
    </row>
    <row r="3418" spans="1:12">
      <c r="A3418" s="6">
        <v>46252</v>
      </c>
      <c r="B3418" t="s">
        <v>30</v>
      </c>
      <c r="C3418" t="s">
        <v>31</v>
      </c>
      <c r="D3418" s="2">
        <v>2663.10009765625</v>
      </c>
      <c r="E3418" s="2">
        <v>2670.10009765625</v>
      </c>
      <c r="F3418" s="2">
        <v>2610.10009765625</v>
      </c>
      <c r="G3418" s="2">
        <v>2628.39990234375</v>
      </c>
      <c r="H3418" s="3">
        <v>1017022</v>
      </c>
      <c r="I3418" s="4">
        <f t="shared" si="212"/>
        <v>-1.99</v>
      </c>
      <c r="J3418" s="2">
        <f t="shared" si="213"/>
        <v>41.7</v>
      </c>
      <c r="K3418" s="7">
        <f t="shared" si="214"/>
        <v>46235</v>
      </c>
      <c r="L3418" t="str">
        <f t="shared" si="215"/>
        <v>Q3-2026</v>
      </c>
    </row>
    <row r="3419" spans="1:12">
      <c r="A3419" s="6">
        <v>46252</v>
      </c>
      <c r="B3419" t="s">
        <v>32</v>
      </c>
      <c r="C3419" t="s">
        <v>33</v>
      </c>
      <c r="D3419" s="2">
        <v>2055</v>
      </c>
      <c r="E3419" s="2">
        <v>2060</v>
      </c>
      <c r="F3419" s="2">
        <v>2034.900024414062</v>
      </c>
      <c r="G3419" s="2">
        <v>2035</v>
      </c>
      <c r="H3419" s="3">
        <v>1234596</v>
      </c>
      <c r="I3419" s="4">
        <f t="shared" si="212"/>
        <v>-0.98</v>
      </c>
      <c r="J3419" s="2">
        <f t="shared" si="213"/>
        <v>25</v>
      </c>
      <c r="K3419" s="7">
        <f t="shared" si="214"/>
        <v>46235</v>
      </c>
      <c r="L3419" t="str">
        <f t="shared" si="215"/>
        <v>Q3-2026</v>
      </c>
    </row>
    <row r="3420" spans="1:12">
      <c r="A3420" s="6">
        <v>46252</v>
      </c>
      <c r="B3420" t="s">
        <v>34</v>
      </c>
      <c r="C3420" t="s">
        <v>35</v>
      </c>
      <c r="D3420" s="2">
        <v>4068</v>
      </c>
      <c r="E3420" s="2">
        <v>4085</v>
      </c>
      <c r="F3420" s="2">
        <v>4050</v>
      </c>
      <c r="G3420" s="2">
        <v>4064.300048828125</v>
      </c>
      <c r="H3420" s="3">
        <v>1355575</v>
      </c>
      <c r="I3420" s="4">
        <f t="shared" si="212"/>
        <v>-0.44</v>
      </c>
      <c r="J3420" s="2">
        <f t="shared" si="213"/>
        <v>20.7</v>
      </c>
      <c r="K3420" s="7">
        <f t="shared" si="214"/>
        <v>46235</v>
      </c>
      <c r="L3420" t="str">
        <f t="shared" si="215"/>
        <v>Q3-2026</v>
      </c>
    </row>
    <row r="3421" spans="1:12">
      <c r="A3421" s="6">
        <v>46252</v>
      </c>
      <c r="B3421" t="s">
        <v>36</v>
      </c>
      <c r="C3421" t="s">
        <v>37</v>
      </c>
      <c r="D3421" s="2">
        <v>1223.900024414062</v>
      </c>
      <c r="E3421" s="2">
        <v>1250.5</v>
      </c>
      <c r="F3421" s="2">
        <v>1223.400024414062</v>
      </c>
      <c r="G3421" s="2">
        <v>1243</v>
      </c>
      <c r="H3421" s="3">
        <v>5064697</v>
      </c>
      <c r="I3421" s="4">
        <f t="shared" si="212"/>
        <v>-0.04</v>
      </c>
      <c r="J3421" s="2">
        <f t="shared" si="213"/>
        <v>7.5</v>
      </c>
      <c r="K3421" s="7">
        <f t="shared" si="214"/>
        <v>46235</v>
      </c>
      <c r="L3421" t="str">
        <f t="shared" si="215"/>
        <v>Q3-2026</v>
      </c>
    </row>
    <row r="3422" spans="1:12">
      <c r="A3422" s="6">
        <v>46253</v>
      </c>
      <c r="B3422" t="s">
        <v>8</v>
      </c>
      <c r="C3422" t="s">
        <v>9</v>
      </c>
      <c r="D3422" s="2">
        <v>1320.300048828125</v>
      </c>
      <c r="E3422" s="2">
        <v>1321.599975585938</v>
      </c>
      <c r="F3422" s="2">
        <v>1303.5</v>
      </c>
      <c r="G3422" s="2">
        <v>1311</v>
      </c>
      <c r="H3422" s="3">
        <v>7489365</v>
      </c>
      <c r="I3422" s="4">
        <f t="shared" si="212"/>
        <v>-1.27</v>
      </c>
      <c r="J3422" s="2">
        <f t="shared" si="213"/>
        <v>10.6</v>
      </c>
      <c r="K3422" s="7">
        <f t="shared" si="214"/>
        <v>46235</v>
      </c>
      <c r="L3422" t="str">
        <f t="shared" si="215"/>
        <v>Q3-2026</v>
      </c>
    </row>
    <row r="3423" spans="1:12">
      <c r="A3423" s="6">
        <v>46253</v>
      </c>
      <c r="B3423" t="s">
        <v>10</v>
      </c>
      <c r="C3423" t="s">
        <v>11</v>
      </c>
      <c r="D3423" s="2">
        <v>2293.60009765625</v>
      </c>
      <c r="E3423" s="2">
        <v>2308.199951171875</v>
      </c>
      <c r="F3423" s="2">
        <v>2258.300048828125</v>
      </c>
      <c r="G3423" s="2">
        <v>2289</v>
      </c>
      <c r="H3423" s="3">
        <v>3368922</v>
      </c>
      <c r="I3423" s="4">
        <f t="shared" si="212"/>
        <v>-1.54</v>
      </c>
      <c r="J3423" s="2">
        <f t="shared" si="213"/>
        <v>19.2</v>
      </c>
      <c r="K3423" s="7">
        <f t="shared" si="214"/>
        <v>46235</v>
      </c>
      <c r="L3423" t="str">
        <f t="shared" si="215"/>
        <v>Q3-2026</v>
      </c>
    </row>
    <row r="3424" spans="1:12">
      <c r="A3424" s="6">
        <v>46253</v>
      </c>
      <c r="B3424" t="s">
        <v>12</v>
      </c>
      <c r="C3424" t="s">
        <v>13</v>
      </c>
      <c r="D3424" s="2">
        <v>1125.599975585938</v>
      </c>
      <c r="E3424" s="2">
        <v>1134.699951171875</v>
      </c>
      <c r="F3424" s="2">
        <v>1113.800048828125</v>
      </c>
      <c r="G3424" s="2">
        <v>1119.800048828125</v>
      </c>
      <c r="H3424" s="3">
        <v>8408573</v>
      </c>
      <c r="I3424" s="4">
        <f t="shared" si="212"/>
        <v>-1.05</v>
      </c>
      <c r="J3424" s="2">
        <f t="shared" si="213"/>
        <v>14.9</v>
      </c>
      <c r="K3424" s="7">
        <f t="shared" si="214"/>
        <v>46235</v>
      </c>
      <c r="L3424" t="str">
        <f t="shared" si="215"/>
        <v>Q3-2026</v>
      </c>
    </row>
    <row r="3425" spans="1:12">
      <c r="A3425" s="6">
        <v>46253</v>
      </c>
      <c r="B3425" t="s">
        <v>14</v>
      </c>
      <c r="C3425" t="s">
        <v>15</v>
      </c>
      <c r="D3425" s="2">
        <v>724</v>
      </c>
      <c r="E3425" s="2">
        <v>725.4000244140625</v>
      </c>
      <c r="F3425" s="2">
        <v>715.0999755859375</v>
      </c>
      <c r="G3425" s="2">
        <v>720</v>
      </c>
      <c r="H3425" s="3">
        <v>21342651</v>
      </c>
      <c r="I3425" s="4">
        <f t="shared" si="212"/>
        <v>-1.23</v>
      </c>
      <c r="J3425" s="2">
        <f t="shared" si="213"/>
        <v>5.4</v>
      </c>
      <c r="K3425" s="7">
        <f t="shared" si="214"/>
        <v>46235</v>
      </c>
      <c r="L3425" t="str">
        <f t="shared" si="215"/>
        <v>Q3-2026</v>
      </c>
    </row>
    <row r="3426" spans="1:12">
      <c r="A3426" s="6">
        <v>46253</v>
      </c>
      <c r="B3426" t="s">
        <v>16</v>
      </c>
      <c r="C3426" t="s">
        <v>17</v>
      </c>
      <c r="D3426" s="2">
        <v>1412</v>
      </c>
      <c r="E3426" s="2">
        <v>1416</v>
      </c>
      <c r="F3426" s="2">
        <v>1391.5</v>
      </c>
      <c r="G3426" s="2">
        <v>1402</v>
      </c>
      <c r="H3426" s="3">
        <v>10304210</v>
      </c>
      <c r="I3426" s="4">
        <f t="shared" si="212"/>
        <v>-1.45</v>
      </c>
      <c r="J3426" s="2">
        <f t="shared" si="213"/>
        <v>14</v>
      </c>
      <c r="K3426" s="7">
        <f t="shared" si="214"/>
        <v>46235</v>
      </c>
      <c r="L3426" t="str">
        <f t="shared" si="215"/>
        <v>Q3-2026</v>
      </c>
    </row>
    <row r="3427" spans="1:12">
      <c r="A3427" s="6">
        <v>46253</v>
      </c>
      <c r="B3427" t="s">
        <v>18</v>
      </c>
      <c r="C3427" t="s">
        <v>19</v>
      </c>
      <c r="D3427" s="2">
        <v>179.05999755859381</v>
      </c>
      <c r="E3427" s="2">
        <v>179.94999694824219</v>
      </c>
      <c r="F3427" s="2">
        <v>178.2200012207031</v>
      </c>
      <c r="G3427" s="2">
        <v>179.55000305175781</v>
      </c>
      <c r="H3427" s="3">
        <v>5964187</v>
      </c>
      <c r="I3427" s="4">
        <f t="shared" si="212"/>
        <v>-0.47</v>
      </c>
      <c r="J3427" s="2">
        <f t="shared" si="213"/>
        <v>0.4</v>
      </c>
      <c r="K3427" s="7">
        <f t="shared" si="214"/>
        <v>46235</v>
      </c>
      <c r="L3427" t="str">
        <f t="shared" si="215"/>
        <v>Q3-2026</v>
      </c>
    </row>
    <row r="3428" spans="1:12">
      <c r="A3428" s="6">
        <v>46253</v>
      </c>
      <c r="B3428" t="s">
        <v>20</v>
      </c>
      <c r="C3428" t="s">
        <v>21</v>
      </c>
      <c r="D3428" s="2">
        <v>1309</v>
      </c>
      <c r="E3428" s="2">
        <v>1324.800048828125</v>
      </c>
      <c r="F3428" s="2">
        <v>1301.400024414062</v>
      </c>
      <c r="G3428" s="2">
        <v>1324.800048828125</v>
      </c>
      <c r="H3428" s="3">
        <v>1693632</v>
      </c>
      <c r="I3428" s="4">
        <f t="shared" si="212"/>
        <v>-0.57999999999999996</v>
      </c>
      <c r="J3428" s="2">
        <f t="shared" si="213"/>
        <v>0</v>
      </c>
      <c r="K3428" s="7">
        <f t="shared" si="214"/>
        <v>46235</v>
      </c>
      <c r="L3428" t="str">
        <f t="shared" si="215"/>
        <v>Q3-2026</v>
      </c>
    </row>
    <row r="3429" spans="1:12">
      <c r="A3429" s="6">
        <v>46253</v>
      </c>
      <c r="B3429" t="s">
        <v>22</v>
      </c>
      <c r="C3429" t="s">
        <v>23</v>
      </c>
      <c r="D3429" s="2">
        <v>1093.900024414062</v>
      </c>
      <c r="E3429" s="2">
        <v>1093.900024414062</v>
      </c>
      <c r="F3429" s="2">
        <v>1076.400024414062</v>
      </c>
      <c r="G3429" s="2">
        <v>1080.199951171875</v>
      </c>
      <c r="H3429" s="3">
        <v>2877930</v>
      </c>
      <c r="I3429" s="4">
        <f t="shared" si="212"/>
        <v>-1.6</v>
      </c>
      <c r="J3429" s="2">
        <f t="shared" si="213"/>
        <v>13.7</v>
      </c>
      <c r="K3429" s="7">
        <f t="shared" si="214"/>
        <v>46235</v>
      </c>
      <c r="L3429" t="str">
        <f t="shared" si="215"/>
        <v>Q3-2026</v>
      </c>
    </row>
    <row r="3430" spans="1:12">
      <c r="A3430" s="6">
        <v>46253</v>
      </c>
      <c r="B3430" t="s">
        <v>24</v>
      </c>
      <c r="C3430" t="s">
        <v>25</v>
      </c>
      <c r="D3430" s="2">
        <v>13744</v>
      </c>
      <c r="E3430" s="2">
        <v>13745</v>
      </c>
      <c r="F3430" s="2">
        <v>13628</v>
      </c>
      <c r="G3430" s="2">
        <v>13690</v>
      </c>
      <c r="H3430" s="3">
        <v>175646</v>
      </c>
      <c r="I3430" s="4">
        <f t="shared" si="212"/>
        <v>-0.84</v>
      </c>
      <c r="J3430" s="2">
        <f t="shared" si="213"/>
        <v>55</v>
      </c>
      <c r="K3430" s="7">
        <f t="shared" si="214"/>
        <v>46235</v>
      </c>
      <c r="L3430" t="str">
        <f t="shared" si="215"/>
        <v>Q3-2026</v>
      </c>
    </row>
    <row r="3431" spans="1:12">
      <c r="A3431" s="6">
        <v>46253</v>
      </c>
      <c r="B3431" t="s">
        <v>26</v>
      </c>
      <c r="C3431" t="s">
        <v>27</v>
      </c>
      <c r="D3431" s="2">
        <v>323.85000610351563</v>
      </c>
      <c r="E3431" s="2">
        <v>324</v>
      </c>
      <c r="F3431" s="2">
        <v>320.20001220703119</v>
      </c>
      <c r="G3431" s="2">
        <v>321.29998779296881</v>
      </c>
      <c r="H3431" s="3">
        <v>5659002</v>
      </c>
      <c r="I3431" s="4">
        <f t="shared" si="212"/>
        <v>-1.1299999999999999</v>
      </c>
      <c r="J3431" s="2">
        <f t="shared" si="213"/>
        <v>2.7</v>
      </c>
      <c r="K3431" s="7">
        <f t="shared" si="214"/>
        <v>46235</v>
      </c>
      <c r="L3431" t="str">
        <f t="shared" si="215"/>
        <v>Q3-2026</v>
      </c>
    </row>
    <row r="3432" spans="1:12">
      <c r="A3432" s="6">
        <v>46253</v>
      </c>
      <c r="B3432" t="s">
        <v>28</v>
      </c>
      <c r="C3432" t="s">
        <v>29</v>
      </c>
      <c r="D3432" s="2">
        <v>1871</v>
      </c>
      <c r="E3432" s="2">
        <v>1900</v>
      </c>
      <c r="F3432" s="2">
        <v>1871</v>
      </c>
      <c r="G3432" s="2">
        <v>1900</v>
      </c>
      <c r="H3432" s="3">
        <v>1566692</v>
      </c>
      <c r="I3432" s="4">
        <f t="shared" si="212"/>
        <v>0</v>
      </c>
      <c r="J3432" s="2">
        <f t="shared" si="213"/>
        <v>0</v>
      </c>
      <c r="K3432" s="7">
        <f t="shared" si="214"/>
        <v>46235</v>
      </c>
      <c r="L3432" t="str">
        <f t="shared" si="215"/>
        <v>Q3-2026</v>
      </c>
    </row>
    <row r="3433" spans="1:12">
      <c r="A3433" s="6">
        <v>46253</v>
      </c>
      <c r="B3433" t="s">
        <v>30</v>
      </c>
      <c r="C3433" t="s">
        <v>31</v>
      </c>
      <c r="D3433" s="2">
        <v>2625</v>
      </c>
      <c r="E3433" s="2">
        <v>2634.89990234375</v>
      </c>
      <c r="F3433" s="2">
        <v>2601</v>
      </c>
      <c r="G3433" s="2">
        <v>2630.800048828125</v>
      </c>
      <c r="H3433" s="3">
        <v>742443</v>
      </c>
      <c r="I3433" s="4">
        <f t="shared" si="212"/>
        <v>-0.91</v>
      </c>
      <c r="J3433" s="2">
        <f t="shared" si="213"/>
        <v>4.0999999999999996</v>
      </c>
      <c r="K3433" s="7">
        <f t="shared" si="214"/>
        <v>46235</v>
      </c>
      <c r="L3433" t="str">
        <f t="shared" si="215"/>
        <v>Q3-2026</v>
      </c>
    </row>
    <row r="3434" spans="1:12">
      <c r="A3434" s="6">
        <v>46253</v>
      </c>
      <c r="B3434" t="s">
        <v>32</v>
      </c>
      <c r="C3434" t="s">
        <v>33</v>
      </c>
      <c r="D3434" s="2">
        <v>2035</v>
      </c>
      <c r="E3434" s="2">
        <v>2041.699951171875</v>
      </c>
      <c r="F3434" s="2">
        <v>2008.300048828125</v>
      </c>
      <c r="G3434" s="2">
        <v>2020.699951171875</v>
      </c>
      <c r="H3434" s="3">
        <v>1449442</v>
      </c>
      <c r="I3434" s="4">
        <f t="shared" si="212"/>
        <v>-1.31</v>
      </c>
      <c r="J3434" s="2">
        <f t="shared" si="213"/>
        <v>21</v>
      </c>
      <c r="K3434" s="7">
        <f t="shared" si="214"/>
        <v>46235</v>
      </c>
      <c r="L3434" t="str">
        <f t="shared" si="215"/>
        <v>Q3-2026</v>
      </c>
    </row>
    <row r="3435" spans="1:12">
      <c r="A3435" s="6">
        <v>46253</v>
      </c>
      <c r="B3435" t="s">
        <v>34</v>
      </c>
      <c r="C3435" t="s">
        <v>35</v>
      </c>
      <c r="D3435" s="2">
        <v>4064</v>
      </c>
      <c r="E3435" s="2">
        <v>4069</v>
      </c>
      <c r="F3435" s="2">
        <v>4024.800048828125</v>
      </c>
      <c r="G3435" s="2">
        <v>4041.300048828125</v>
      </c>
      <c r="H3435" s="3">
        <v>1190832</v>
      </c>
      <c r="I3435" s="4">
        <f t="shared" si="212"/>
        <v>-0.96</v>
      </c>
      <c r="J3435" s="2">
        <f t="shared" si="213"/>
        <v>27.7</v>
      </c>
      <c r="K3435" s="7">
        <f t="shared" si="214"/>
        <v>46235</v>
      </c>
      <c r="L3435" t="str">
        <f t="shared" si="215"/>
        <v>Q3-2026</v>
      </c>
    </row>
    <row r="3436" spans="1:12">
      <c r="A3436" s="6">
        <v>46253</v>
      </c>
      <c r="B3436" t="s">
        <v>36</v>
      </c>
      <c r="C3436" t="s">
        <v>37</v>
      </c>
      <c r="D3436" s="2">
        <v>1243.099975585938</v>
      </c>
      <c r="E3436" s="2">
        <v>1245</v>
      </c>
      <c r="F3436" s="2">
        <v>1224</v>
      </c>
      <c r="G3436" s="2">
        <v>1235</v>
      </c>
      <c r="H3436" s="3">
        <v>3061937</v>
      </c>
      <c r="I3436" s="4">
        <f t="shared" si="212"/>
        <v>-1.54</v>
      </c>
      <c r="J3436" s="2">
        <f t="shared" si="213"/>
        <v>10</v>
      </c>
      <c r="K3436" s="7">
        <f t="shared" si="214"/>
        <v>46235</v>
      </c>
      <c r="L3436" t="str">
        <f t="shared" si="215"/>
        <v>Q3-2026</v>
      </c>
    </row>
    <row r="3437" spans="1:12">
      <c r="A3437" s="6">
        <v>46254</v>
      </c>
      <c r="B3437" t="s">
        <v>8</v>
      </c>
      <c r="C3437" t="s">
        <v>9</v>
      </c>
      <c r="D3437" s="2">
        <v>1315.5</v>
      </c>
      <c r="E3437" s="2">
        <v>1316.5</v>
      </c>
      <c r="F3437" s="2">
        <v>1307</v>
      </c>
      <c r="G3437" s="2">
        <v>1313.199951171875</v>
      </c>
      <c r="H3437" s="3">
        <v>5546227</v>
      </c>
      <c r="I3437" s="4">
        <f t="shared" si="212"/>
        <v>-0.65</v>
      </c>
      <c r="J3437" s="2">
        <f t="shared" si="213"/>
        <v>3.3</v>
      </c>
      <c r="K3437" s="7">
        <f t="shared" si="214"/>
        <v>46235</v>
      </c>
      <c r="L3437" t="str">
        <f t="shared" si="215"/>
        <v>Q3-2026</v>
      </c>
    </row>
    <row r="3438" spans="1:12">
      <c r="A3438" s="6">
        <v>46254</v>
      </c>
      <c r="B3438" t="s">
        <v>10</v>
      </c>
      <c r="C3438" t="s">
        <v>11</v>
      </c>
      <c r="D3438" s="2">
        <v>2319.39990234375</v>
      </c>
      <c r="E3438" s="2">
        <v>2329</v>
      </c>
      <c r="F3438" s="2">
        <v>2288.10009765625</v>
      </c>
      <c r="G3438" s="2">
        <v>2298</v>
      </c>
      <c r="H3438" s="3">
        <v>2047848</v>
      </c>
      <c r="I3438" s="4">
        <f t="shared" si="212"/>
        <v>-1.35</v>
      </c>
      <c r="J3438" s="2">
        <f t="shared" si="213"/>
        <v>31</v>
      </c>
      <c r="K3438" s="7">
        <f t="shared" si="214"/>
        <v>46235</v>
      </c>
      <c r="L3438" t="str">
        <f t="shared" si="215"/>
        <v>Q3-2026</v>
      </c>
    </row>
    <row r="3439" spans="1:12">
      <c r="A3439" s="6">
        <v>46254</v>
      </c>
      <c r="B3439" t="s">
        <v>12</v>
      </c>
      <c r="C3439" t="s">
        <v>13</v>
      </c>
      <c r="D3439" s="2">
        <v>1143</v>
      </c>
      <c r="E3439" s="2">
        <v>1144.699951171875</v>
      </c>
      <c r="F3439" s="2">
        <v>1125.699951171875</v>
      </c>
      <c r="G3439" s="2">
        <v>1130</v>
      </c>
      <c r="H3439" s="3">
        <v>8559841</v>
      </c>
      <c r="I3439" s="4">
        <f t="shared" si="212"/>
        <v>-1.51</v>
      </c>
      <c r="J3439" s="2">
        <f t="shared" si="213"/>
        <v>14.7</v>
      </c>
      <c r="K3439" s="7">
        <f t="shared" si="214"/>
        <v>46235</v>
      </c>
      <c r="L3439" t="str">
        <f t="shared" si="215"/>
        <v>Q3-2026</v>
      </c>
    </row>
    <row r="3440" spans="1:12">
      <c r="A3440" s="6">
        <v>46254</v>
      </c>
      <c r="B3440" t="s">
        <v>14</v>
      </c>
      <c r="C3440" t="s">
        <v>15</v>
      </c>
      <c r="D3440" s="2">
        <v>725.5</v>
      </c>
      <c r="E3440" s="2">
        <v>728.29998779296875</v>
      </c>
      <c r="F3440" s="2">
        <v>724.29998779296875</v>
      </c>
      <c r="G3440" s="2">
        <v>725.04998779296875</v>
      </c>
      <c r="H3440" s="3">
        <v>17603805</v>
      </c>
      <c r="I3440" s="4">
        <f t="shared" si="212"/>
        <v>-0.17</v>
      </c>
      <c r="J3440" s="2">
        <f t="shared" si="213"/>
        <v>3.25</v>
      </c>
      <c r="K3440" s="7">
        <f t="shared" si="214"/>
        <v>46235</v>
      </c>
      <c r="L3440" t="str">
        <f t="shared" si="215"/>
        <v>Q3-2026</v>
      </c>
    </row>
    <row r="3441" spans="1:12">
      <c r="A3441" s="6">
        <v>46254</v>
      </c>
      <c r="B3441" t="s">
        <v>16</v>
      </c>
      <c r="C3441" t="s">
        <v>17</v>
      </c>
      <c r="D3441" s="2">
        <v>1407.800048828125</v>
      </c>
      <c r="E3441" s="2">
        <v>1413</v>
      </c>
      <c r="F3441" s="2">
        <v>1403.300048828125</v>
      </c>
      <c r="G3441" s="2">
        <v>1411.900024414062</v>
      </c>
      <c r="H3441" s="3">
        <v>8425049</v>
      </c>
      <c r="I3441" s="4">
        <f t="shared" si="212"/>
        <v>-0.32</v>
      </c>
      <c r="J3441" s="2">
        <f t="shared" si="213"/>
        <v>1.1000000000000001</v>
      </c>
      <c r="K3441" s="7">
        <f t="shared" si="214"/>
        <v>46235</v>
      </c>
      <c r="L3441" t="str">
        <f t="shared" si="215"/>
        <v>Q3-2026</v>
      </c>
    </row>
    <row r="3442" spans="1:12">
      <c r="A3442" s="6">
        <v>46254</v>
      </c>
      <c r="B3442" t="s">
        <v>18</v>
      </c>
      <c r="C3442" t="s">
        <v>19</v>
      </c>
      <c r="D3442" s="2">
        <v>181.55999755859381</v>
      </c>
      <c r="E3442" s="2">
        <v>182.46000671386719</v>
      </c>
      <c r="F3442" s="2">
        <v>180.50999450683591</v>
      </c>
      <c r="G3442" s="2">
        <v>181</v>
      </c>
      <c r="H3442" s="3">
        <v>5364164</v>
      </c>
      <c r="I3442" s="4">
        <f t="shared" si="212"/>
        <v>-0.57999999999999996</v>
      </c>
      <c r="J3442" s="2">
        <f t="shared" si="213"/>
        <v>1.46</v>
      </c>
      <c r="K3442" s="7">
        <f t="shared" si="214"/>
        <v>46235</v>
      </c>
      <c r="L3442" t="str">
        <f t="shared" si="215"/>
        <v>Q3-2026</v>
      </c>
    </row>
    <row r="3443" spans="1:12">
      <c r="A3443" s="6">
        <v>46254</v>
      </c>
      <c r="B3443" t="s">
        <v>20</v>
      </c>
      <c r="C3443" t="s">
        <v>21</v>
      </c>
      <c r="D3443" s="2">
        <v>1339.699951171875</v>
      </c>
      <c r="E3443" s="2">
        <v>1345.300048828125</v>
      </c>
      <c r="F3443" s="2">
        <v>1318.400024414062</v>
      </c>
      <c r="G3443" s="2">
        <v>1318.400024414062</v>
      </c>
      <c r="H3443" s="3">
        <v>1510868</v>
      </c>
      <c r="I3443" s="4">
        <f t="shared" si="212"/>
        <v>-1.59</v>
      </c>
      <c r="J3443" s="2">
        <f t="shared" si="213"/>
        <v>26.9</v>
      </c>
      <c r="K3443" s="7">
        <f t="shared" si="214"/>
        <v>46235</v>
      </c>
      <c r="L3443" t="str">
        <f t="shared" si="215"/>
        <v>Q3-2026</v>
      </c>
    </row>
    <row r="3444" spans="1:12">
      <c r="A3444" s="6">
        <v>46254</v>
      </c>
      <c r="B3444" t="s">
        <v>22</v>
      </c>
      <c r="C3444" t="s">
        <v>23</v>
      </c>
      <c r="D3444" s="2">
        <v>1089.699951171875</v>
      </c>
      <c r="E3444" s="2">
        <v>1102.300048828125</v>
      </c>
      <c r="F3444" s="2">
        <v>1086.300048828125</v>
      </c>
      <c r="G3444" s="2">
        <v>1095</v>
      </c>
      <c r="H3444" s="3">
        <v>6741475</v>
      </c>
      <c r="I3444" s="4">
        <f t="shared" si="212"/>
        <v>-0.31</v>
      </c>
      <c r="J3444" s="2">
        <f t="shared" si="213"/>
        <v>7.3</v>
      </c>
      <c r="K3444" s="7">
        <f t="shared" si="214"/>
        <v>46235</v>
      </c>
      <c r="L3444" t="str">
        <f t="shared" si="215"/>
        <v>Q3-2026</v>
      </c>
    </row>
    <row r="3445" spans="1:12">
      <c r="A3445" s="6">
        <v>46254</v>
      </c>
      <c r="B3445" t="s">
        <v>24</v>
      </c>
      <c r="C3445" t="s">
        <v>25</v>
      </c>
      <c r="D3445" s="2">
        <v>13758</v>
      </c>
      <c r="E3445" s="2">
        <v>13826</v>
      </c>
      <c r="F3445" s="2">
        <v>13681</v>
      </c>
      <c r="G3445" s="2">
        <v>13809</v>
      </c>
      <c r="H3445" s="3">
        <v>186272</v>
      </c>
      <c r="I3445" s="4">
        <f t="shared" si="212"/>
        <v>-0.56000000000000005</v>
      </c>
      <c r="J3445" s="2">
        <f t="shared" si="213"/>
        <v>17</v>
      </c>
      <c r="K3445" s="7">
        <f t="shared" si="214"/>
        <v>46235</v>
      </c>
      <c r="L3445" t="str">
        <f t="shared" si="215"/>
        <v>Q3-2026</v>
      </c>
    </row>
    <row r="3446" spans="1:12">
      <c r="A3446" s="6">
        <v>46254</v>
      </c>
      <c r="B3446" t="s">
        <v>26</v>
      </c>
      <c r="C3446" t="s">
        <v>27</v>
      </c>
      <c r="D3446" s="2">
        <v>323.39999389648438</v>
      </c>
      <c r="E3446" s="2">
        <v>324.54998779296881</v>
      </c>
      <c r="F3446" s="2">
        <v>318.45001220703119</v>
      </c>
      <c r="G3446" s="2">
        <v>320.25</v>
      </c>
      <c r="H3446" s="3">
        <v>10475953</v>
      </c>
      <c r="I3446" s="4">
        <f t="shared" si="212"/>
        <v>-1.53</v>
      </c>
      <c r="J3446" s="2">
        <f t="shared" si="213"/>
        <v>4.3</v>
      </c>
      <c r="K3446" s="7">
        <f t="shared" si="214"/>
        <v>46235</v>
      </c>
      <c r="L3446" t="str">
        <f t="shared" si="215"/>
        <v>Q3-2026</v>
      </c>
    </row>
    <row r="3447" spans="1:12">
      <c r="A3447" s="6">
        <v>46254</v>
      </c>
      <c r="B3447" t="s">
        <v>28</v>
      </c>
      <c r="C3447" t="s">
        <v>29</v>
      </c>
      <c r="D3447" s="2">
        <v>1905</v>
      </c>
      <c r="E3447" s="2">
        <v>1911.599975585938</v>
      </c>
      <c r="F3447" s="2">
        <v>1890.300048828125</v>
      </c>
      <c r="G3447" s="2">
        <v>1904</v>
      </c>
      <c r="H3447" s="3">
        <v>893691</v>
      </c>
      <c r="I3447" s="4">
        <f t="shared" si="212"/>
        <v>-0.77</v>
      </c>
      <c r="J3447" s="2">
        <f t="shared" si="213"/>
        <v>7.6</v>
      </c>
      <c r="K3447" s="7">
        <f t="shared" si="214"/>
        <v>46235</v>
      </c>
      <c r="L3447" t="str">
        <f t="shared" si="215"/>
        <v>Q3-2026</v>
      </c>
    </row>
    <row r="3448" spans="1:12">
      <c r="A3448" s="6">
        <v>46254</v>
      </c>
      <c r="B3448" t="s">
        <v>30</v>
      </c>
      <c r="C3448" t="s">
        <v>31</v>
      </c>
      <c r="D3448" s="2">
        <v>2635.10009765625</v>
      </c>
      <c r="E3448" s="2">
        <v>2641.800048828125</v>
      </c>
      <c r="F3448" s="2">
        <v>2607</v>
      </c>
      <c r="G3448" s="2">
        <v>2625.199951171875</v>
      </c>
      <c r="H3448" s="3">
        <v>476939</v>
      </c>
      <c r="I3448" s="4">
        <f t="shared" si="212"/>
        <v>-1.07</v>
      </c>
      <c r="J3448" s="2">
        <f t="shared" si="213"/>
        <v>16.600000000000001</v>
      </c>
      <c r="K3448" s="7">
        <f t="shared" si="214"/>
        <v>46235</v>
      </c>
      <c r="L3448" t="str">
        <f t="shared" si="215"/>
        <v>Q3-2026</v>
      </c>
    </row>
    <row r="3449" spans="1:12">
      <c r="A3449" s="6">
        <v>46254</v>
      </c>
      <c r="B3449" t="s">
        <v>32</v>
      </c>
      <c r="C3449" t="s">
        <v>33</v>
      </c>
      <c r="D3449" s="2">
        <v>2022.900024414062</v>
      </c>
      <c r="E3449" s="2">
        <v>2043.599975585938</v>
      </c>
      <c r="F3449" s="2">
        <v>2018.199951171875</v>
      </c>
      <c r="G3449" s="2">
        <v>2028</v>
      </c>
      <c r="H3449" s="3">
        <v>1401471</v>
      </c>
      <c r="I3449" s="4">
        <f t="shared" si="212"/>
        <v>-0.23</v>
      </c>
      <c r="J3449" s="2">
        <f t="shared" si="213"/>
        <v>15.6</v>
      </c>
      <c r="K3449" s="7">
        <f t="shared" si="214"/>
        <v>46235</v>
      </c>
      <c r="L3449" t="str">
        <f t="shared" si="215"/>
        <v>Q3-2026</v>
      </c>
    </row>
    <row r="3450" spans="1:12">
      <c r="A3450" s="6">
        <v>46254</v>
      </c>
      <c r="B3450" t="s">
        <v>34</v>
      </c>
      <c r="C3450" t="s">
        <v>35</v>
      </c>
      <c r="D3450" s="2">
        <v>4050.5</v>
      </c>
      <c r="E3450" s="2">
        <v>4084.89990234375</v>
      </c>
      <c r="F3450" s="2">
        <v>4048.300048828125</v>
      </c>
      <c r="G3450" s="2">
        <v>4081</v>
      </c>
      <c r="H3450" s="3">
        <v>1056060</v>
      </c>
      <c r="I3450" s="4">
        <f t="shared" si="212"/>
        <v>-0.05</v>
      </c>
      <c r="J3450" s="2">
        <f t="shared" si="213"/>
        <v>3.9</v>
      </c>
      <c r="K3450" s="7">
        <f t="shared" si="214"/>
        <v>46235</v>
      </c>
      <c r="L3450" t="str">
        <f t="shared" si="215"/>
        <v>Q3-2026</v>
      </c>
    </row>
    <row r="3451" spans="1:12">
      <c r="A3451" s="6">
        <v>46254</v>
      </c>
      <c r="B3451" t="s">
        <v>36</v>
      </c>
      <c r="C3451" t="s">
        <v>37</v>
      </c>
      <c r="D3451" s="2">
        <v>1237.5</v>
      </c>
      <c r="E3451" s="2">
        <v>1253.900024414062</v>
      </c>
      <c r="F3451" s="2">
        <v>1236.199951171875</v>
      </c>
      <c r="G3451" s="2">
        <v>1251</v>
      </c>
      <c r="H3451" s="3">
        <v>4163816</v>
      </c>
      <c r="I3451" s="4">
        <f t="shared" si="212"/>
        <v>-0.11</v>
      </c>
      <c r="J3451" s="2">
        <f t="shared" si="213"/>
        <v>2.9</v>
      </c>
      <c r="K3451" s="7">
        <f t="shared" si="214"/>
        <v>46235</v>
      </c>
      <c r="L3451" t="str">
        <f t="shared" si="215"/>
        <v>Q3-2026</v>
      </c>
    </row>
    <row r="3452" spans="1:12">
      <c r="A3452" s="6">
        <v>46255</v>
      </c>
      <c r="B3452" t="s">
        <v>8</v>
      </c>
      <c r="C3452" t="s">
        <v>9</v>
      </c>
      <c r="D3452" s="2">
        <v>1314</v>
      </c>
      <c r="E3452" s="2">
        <v>1316</v>
      </c>
      <c r="F3452" s="2">
        <v>1308</v>
      </c>
      <c r="G3452" s="2">
        <v>1316</v>
      </c>
      <c r="H3452" s="3">
        <v>5434871</v>
      </c>
      <c r="I3452" s="4">
        <f t="shared" si="212"/>
        <v>-0.46</v>
      </c>
      <c r="J3452" s="2">
        <f t="shared" si="213"/>
        <v>0</v>
      </c>
      <c r="K3452" s="7">
        <f t="shared" si="214"/>
        <v>46235</v>
      </c>
      <c r="L3452" t="str">
        <f t="shared" si="215"/>
        <v>Q3-2026</v>
      </c>
    </row>
    <row r="3453" spans="1:12">
      <c r="A3453" s="6">
        <v>46255</v>
      </c>
      <c r="B3453" t="s">
        <v>10</v>
      </c>
      <c r="C3453" t="s">
        <v>11</v>
      </c>
      <c r="D3453" s="2">
        <v>2290.10009765625</v>
      </c>
      <c r="E3453" s="2">
        <v>2307.199951171875</v>
      </c>
      <c r="F3453" s="2">
        <v>2263.300048828125</v>
      </c>
      <c r="G3453" s="2">
        <v>2302</v>
      </c>
      <c r="H3453" s="3">
        <v>2066749</v>
      </c>
      <c r="I3453" s="4">
        <f t="shared" si="212"/>
        <v>-1.17</v>
      </c>
      <c r="J3453" s="2">
        <f t="shared" si="213"/>
        <v>5.2</v>
      </c>
      <c r="K3453" s="7">
        <f t="shared" si="214"/>
        <v>46235</v>
      </c>
      <c r="L3453" t="str">
        <f t="shared" si="215"/>
        <v>Q3-2026</v>
      </c>
    </row>
    <row r="3454" spans="1:12">
      <c r="A3454" s="6">
        <v>46255</v>
      </c>
      <c r="B3454" t="s">
        <v>12</v>
      </c>
      <c r="C3454" t="s">
        <v>13</v>
      </c>
      <c r="D3454" s="2">
        <v>1133</v>
      </c>
      <c r="E3454" s="2">
        <v>1133.5</v>
      </c>
      <c r="F3454" s="2">
        <v>1118</v>
      </c>
      <c r="G3454" s="2">
        <v>1121</v>
      </c>
      <c r="H3454" s="3">
        <v>6094967</v>
      </c>
      <c r="I3454" s="4">
        <f t="shared" si="212"/>
        <v>-1.32</v>
      </c>
      <c r="J3454" s="2">
        <f t="shared" si="213"/>
        <v>12.5</v>
      </c>
      <c r="K3454" s="7">
        <f t="shared" si="214"/>
        <v>46235</v>
      </c>
      <c r="L3454" t="str">
        <f t="shared" si="215"/>
        <v>Q3-2026</v>
      </c>
    </row>
    <row r="3455" spans="1:12">
      <c r="A3455" s="6">
        <v>46255</v>
      </c>
      <c r="B3455" t="s">
        <v>14</v>
      </c>
      <c r="C3455" t="s">
        <v>15</v>
      </c>
      <c r="D3455" s="2">
        <v>728.29998779296875</v>
      </c>
      <c r="E3455" s="2">
        <v>732.79998779296875</v>
      </c>
      <c r="F3455" s="2">
        <v>726.5999755859375</v>
      </c>
      <c r="G3455" s="2">
        <v>726.95001220703125</v>
      </c>
      <c r="H3455" s="3">
        <v>26029811</v>
      </c>
      <c r="I3455" s="4">
        <f t="shared" si="212"/>
        <v>-0.23</v>
      </c>
      <c r="J3455" s="2">
        <f t="shared" si="213"/>
        <v>5.85</v>
      </c>
      <c r="K3455" s="7">
        <f t="shared" si="214"/>
        <v>46235</v>
      </c>
      <c r="L3455" t="str">
        <f t="shared" si="215"/>
        <v>Q3-2026</v>
      </c>
    </row>
    <row r="3456" spans="1:12">
      <c r="A3456" s="6">
        <v>46255</v>
      </c>
      <c r="B3456" t="s">
        <v>16</v>
      </c>
      <c r="C3456" t="s">
        <v>17</v>
      </c>
      <c r="D3456" s="2">
        <v>1417</v>
      </c>
      <c r="E3456" s="2">
        <v>1420</v>
      </c>
      <c r="F3456" s="2">
        <v>1411.199951171875</v>
      </c>
      <c r="G3456" s="2">
        <v>1420</v>
      </c>
      <c r="H3456" s="3">
        <v>4565280</v>
      </c>
      <c r="I3456" s="4">
        <f t="shared" si="212"/>
        <v>-0.41</v>
      </c>
      <c r="J3456" s="2">
        <f t="shared" si="213"/>
        <v>0</v>
      </c>
      <c r="K3456" s="7">
        <f t="shared" si="214"/>
        <v>46235</v>
      </c>
      <c r="L3456" t="str">
        <f t="shared" si="215"/>
        <v>Q3-2026</v>
      </c>
    </row>
    <row r="3457" spans="1:12">
      <c r="A3457" s="6">
        <v>46255</v>
      </c>
      <c r="B3457" t="s">
        <v>18</v>
      </c>
      <c r="C3457" t="s">
        <v>19</v>
      </c>
      <c r="D3457" s="2">
        <v>180.6000061035156</v>
      </c>
      <c r="E3457" s="2">
        <v>181.75999450683591</v>
      </c>
      <c r="F3457" s="2">
        <v>180</v>
      </c>
      <c r="G3457" s="2">
        <v>180.78999328613281</v>
      </c>
      <c r="H3457" s="3">
        <v>4637869</v>
      </c>
      <c r="I3457" s="4">
        <f t="shared" si="212"/>
        <v>-0.33</v>
      </c>
      <c r="J3457" s="2">
        <f t="shared" si="213"/>
        <v>0.97</v>
      </c>
      <c r="K3457" s="7">
        <f t="shared" si="214"/>
        <v>46235</v>
      </c>
      <c r="L3457" t="str">
        <f t="shared" si="215"/>
        <v>Q3-2026</v>
      </c>
    </row>
    <row r="3458" spans="1:12">
      <c r="A3458" s="6">
        <v>46255</v>
      </c>
      <c r="B3458" t="s">
        <v>20</v>
      </c>
      <c r="C3458" t="s">
        <v>21</v>
      </c>
      <c r="D3458" s="2">
        <v>1319.900024414062</v>
      </c>
      <c r="E3458" s="2">
        <v>1321.699951171875</v>
      </c>
      <c r="F3458" s="2">
        <v>1302.5</v>
      </c>
      <c r="G3458" s="2">
        <v>1302.5</v>
      </c>
      <c r="H3458" s="3">
        <v>1484443</v>
      </c>
      <c r="I3458" s="4">
        <f t="shared" ref="I3458:I3521" si="216">ROUND(((F3458-D3458)/D3458)*100, 2)</f>
        <v>-1.32</v>
      </c>
      <c r="J3458" s="2">
        <f t="shared" ref="J3458:J3521" si="217">ROUND(E3458-G3458, 2)</f>
        <v>19.2</v>
      </c>
      <c r="K3458" s="7">
        <f t="shared" ref="K3458:K3521" si="218">DATE(YEAR(A3458),MONTH(A3458),1)</f>
        <v>46235</v>
      </c>
      <c r="L3458" t="str">
        <f t="shared" ref="L3458:L3521" si="219">"Q"&amp;INT((MONTH(A3458)-1)/3)+1&amp;"-"&amp;YEAR(A3458)</f>
        <v>Q3-2026</v>
      </c>
    </row>
    <row r="3459" spans="1:12">
      <c r="A3459" s="6">
        <v>46255</v>
      </c>
      <c r="B3459" t="s">
        <v>22</v>
      </c>
      <c r="C3459" t="s">
        <v>23</v>
      </c>
      <c r="D3459" s="2">
        <v>1105.400024414062</v>
      </c>
      <c r="E3459" s="2">
        <v>1105.5</v>
      </c>
      <c r="F3459" s="2">
        <v>1090.599975585938</v>
      </c>
      <c r="G3459" s="2">
        <v>1095</v>
      </c>
      <c r="H3459" s="3">
        <v>3042594</v>
      </c>
      <c r="I3459" s="4">
        <f t="shared" si="216"/>
        <v>-1.34</v>
      </c>
      <c r="J3459" s="2">
        <f t="shared" si="217"/>
        <v>10.5</v>
      </c>
      <c r="K3459" s="7">
        <f t="shared" si="218"/>
        <v>46235</v>
      </c>
      <c r="L3459" t="str">
        <f t="shared" si="219"/>
        <v>Q3-2026</v>
      </c>
    </row>
    <row r="3460" spans="1:12">
      <c r="A3460" s="6">
        <v>46255</v>
      </c>
      <c r="B3460" t="s">
        <v>24</v>
      </c>
      <c r="C3460" t="s">
        <v>25</v>
      </c>
      <c r="D3460" s="2">
        <v>13809</v>
      </c>
      <c r="E3460" s="2">
        <v>13809</v>
      </c>
      <c r="F3460" s="2">
        <v>13565</v>
      </c>
      <c r="G3460" s="2">
        <v>13565</v>
      </c>
      <c r="H3460" s="3">
        <v>224951</v>
      </c>
      <c r="I3460" s="4">
        <f t="shared" si="216"/>
        <v>-1.77</v>
      </c>
      <c r="J3460" s="2">
        <f t="shared" si="217"/>
        <v>244</v>
      </c>
      <c r="K3460" s="7">
        <f t="shared" si="218"/>
        <v>46235</v>
      </c>
      <c r="L3460" t="str">
        <f t="shared" si="219"/>
        <v>Q3-2026</v>
      </c>
    </row>
    <row r="3461" spans="1:12">
      <c r="A3461" s="6">
        <v>46255</v>
      </c>
      <c r="B3461" t="s">
        <v>26</v>
      </c>
      <c r="C3461" t="s">
        <v>27</v>
      </c>
      <c r="D3461" s="2">
        <v>321.5</v>
      </c>
      <c r="E3461" s="2">
        <v>322.39999389648438</v>
      </c>
      <c r="F3461" s="2">
        <v>316.89999389648438</v>
      </c>
      <c r="G3461" s="2">
        <v>317.89999389648438</v>
      </c>
      <c r="H3461" s="3">
        <v>10824328</v>
      </c>
      <c r="I3461" s="4">
        <f t="shared" si="216"/>
        <v>-1.43</v>
      </c>
      <c r="J3461" s="2">
        <f t="shared" si="217"/>
        <v>4.5</v>
      </c>
      <c r="K3461" s="7">
        <f t="shared" si="218"/>
        <v>46235</v>
      </c>
      <c r="L3461" t="str">
        <f t="shared" si="219"/>
        <v>Q3-2026</v>
      </c>
    </row>
    <row r="3462" spans="1:12">
      <c r="A3462" s="6">
        <v>46255</v>
      </c>
      <c r="B3462" t="s">
        <v>28</v>
      </c>
      <c r="C3462" t="s">
        <v>29</v>
      </c>
      <c r="D3462" s="2">
        <v>1916</v>
      </c>
      <c r="E3462" s="2">
        <v>1917.400024414062</v>
      </c>
      <c r="F3462" s="2">
        <v>1882.800048828125</v>
      </c>
      <c r="G3462" s="2">
        <v>1902.400024414062</v>
      </c>
      <c r="H3462" s="3">
        <v>1491953</v>
      </c>
      <c r="I3462" s="4">
        <f t="shared" si="216"/>
        <v>-1.73</v>
      </c>
      <c r="J3462" s="2">
        <f t="shared" si="217"/>
        <v>15</v>
      </c>
      <c r="K3462" s="7">
        <f t="shared" si="218"/>
        <v>46235</v>
      </c>
      <c r="L3462" t="str">
        <f t="shared" si="219"/>
        <v>Q3-2026</v>
      </c>
    </row>
    <row r="3463" spans="1:12">
      <c r="A3463" s="6">
        <v>46255</v>
      </c>
      <c r="B3463" t="s">
        <v>30</v>
      </c>
      <c r="C3463" t="s">
        <v>31</v>
      </c>
      <c r="D3463" s="2">
        <v>2620.199951171875</v>
      </c>
      <c r="E3463" s="2">
        <v>2644</v>
      </c>
      <c r="F3463" s="2">
        <v>2615.5</v>
      </c>
      <c r="G3463" s="2">
        <v>2640</v>
      </c>
      <c r="H3463" s="3">
        <v>330334</v>
      </c>
      <c r="I3463" s="4">
        <f t="shared" si="216"/>
        <v>-0.18</v>
      </c>
      <c r="J3463" s="2">
        <f t="shared" si="217"/>
        <v>4</v>
      </c>
      <c r="K3463" s="7">
        <f t="shared" si="218"/>
        <v>46235</v>
      </c>
      <c r="L3463" t="str">
        <f t="shared" si="219"/>
        <v>Q3-2026</v>
      </c>
    </row>
    <row r="3464" spans="1:12">
      <c r="A3464" s="6">
        <v>46255</v>
      </c>
      <c r="B3464" t="s">
        <v>32</v>
      </c>
      <c r="C3464" t="s">
        <v>33</v>
      </c>
      <c r="D3464" s="2">
        <v>2028</v>
      </c>
      <c r="E3464" s="2">
        <v>2034.699951171875</v>
      </c>
      <c r="F3464" s="2">
        <v>2012</v>
      </c>
      <c r="G3464" s="2">
        <v>2015</v>
      </c>
      <c r="H3464" s="3">
        <v>857550</v>
      </c>
      <c r="I3464" s="4">
        <f t="shared" si="216"/>
        <v>-0.79</v>
      </c>
      <c r="J3464" s="2">
        <f t="shared" si="217"/>
        <v>19.7</v>
      </c>
      <c r="K3464" s="7">
        <f t="shared" si="218"/>
        <v>46235</v>
      </c>
      <c r="L3464" t="str">
        <f t="shared" si="219"/>
        <v>Q3-2026</v>
      </c>
    </row>
    <row r="3465" spans="1:12">
      <c r="A3465" s="6">
        <v>46255</v>
      </c>
      <c r="B3465" t="s">
        <v>34</v>
      </c>
      <c r="C3465" t="s">
        <v>35</v>
      </c>
      <c r="D3465" s="2">
        <v>4081</v>
      </c>
      <c r="E3465" s="2">
        <v>4100</v>
      </c>
      <c r="F3465" s="2">
        <v>4061.39990234375</v>
      </c>
      <c r="G3465" s="2">
        <v>4093</v>
      </c>
      <c r="H3465" s="3">
        <v>1258912</v>
      </c>
      <c r="I3465" s="4">
        <f t="shared" si="216"/>
        <v>-0.48</v>
      </c>
      <c r="J3465" s="2">
        <f t="shared" si="217"/>
        <v>7</v>
      </c>
      <c r="K3465" s="7">
        <f t="shared" si="218"/>
        <v>46235</v>
      </c>
      <c r="L3465" t="str">
        <f t="shared" si="219"/>
        <v>Q3-2026</v>
      </c>
    </row>
    <row r="3466" spans="1:12">
      <c r="A3466" s="6">
        <v>46255</v>
      </c>
      <c r="B3466" t="s">
        <v>36</v>
      </c>
      <c r="C3466" t="s">
        <v>37</v>
      </c>
      <c r="D3466" s="2">
        <v>1250.599975585938</v>
      </c>
      <c r="E3466" s="2">
        <v>1256.400024414062</v>
      </c>
      <c r="F3466" s="2">
        <v>1240.400024414062</v>
      </c>
      <c r="G3466" s="2">
        <v>1245.800048828125</v>
      </c>
      <c r="H3466" s="3">
        <v>3690270</v>
      </c>
      <c r="I3466" s="4">
        <f t="shared" si="216"/>
        <v>-0.82</v>
      </c>
      <c r="J3466" s="2">
        <f t="shared" si="217"/>
        <v>10.6</v>
      </c>
      <c r="K3466" s="7">
        <f t="shared" si="218"/>
        <v>46235</v>
      </c>
      <c r="L3466" t="str">
        <f t="shared" si="219"/>
        <v>Q3-2026</v>
      </c>
    </row>
    <row r="3467" spans="1:12">
      <c r="A3467" s="6">
        <v>46258</v>
      </c>
      <c r="B3467" t="s">
        <v>8</v>
      </c>
      <c r="C3467" t="s">
        <v>9</v>
      </c>
      <c r="D3467" s="2">
        <v>1316.599975585938</v>
      </c>
      <c r="E3467" s="2">
        <v>1320</v>
      </c>
      <c r="F3467" s="2">
        <v>1302.400024414062</v>
      </c>
      <c r="G3467" s="2">
        <v>1309.800048828125</v>
      </c>
      <c r="H3467" s="3">
        <v>7277167</v>
      </c>
      <c r="I3467" s="4">
        <f t="shared" si="216"/>
        <v>-1.08</v>
      </c>
      <c r="J3467" s="2">
        <f t="shared" si="217"/>
        <v>10.199999999999999</v>
      </c>
      <c r="K3467" s="7">
        <f t="shared" si="218"/>
        <v>46235</v>
      </c>
      <c r="L3467" t="str">
        <f t="shared" si="219"/>
        <v>Q3-2026</v>
      </c>
    </row>
    <row r="3468" spans="1:12">
      <c r="A3468" s="6">
        <v>46258</v>
      </c>
      <c r="B3468" t="s">
        <v>10</v>
      </c>
      <c r="C3468" t="s">
        <v>11</v>
      </c>
      <c r="D3468" s="2">
        <v>2302.39990234375</v>
      </c>
      <c r="E3468" s="2">
        <v>2321.60009765625</v>
      </c>
      <c r="F3468" s="2">
        <v>2279.5</v>
      </c>
      <c r="G3468" s="2">
        <v>2284.10009765625</v>
      </c>
      <c r="H3468" s="3">
        <v>1542723</v>
      </c>
      <c r="I3468" s="4">
        <f t="shared" si="216"/>
        <v>-0.99</v>
      </c>
      <c r="J3468" s="2">
        <f t="shared" si="217"/>
        <v>37.5</v>
      </c>
      <c r="K3468" s="7">
        <f t="shared" si="218"/>
        <v>46235</v>
      </c>
      <c r="L3468" t="str">
        <f t="shared" si="219"/>
        <v>Q3-2026</v>
      </c>
    </row>
    <row r="3469" spans="1:12">
      <c r="A3469" s="6">
        <v>46258</v>
      </c>
      <c r="B3469" t="s">
        <v>12</v>
      </c>
      <c r="C3469" t="s">
        <v>13</v>
      </c>
      <c r="D3469" s="2">
        <v>1126.5</v>
      </c>
      <c r="E3469" s="2">
        <v>1144.5</v>
      </c>
      <c r="F3469" s="2">
        <v>1122</v>
      </c>
      <c r="G3469" s="2">
        <v>1130</v>
      </c>
      <c r="H3469" s="3">
        <v>8565354</v>
      </c>
      <c r="I3469" s="4">
        <f t="shared" si="216"/>
        <v>-0.4</v>
      </c>
      <c r="J3469" s="2">
        <f t="shared" si="217"/>
        <v>14.5</v>
      </c>
      <c r="K3469" s="7">
        <f t="shared" si="218"/>
        <v>46235</v>
      </c>
      <c r="L3469" t="str">
        <f t="shared" si="219"/>
        <v>Q3-2026</v>
      </c>
    </row>
    <row r="3470" spans="1:12">
      <c r="A3470" s="6">
        <v>46258</v>
      </c>
      <c r="B3470" t="s">
        <v>14</v>
      </c>
      <c r="C3470" t="s">
        <v>15</v>
      </c>
      <c r="D3470" s="2">
        <v>732.5</v>
      </c>
      <c r="E3470" s="2">
        <v>734.4000244140625</v>
      </c>
      <c r="F3470" s="2">
        <v>724.0999755859375</v>
      </c>
      <c r="G3470" s="2">
        <v>729</v>
      </c>
      <c r="H3470" s="3">
        <v>11408345</v>
      </c>
      <c r="I3470" s="4">
        <f t="shared" si="216"/>
        <v>-1.1499999999999999</v>
      </c>
      <c r="J3470" s="2">
        <f t="shared" si="217"/>
        <v>5.4</v>
      </c>
      <c r="K3470" s="7">
        <f t="shared" si="218"/>
        <v>46235</v>
      </c>
      <c r="L3470" t="str">
        <f t="shared" si="219"/>
        <v>Q3-2026</v>
      </c>
    </row>
    <row r="3471" spans="1:12">
      <c r="A3471" s="6">
        <v>46258</v>
      </c>
      <c r="B3471" t="s">
        <v>16</v>
      </c>
      <c r="C3471" t="s">
        <v>17</v>
      </c>
      <c r="D3471" s="2">
        <v>1420.5</v>
      </c>
      <c r="E3471" s="2">
        <v>1425.5</v>
      </c>
      <c r="F3471" s="2">
        <v>1408.699951171875</v>
      </c>
      <c r="G3471" s="2">
        <v>1415</v>
      </c>
      <c r="H3471" s="3">
        <v>5307113</v>
      </c>
      <c r="I3471" s="4">
        <f t="shared" si="216"/>
        <v>-0.83</v>
      </c>
      <c r="J3471" s="2">
        <f t="shared" si="217"/>
        <v>10.5</v>
      </c>
      <c r="K3471" s="7">
        <f t="shared" si="218"/>
        <v>46235</v>
      </c>
      <c r="L3471" t="str">
        <f t="shared" si="219"/>
        <v>Q3-2026</v>
      </c>
    </row>
    <row r="3472" spans="1:12">
      <c r="A3472" s="6">
        <v>46258</v>
      </c>
      <c r="B3472" t="s">
        <v>18</v>
      </c>
      <c r="C3472" t="s">
        <v>19</v>
      </c>
      <c r="D3472" s="2">
        <v>181</v>
      </c>
      <c r="E3472" s="2">
        <v>183.91999816894531</v>
      </c>
      <c r="F3472" s="2">
        <v>180.55999755859381</v>
      </c>
      <c r="G3472" s="2">
        <v>181.30999755859381</v>
      </c>
      <c r="H3472" s="3">
        <v>9441129</v>
      </c>
      <c r="I3472" s="4">
        <f t="shared" si="216"/>
        <v>-0.24</v>
      </c>
      <c r="J3472" s="2">
        <f t="shared" si="217"/>
        <v>2.61</v>
      </c>
      <c r="K3472" s="7">
        <f t="shared" si="218"/>
        <v>46235</v>
      </c>
      <c r="L3472" t="str">
        <f t="shared" si="219"/>
        <v>Q3-2026</v>
      </c>
    </row>
    <row r="3473" spans="1:12">
      <c r="A3473" s="6">
        <v>46258</v>
      </c>
      <c r="B3473" t="s">
        <v>20</v>
      </c>
      <c r="C3473" t="s">
        <v>21</v>
      </c>
      <c r="D3473" s="2">
        <v>1302.5</v>
      </c>
      <c r="E3473" s="2">
        <v>1325.800048828125</v>
      </c>
      <c r="F3473" s="2">
        <v>1301</v>
      </c>
      <c r="G3473" s="2">
        <v>1322</v>
      </c>
      <c r="H3473" s="3">
        <v>1091648</v>
      </c>
      <c r="I3473" s="4">
        <f t="shared" si="216"/>
        <v>-0.12</v>
      </c>
      <c r="J3473" s="2">
        <f t="shared" si="217"/>
        <v>3.8</v>
      </c>
      <c r="K3473" s="7">
        <f t="shared" si="218"/>
        <v>46235</v>
      </c>
      <c r="L3473" t="str">
        <f t="shared" si="219"/>
        <v>Q3-2026</v>
      </c>
    </row>
    <row r="3474" spans="1:12">
      <c r="A3474" s="6">
        <v>46258</v>
      </c>
      <c r="B3474" t="s">
        <v>22</v>
      </c>
      <c r="C3474" t="s">
        <v>23</v>
      </c>
      <c r="D3474" s="2">
        <v>1086</v>
      </c>
      <c r="E3474" s="2">
        <v>1094.900024414062</v>
      </c>
      <c r="F3474" s="2">
        <v>1076.900024414062</v>
      </c>
      <c r="G3474" s="2">
        <v>1077</v>
      </c>
      <c r="H3474" s="3">
        <v>4342556</v>
      </c>
      <c r="I3474" s="4">
        <f t="shared" si="216"/>
        <v>-0.84</v>
      </c>
      <c r="J3474" s="2">
        <f t="shared" si="217"/>
        <v>17.899999999999999</v>
      </c>
      <c r="K3474" s="7">
        <f t="shared" si="218"/>
        <v>46235</v>
      </c>
      <c r="L3474" t="str">
        <f t="shared" si="219"/>
        <v>Q3-2026</v>
      </c>
    </row>
    <row r="3475" spans="1:12">
      <c r="A3475" s="6">
        <v>46258</v>
      </c>
      <c r="B3475" t="s">
        <v>24</v>
      </c>
      <c r="C3475" t="s">
        <v>25</v>
      </c>
      <c r="D3475" s="2">
        <v>13623</v>
      </c>
      <c r="E3475" s="2">
        <v>13694</v>
      </c>
      <c r="F3475" s="2">
        <v>13505</v>
      </c>
      <c r="G3475" s="2">
        <v>13620</v>
      </c>
      <c r="H3475" s="3">
        <v>230499</v>
      </c>
      <c r="I3475" s="4">
        <f t="shared" si="216"/>
        <v>-0.87</v>
      </c>
      <c r="J3475" s="2">
        <f t="shared" si="217"/>
        <v>74</v>
      </c>
      <c r="K3475" s="7">
        <f t="shared" si="218"/>
        <v>46235</v>
      </c>
      <c r="L3475" t="str">
        <f t="shared" si="219"/>
        <v>Q3-2026</v>
      </c>
    </row>
    <row r="3476" spans="1:12">
      <c r="A3476" s="6">
        <v>46258</v>
      </c>
      <c r="B3476" t="s">
        <v>26</v>
      </c>
      <c r="C3476" t="s">
        <v>27</v>
      </c>
      <c r="D3476" s="2">
        <v>318.79998779296881</v>
      </c>
      <c r="E3476" s="2">
        <v>319.64999389648438</v>
      </c>
      <c r="F3476" s="2">
        <v>312.60000610351563</v>
      </c>
      <c r="G3476" s="2">
        <v>314.39999389648438</v>
      </c>
      <c r="H3476" s="3">
        <v>8545165</v>
      </c>
      <c r="I3476" s="4">
        <f t="shared" si="216"/>
        <v>-1.94</v>
      </c>
      <c r="J3476" s="2">
        <f t="shared" si="217"/>
        <v>5.25</v>
      </c>
      <c r="K3476" s="7">
        <f t="shared" si="218"/>
        <v>46235</v>
      </c>
      <c r="L3476" t="str">
        <f t="shared" si="219"/>
        <v>Q3-2026</v>
      </c>
    </row>
    <row r="3477" spans="1:12">
      <c r="A3477" s="6">
        <v>46258</v>
      </c>
      <c r="B3477" t="s">
        <v>28</v>
      </c>
      <c r="C3477" t="s">
        <v>29</v>
      </c>
      <c r="D3477" s="2">
        <v>1902.400024414062</v>
      </c>
      <c r="E3477" s="2">
        <v>1923</v>
      </c>
      <c r="F3477" s="2">
        <v>1892.599975585938</v>
      </c>
      <c r="G3477" s="2">
        <v>1910</v>
      </c>
      <c r="H3477" s="3">
        <v>2317987</v>
      </c>
      <c r="I3477" s="4">
        <f t="shared" si="216"/>
        <v>-0.52</v>
      </c>
      <c r="J3477" s="2">
        <f t="shared" si="217"/>
        <v>13</v>
      </c>
      <c r="K3477" s="7">
        <f t="shared" si="218"/>
        <v>46235</v>
      </c>
      <c r="L3477" t="str">
        <f t="shared" si="219"/>
        <v>Q3-2026</v>
      </c>
    </row>
    <row r="3478" spans="1:12">
      <c r="A3478" s="6">
        <v>46258</v>
      </c>
      <c r="B3478" t="s">
        <v>30</v>
      </c>
      <c r="C3478" t="s">
        <v>31</v>
      </c>
      <c r="D3478" s="2">
        <v>2640.39990234375</v>
      </c>
      <c r="E3478" s="2">
        <v>2642.699951171875</v>
      </c>
      <c r="F3478" s="2">
        <v>2622</v>
      </c>
      <c r="G3478" s="2">
        <v>2640.800048828125</v>
      </c>
      <c r="H3478" s="3">
        <v>355289</v>
      </c>
      <c r="I3478" s="4">
        <f t="shared" si="216"/>
        <v>-0.7</v>
      </c>
      <c r="J3478" s="2">
        <f t="shared" si="217"/>
        <v>1.9</v>
      </c>
      <c r="K3478" s="7">
        <f t="shared" si="218"/>
        <v>46235</v>
      </c>
      <c r="L3478" t="str">
        <f t="shared" si="219"/>
        <v>Q3-2026</v>
      </c>
    </row>
    <row r="3479" spans="1:12">
      <c r="A3479" s="6">
        <v>46258</v>
      </c>
      <c r="B3479" t="s">
        <v>32</v>
      </c>
      <c r="C3479" t="s">
        <v>33</v>
      </c>
      <c r="D3479" s="2">
        <v>2019.900024414062</v>
      </c>
      <c r="E3479" s="2">
        <v>2030</v>
      </c>
      <c r="F3479" s="2">
        <v>2006.199951171875</v>
      </c>
      <c r="G3479" s="2">
        <v>2030</v>
      </c>
      <c r="H3479" s="3">
        <v>891171</v>
      </c>
      <c r="I3479" s="4">
        <f t="shared" si="216"/>
        <v>-0.68</v>
      </c>
      <c r="J3479" s="2">
        <f t="shared" si="217"/>
        <v>0</v>
      </c>
      <c r="K3479" s="7">
        <f t="shared" si="218"/>
        <v>46235</v>
      </c>
      <c r="L3479" t="str">
        <f t="shared" si="219"/>
        <v>Q3-2026</v>
      </c>
    </row>
    <row r="3480" spans="1:12">
      <c r="A3480" s="6">
        <v>46258</v>
      </c>
      <c r="B3480" t="s">
        <v>34</v>
      </c>
      <c r="C3480" t="s">
        <v>35</v>
      </c>
      <c r="D3480" s="2">
        <v>4100</v>
      </c>
      <c r="E3480" s="2">
        <v>4107.10009765625</v>
      </c>
      <c r="F3480" s="2">
        <v>4077.699951171875</v>
      </c>
      <c r="G3480" s="2">
        <v>4090</v>
      </c>
      <c r="H3480" s="3">
        <v>1369496</v>
      </c>
      <c r="I3480" s="4">
        <f t="shared" si="216"/>
        <v>-0.54</v>
      </c>
      <c r="J3480" s="2">
        <f t="shared" si="217"/>
        <v>17.100000000000001</v>
      </c>
      <c r="K3480" s="7">
        <f t="shared" si="218"/>
        <v>46235</v>
      </c>
      <c r="L3480" t="str">
        <f t="shared" si="219"/>
        <v>Q3-2026</v>
      </c>
    </row>
    <row r="3481" spans="1:12">
      <c r="A3481" s="6">
        <v>46258</v>
      </c>
      <c r="B3481" t="s">
        <v>36</v>
      </c>
      <c r="C3481" t="s">
        <v>37</v>
      </c>
      <c r="D3481" s="2">
        <v>1245.800048828125</v>
      </c>
      <c r="E3481" s="2">
        <v>1248.699951171875</v>
      </c>
      <c r="F3481" s="2">
        <v>1231.800048828125</v>
      </c>
      <c r="G3481" s="2">
        <v>1236</v>
      </c>
      <c r="H3481" s="3">
        <v>3778588</v>
      </c>
      <c r="I3481" s="4">
        <f t="shared" si="216"/>
        <v>-1.1200000000000001</v>
      </c>
      <c r="J3481" s="2">
        <f t="shared" si="217"/>
        <v>12.7</v>
      </c>
      <c r="K3481" s="7">
        <f t="shared" si="218"/>
        <v>46235</v>
      </c>
      <c r="L3481" t="str">
        <f t="shared" si="219"/>
        <v>Q3-2026</v>
      </c>
    </row>
    <row r="3482" spans="1:12">
      <c r="A3482" s="6">
        <v>46259</v>
      </c>
      <c r="B3482" t="s">
        <v>8</v>
      </c>
      <c r="C3482" t="s">
        <v>9</v>
      </c>
      <c r="D3482" s="2">
        <v>1304.300048828125</v>
      </c>
      <c r="E3482" s="2">
        <v>1317.099975585938</v>
      </c>
      <c r="F3482" s="2">
        <v>1300</v>
      </c>
      <c r="G3482" s="2">
        <v>1317</v>
      </c>
      <c r="H3482" s="3">
        <v>7115355</v>
      </c>
      <c r="I3482" s="4">
        <f t="shared" si="216"/>
        <v>-0.33</v>
      </c>
      <c r="J3482" s="2">
        <f t="shared" si="217"/>
        <v>0.1</v>
      </c>
      <c r="K3482" s="7">
        <f t="shared" si="218"/>
        <v>46235</v>
      </c>
      <c r="L3482" t="str">
        <f t="shared" si="219"/>
        <v>Q3-2026</v>
      </c>
    </row>
    <row r="3483" spans="1:12">
      <c r="A3483" s="6">
        <v>46259</v>
      </c>
      <c r="B3483" t="s">
        <v>10</v>
      </c>
      <c r="C3483" t="s">
        <v>11</v>
      </c>
      <c r="D3483" s="2">
        <v>2305</v>
      </c>
      <c r="E3483" s="2">
        <v>2313.5</v>
      </c>
      <c r="F3483" s="2">
        <v>2262</v>
      </c>
      <c r="G3483" s="2">
        <v>2296.199951171875</v>
      </c>
      <c r="H3483" s="3">
        <v>3041609</v>
      </c>
      <c r="I3483" s="4">
        <f t="shared" si="216"/>
        <v>-1.87</v>
      </c>
      <c r="J3483" s="2">
        <f t="shared" si="217"/>
        <v>17.3</v>
      </c>
      <c r="K3483" s="7">
        <f t="shared" si="218"/>
        <v>46235</v>
      </c>
      <c r="L3483" t="str">
        <f t="shared" si="219"/>
        <v>Q3-2026</v>
      </c>
    </row>
    <row r="3484" spans="1:12">
      <c r="A3484" s="6">
        <v>46259</v>
      </c>
      <c r="B3484" t="s">
        <v>12</v>
      </c>
      <c r="C3484" t="s">
        <v>13</v>
      </c>
      <c r="D3484" s="2">
        <v>1132</v>
      </c>
      <c r="E3484" s="2">
        <v>1144</v>
      </c>
      <c r="F3484" s="2">
        <v>1119.900024414062</v>
      </c>
      <c r="G3484" s="2">
        <v>1144</v>
      </c>
      <c r="H3484" s="3">
        <v>8121237</v>
      </c>
      <c r="I3484" s="4">
        <f t="shared" si="216"/>
        <v>-1.07</v>
      </c>
      <c r="J3484" s="2">
        <f t="shared" si="217"/>
        <v>0</v>
      </c>
      <c r="K3484" s="7">
        <f t="shared" si="218"/>
        <v>46235</v>
      </c>
      <c r="L3484" t="str">
        <f t="shared" si="219"/>
        <v>Q3-2026</v>
      </c>
    </row>
    <row r="3485" spans="1:12">
      <c r="A3485" s="6">
        <v>46259</v>
      </c>
      <c r="B3485" t="s">
        <v>14</v>
      </c>
      <c r="C3485" t="s">
        <v>15</v>
      </c>
      <c r="D3485" s="2">
        <v>726.5999755859375</v>
      </c>
      <c r="E3485" s="2">
        <v>728.70001220703125</v>
      </c>
      <c r="F3485" s="2">
        <v>722</v>
      </c>
      <c r="G3485" s="2">
        <v>727.5</v>
      </c>
      <c r="H3485" s="3">
        <v>17511874</v>
      </c>
      <c r="I3485" s="4">
        <f t="shared" si="216"/>
        <v>-0.63</v>
      </c>
      <c r="J3485" s="2">
        <f t="shared" si="217"/>
        <v>1.2</v>
      </c>
      <c r="K3485" s="7">
        <f t="shared" si="218"/>
        <v>46235</v>
      </c>
      <c r="L3485" t="str">
        <f t="shared" si="219"/>
        <v>Q3-2026</v>
      </c>
    </row>
    <row r="3486" spans="1:12">
      <c r="A3486" s="6">
        <v>46259</v>
      </c>
      <c r="B3486" t="s">
        <v>16</v>
      </c>
      <c r="C3486" t="s">
        <v>17</v>
      </c>
      <c r="D3486" s="2">
        <v>1408</v>
      </c>
      <c r="E3486" s="2">
        <v>1424.900024414062</v>
      </c>
      <c r="F3486" s="2">
        <v>1408</v>
      </c>
      <c r="G3486" s="2">
        <v>1422.699951171875</v>
      </c>
      <c r="H3486" s="3">
        <v>7983249</v>
      </c>
      <c r="I3486" s="4">
        <f t="shared" si="216"/>
        <v>0</v>
      </c>
      <c r="J3486" s="2">
        <f t="shared" si="217"/>
        <v>2.2000000000000002</v>
      </c>
      <c r="K3486" s="7">
        <f t="shared" si="218"/>
        <v>46235</v>
      </c>
      <c r="L3486" t="str">
        <f t="shared" si="219"/>
        <v>Q3-2026</v>
      </c>
    </row>
    <row r="3487" spans="1:12">
      <c r="A3487" s="6">
        <v>46259</v>
      </c>
      <c r="B3487" t="s">
        <v>18</v>
      </c>
      <c r="C3487" t="s">
        <v>19</v>
      </c>
      <c r="D3487" s="2">
        <v>181.28999328613281</v>
      </c>
      <c r="E3487" s="2">
        <v>181.28999328613281</v>
      </c>
      <c r="F3487" s="2">
        <v>178.38999938964841</v>
      </c>
      <c r="G3487" s="2">
        <v>180.0899963378906</v>
      </c>
      <c r="H3487" s="3">
        <v>8352475</v>
      </c>
      <c r="I3487" s="4">
        <f t="shared" si="216"/>
        <v>-1.6</v>
      </c>
      <c r="J3487" s="2">
        <f t="shared" si="217"/>
        <v>1.2</v>
      </c>
      <c r="K3487" s="7">
        <f t="shared" si="218"/>
        <v>46235</v>
      </c>
      <c r="L3487" t="str">
        <f t="shared" si="219"/>
        <v>Q3-2026</v>
      </c>
    </row>
    <row r="3488" spans="1:12">
      <c r="A3488" s="6">
        <v>46259</v>
      </c>
      <c r="B3488" t="s">
        <v>20</v>
      </c>
      <c r="C3488" t="s">
        <v>21</v>
      </c>
      <c r="D3488" s="2">
        <v>1322</v>
      </c>
      <c r="E3488" s="2">
        <v>1322.900024414062</v>
      </c>
      <c r="F3488" s="2">
        <v>1294.400024414062</v>
      </c>
      <c r="G3488" s="2">
        <v>1315.800048828125</v>
      </c>
      <c r="H3488" s="3">
        <v>1314934</v>
      </c>
      <c r="I3488" s="4">
        <f t="shared" si="216"/>
        <v>-2.09</v>
      </c>
      <c r="J3488" s="2">
        <f t="shared" si="217"/>
        <v>7.1</v>
      </c>
      <c r="K3488" s="7">
        <f t="shared" si="218"/>
        <v>46235</v>
      </c>
      <c r="L3488" t="str">
        <f t="shared" si="219"/>
        <v>Q3-2026</v>
      </c>
    </row>
    <row r="3489" spans="1:12">
      <c r="A3489" s="6">
        <v>46259</v>
      </c>
      <c r="B3489" t="s">
        <v>22</v>
      </c>
      <c r="C3489" t="s">
        <v>23</v>
      </c>
      <c r="D3489" s="2">
        <v>1077</v>
      </c>
      <c r="E3489" s="2">
        <v>1087.400024414062</v>
      </c>
      <c r="F3489" s="2">
        <v>1066.300048828125</v>
      </c>
      <c r="G3489" s="2">
        <v>1087.400024414062</v>
      </c>
      <c r="H3489" s="3">
        <v>2770499</v>
      </c>
      <c r="I3489" s="4">
        <f t="shared" si="216"/>
        <v>-0.99</v>
      </c>
      <c r="J3489" s="2">
        <f t="shared" si="217"/>
        <v>0</v>
      </c>
      <c r="K3489" s="7">
        <f t="shared" si="218"/>
        <v>46235</v>
      </c>
      <c r="L3489" t="str">
        <f t="shared" si="219"/>
        <v>Q3-2026</v>
      </c>
    </row>
    <row r="3490" spans="1:12">
      <c r="A3490" s="6">
        <v>46259</v>
      </c>
      <c r="B3490" t="s">
        <v>24</v>
      </c>
      <c r="C3490" t="s">
        <v>25</v>
      </c>
      <c r="D3490" s="2">
        <v>13609</v>
      </c>
      <c r="E3490" s="2">
        <v>13678</v>
      </c>
      <c r="F3490" s="2">
        <v>13450</v>
      </c>
      <c r="G3490" s="2">
        <v>13678</v>
      </c>
      <c r="H3490" s="3">
        <v>296429</v>
      </c>
      <c r="I3490" s="4">
        <f t="shared" si="216"/>
        <v>-1.17</v>
      </c>
      <c r="J3490" s="2">
        <f t="shared" si="217"/>
        <v>0</v>
      </c>
      <c r="K3490" s="7">
        <f t="shared" si="218"/>
        <v>46235</v>
      </c>
      <c r="L3490" t="str">
        <f t="shared" si="219"/>
        <v>Q3-2026</v>
      </c>
    </row>
    <row r="3491" spans="1:12">
      <c r="A3491" s="6">
        <v>46259</v>
      </c>
      <c r="B3491" t="s">
        <v>26</v>
      </c>
      <c r="C3491" t="s">
        <v>27</v>
      </c>
      <c r="D3491" s="2">
        <v>314.89999389648438</v>
      </c>
      <c r="E3491" s="2">
        <v>314.89999389648438</v>
      </c>
      <c r="F3491" s="2">
        <v>310.54998779296881</v>
      </c>
      <c r="G3491" s="2">
        <v>314.25</v>
      </c>
      <c r="H3491" s="3">
        <v>10984458</v>
      </c>
      <c r="I3491" s="4">
        <f t="shared" si="216"/>
        <v>-1.38</v>
      </c>
      <c r="J3491" s="2">
        <f t="shared" si="217"/>
        <v>0.65</v>
      </c>
      <c r="K3491" s="7">
        <f t="shared" si="218"/>
        <v>46235</v>
      </c>
      <c r="L3491" t="str">
        <f t="shared" si="219"/>
        <v>Q3-2026</v>
      </c>
    </row>
    <row r="3492" spans="1:12">
      <c r="A3492" s="6">
        <v>46259</v>
      </c>
      <c r="B3492" t="s">
        <v>28</v>
      </c>
      <c r="C3492" t="s">
        <v>29</v>
      </c>
      <c r="D3492" s="2">
        <v>1906.5</v>
      </c>
      <c r="E3492" s="2">
        <v>1922</v>
      </c>
      <c r="F3492" s="2">
        <v>1896.199951171875</v>
      </c>
      <c r="G3492" s="2">
        <v>1922</v>
      </c>
      <c r="H3492" s="3">
        <v>1221044</v>
      </c>
      <c r="I3492" s="4">
        <f t="shared" si="216"/>
        <v>-0.54</v>
      </c>
      <c r="J3492" s="2">
        <f t="shared" si="217"/>
        <v>0</v>
      </c>
      <c r="K3492" s="7">
        <f t="shared" si="218"/>
        <v>46235</v>
      </c>
      <c r="L3492" t="str">
        <f t="shared" si="219"/>
        <v>Q3-2026</v>
      </c>
    </row>
    <row r="3493" spans="1:12">
      <c r="A3493" s="6">
        <v>46259</v>
      </c>
      <c r="B3493" t="s">
        <v>30</v>
      </c>
      <c r="C3493" t="s">
        <v>31</v>
      </c>
      <c r="D3493" s="2">
        <v>2631</v>
      </c>
      <c r="E3493" s="2">
        <v>2640</v>
      </c>
      <c r="F3493" s="2">
        <v>2605.199951171875</v>
      </c>
      <c r="G3493" s="2">
        <v>2639.800048828125</v>
      </c>
      <c r="H3493" s="3">
        <v>479480</v>
      </c>
      <c r="I3493" s="4">
        <f t="shared" si="216"/>
        <v>-0.98</v>
      </c>
      <c r="J3493" s="2">
        <f t="shared" si="217"/>
        <v>0.2</v>
      </c>
      <c r="K3493" s="7">
        <f t="shared" si="218"/>
        <v>46235</v>
      </c>
      <c r="L3493" t="str">
        <f t="shared" si="219"/>
        <v>Q3-2026</v>
      </c>
    </row>
    <row r="3494" spans="1:12">
      <c r="A3494" s="6">
        <v>46259</v>
      </c>
      <c r="B3494" t="s">
        <v>32</v>
      </c>
      <c r="C3494" t="s">
        <v>33</v>
      </c>
      <c r="D3494" s="2">
        <v>2024</v>
      </c>
      <c r="E3494" s="2">
        <v>2029.199951171875</v>
      </c>
      <c r="F3494" s="2">
        <v>2012</v>
      </c>
      <c r="G3494" s="2">
        <v>2024.199951171875</v>
      </c>
      <c r="H3494" s="3">
        <v>1019583</v>
      </c>
      <c r="I3494" s="4">
        <f t="shared" si="216"/>
        <v>-0.59</v>
      </c>
      <c r="J3494" s="2">
        <f t="shared" si="217"/>
        <v>5</v>
      </c>
      <c r="K3494" s="7">
        <f t="shared" si="218"/>
        <v>46235</v>
      </c>
      <c r="L3494" t="str">
        <f t="shared" si="219"/>
        <v>Q3-2026</v>
      </c>
    </row>
    <row r="3495" spans="1:12">
      <c r="A3495" s="6">
        <v>46259</v>
      </c>
      <c r="B3495" t="s">
        <v>34</v>
      </c>
      <c r="C3495" t="s">
        <v>35</v>
      </c>
      <c r="D3495" s="2">
        <v>4085</v>
      </c>
      <c r="E3495" s="2">
        <v>4125.2998046875</v>
      </c>
      <c r="F3495" s="2">
        <v>4066.60009765625</v>
      </c>
      <c r="G3495" s="2">
        <v>4119</v>
      </c>
      <c r="H3495" s="3">
        <v>1316074</v>
      </c>
      <c r="I3495" s="4">
        <f t="shared" si="216"/>
        <v>-0.45</v>
      </c>
      <c r="J3495" s="2">
        <f t="shared" si="217"/>
        <v>6.3</v>
      </c>
      <c r="K3495" s="7">
        <f t="shared" si="218"/>
        <v>46235</v>
      </c>
      <c r="L3495" t="str">
        <f t="shared" si="219"/>
        <v>Q3-2026</v>
      </c>
    </row>
    <row r="3496" spans="1:12">
      <c r="A3496" s="6">
        <v>46259</v>
      </c>
      <c r="B3496" t="s">
        <v>36</v>
      </c>
      <c r="C3496" t="s">
        <v>37</v>
      </c>
      <c r="D3496" s="2">
        <v>1236.099975585938</v>
      </c>
      <c r="E3496" s="2">
        <v>1240.5</v>
      </c>
      <c r="F3496" s="2">
        <v>1229.800048828125</v>
      </c>
      <c r="G3496" s="2">
        <v>1235</v>
      </c>
      <c r="H3496" s="3">
        <v>3606504</v>
      </c>
      <c r="I3496" s="4">
        <f t="shared" si="216"/>
        <v>-0.51</v>
      </c>
      <c r="J3496" s="2">
        <f t="shared" si="217"/>
        <v>5.5</v>
      </c>
      <c r="K3496" s="7">
        <f t="shared" si="218"/>
        <v>46235</v>
      </c>
      <c r="L3496" t="str">
        <f t="shared" si="219"/>
        <v>Q3-2026</v>
      </c>
    </row>
    <row r="3497" spans="1:12">
      <c r="A3497" s="6">
        <v>46260</v>
      </c>
      <c r="B3497" t="s">
        <v>8</v>
      </c>
      <c r="C3497" t="s">
        <v>9</v>
      </c>
      <c r="D3497" s="2">
        <v>1310</v>
      </c>
      <c r="E3497" s="2">
        <v>1315.599975585938</v>
      </c>
      <c r="F3497" s="2">
        <v>1298</v>
      </c>
      <c r="G3497" s="2">
        <v>1298</v>
      </c>
      <c r="H3497" s="3">
        <v>5744474</v>
      </c>
      <c r="I3497" s="4">
        <f t="shared" si="216"/>
        <v>-0.92</v>
      </c>
      <c r="J3497" s="2">
        <f t="shared" si="217"/>
        <v>17.600000000000001</v>
      </c>
      <c r="K3497" s="7">
        <f t="shared" si="218"/>
        <v>46235</v>
      </c>
      <c r="L3497" t="str">
        <f t="shared" si="219"/>
        <v>Q3-2026</v>
      </c>
    </row>
    <row r="3498" spans="1:12">
      <c r="A3498" s="6">
        <v>46260</v>
      </c>
      <c r="B3498" t="s">
        <v>10</v>
      </c>
      <c r="C3498" t="s">
        <v>11</v>
      </c>
      <c r="D3498" s="2">
        <v>2305.10009765625</v>
      </c>
      <c r="E3498" s="2">
        <v>2306.300048828125</v>
      </c>
      <c r="F3498" s="2">
        <v>2266.39990234375</v>
      </c>
      <c r="G3498" s="2">
        <v>2270</v>
      </c>
      <c r="H3498" s="3">
        <v>1660737</v>
      </c>
      <c r="I3498" s="4">
        <f t="shared" si="216"/>
        <v>-1.68</v>
      </c>
      <c r="J3498" s="2">
        <f t="shared" si="217"/>
        <v>36.299999999999997</v>
      </c>
      <c r="K3498" s="7">
        <f t="shared" si="218"/>
        <v>46235</v>
      </c>
      <c r="L3498" t="str">
        <f t="shared" si="219"/>
        <v>Q3-2026</v>
      </c>
    </row>
    <row r="3499" spans="1:12">
      <c r="A3499" s="6">
        <v>46260</v>
      </c>
      <c r="B3499" t="s">
        <v>12</v>
      </c>
      <c r="C3499" t="s">
        <v>13</v>
      </c>
      <c r="D3499" s="2">
        <v>1142</v>
      </c>
      <c r="E3499" s="2">
        <v>1142</v>
      </c>
      <c r="F3499" s="2">
        <v>1118.300048828125</v>
      </c>
      <c r="G3499" s="2">
        <v>1120</v>
      </c>
      <c r="H3499" s="3">
        <v>6323984</v>
      </c>
      <c r="I3499" s="4">
        <f t="shared" si="216"/>
        <v>-2.08</v>
      </c>
      <c r="J3499" s="2">
        <f t="shared" si="217"/>
        <v>22</v>
      </c>
      <c r="K3499" s="7">
        <f t="shared" si="218"/>
        <v>46235</v>
      </c>
      <c r="L3499" t="str">
        <f t="shared" si="219"/>
        <v>Q3-2026</v>
      </c>
    </row>
    <row r="3500" spans="1:12">
      <c r="A3500" s="6">
        <v>46260</v>
      </c>
      <c r="B3500" t="s">
        <v>14</v>
      </c>
      <c r="C3500" t="s">
        <v>15</v>
      </c>
      <c r="D3500" s="2">
        <v>728</v>
      </c>
      <c r="E3500" s="2">
        <v>731</v>
      </c>
      <c r="F3500" s="2">
        <v>724.1500244140625</v>
      </c>
      <c r="G3500" s="2">
        <v>727.20001220703125</v>
      </c>
      <c r="H3500" s="3">
        <v>21156463</v>
      </c>
      <c r="I3500" s="4">
        <f t="shared" si="216"/>
        <v>-0.53</v>
      </c>
      <c r="J3500" s="2">
        <f t="shared" si="217"/>
        <v>3.8</v>
      </c>
      <c r="K3500" s="7">
        <f t="shared" si="218"/>
        <v>46235</v>
      </c>
      <c r="L3500" t="str">
        <f t="shared" si="219"/>
        <v>Q3-2026</v>
      </c>
    </row>
    <row r="3501" spans="1:12">
      <c r="A3501" s="6">
        <v>46260</v>
      </c>
      <c r="B3501" t="s">
        <v>16</v>
      </c>
      <c r="C3501" t="s">
        <v>17</v>
      </c>
      <c r="D3501" s="2">
        <v>1423.099975585938</v>
      </c>
      <c r="E3501" s="2">
        <v>1446</v>
      </c>
      <c r="F3501" s="2">
        <v>1423.099975585938</v>
      </c>
      <c r="G3501" s="2">
        <v>1430</v>
      </c>
      <c r="H3501" s="3">
        <v>4177066</v>
      </c>
      <c r="I3501" s="4">
        <f t="shared" si="216"/>
        <v>0</v>
      </c>
      <c r="J3501" s="2">
        <f t="shared" si="217"/>
        <v>16</v>
      </c>
      <c r="K3501" s="7">
        <f t="shared" si="218"/>
        <v>46235</v>
      </c>
      <c r="L3501" t="str">
        <f t="shared" si="219"/>
        <v>Q3-2026</v>
      </c>
    </row>
    <row r="3502" spans="1:12">
      <c r="A3502" s="6">
        <v>46260</v>
      </c>
      <c r="B3502" t="s">
        <v>18</v>
      </c>
      <c r="C3502" t="s">
        <v>19</v>
      </c>
      <c r="D3502" s="2">
        <v>180.0899963378906</v>
      </c>
      <c r="E3502" s="2">
        <v>180.94999694824219</v>
      </c>
      <c r="F3502" s="2">
        <v>176.6600036621094</v>
      </c>
      <c r="G3502" s="2">
        <v>177.3500061035156</v>
      </c>
      <c r="H3502" s="3">
        <v>9355776</v>
      </c>
      <c r="I3502" s="4">
        <f t="shared" si="216"/>
        <v>-1.9</v>
      </c>
      <c r="J3502" s="2">
        <f t="shared" si="217"/>
        <v>3.6</v>
      </c>
      <c r="K3502" s="7">
        <f t="shared" si="218"/>
        <v>46235</v>
      </c>
      <c r="L3502" t="str">
        <f t="shared" si="219"/>
        <v>Q3-2026</v>
      </c>
    </row>
    <row r="3503" spans="1:12">
      <c r="A3503" s="6">
        <v>46260</v>
      </c>
      <c r="B3503" t="s">
        <v>20</v>
      </c>
      <c r="C3503" t="s">
        <v>21</v>
      </c>
      <c r="D3503" s="2">
        <v>1319.5</v>
      </c>
      <c r="E3503" s="2">
        <v>1323</v>
      </c>
      <c r="F3503" s="2">
        <v>1296.599975585938</v>
      </c>
      <c r="G3503" s="2">
        <v>1298.5</v>
      </c>
      <c r="H3503" s="3">
        <v>834925</v>
      </c>
      <c r="I3503" s="4">
        <f t="shared" si="216"/>
        <v>-1.74</v>
      </c>
      <c r="J3503" s="2">
        <f t="shared" si="217"/>
        <v>24.5</v>
      </c>
      <c r="K3503" s="7">
        <f t="shared" si="218"/>
        <v>46235</v>
      </c>
      <c r="L3503" t="str">
        <f t="shared" si="219"/>
        <v>Q3-2026</v>
      </c>
    </row>
    <row r="3504" spans="1:12">
      <c r="A3504" s="6">
        <v>46260</v>
      </c>
      <c r="B3504" t="s">
        <v>22</v>
      </c>
      <c r="C3504" t="s">
        <v>23</v>
      </c>
      <c r="D3504" s="2">
        <v>1083.300048828125</v>
      </c>
      <c r="E3504" s="2">
        <v>1095</v>
      </c>
      <c r="F3504" s="2">
        <v>1082.400024414062</v>
      </c>
      <c r="G3504" s="2">
        <v>1085</v>
      </c>
      <c r="H3504" s="3">
        <v>3234877</v>
      </c>
      <c r="I3504" s="4">
        <f t="shared" si="216"/>
        <v>-0.08</v>
      </c>
      <c r="J3504" s="2">
        <f t="shared" si="217"/>
        <v>10</v>
      </c>
      <c r="K3504" s="7">
        <f t="shared" si="218"/>
        <v>46235</v>
      </c>
      <c r="L3504" t="str">
        <f t="shared" si="219"/>
        <v>Q3-2026</v>
      </c>
    </row>
    <row r="3505" spans="1:12">
      <c r="A3505" s="6">
        <v>46260</v>
      </c>
      <c r="B3505" t="s">
        <v>24</v>
      </c>
      <c r="C3505" t="s">
        <v>25</v>
      </c>
      <c r="D3505" s="2">
        <v>13750</v>
      </c>
      <c r="E3505" s="2">
        <v>13750</v>
      </c>
      <c r="F3505" s="2">
        <v>13514</v>
      </c>
      <c r="G3505" s="2">
        <v>13520</v>
      </c>
      <c r="H3505" s="3">
        <v>197113</v>
      </c>
      <c r="I3505" s="4">
        <f t="shared" si="216"/>
        <v>-1.72</v>
      </c>
      <c r="J3505" s="2">
        <f t="shared" si="217"/>
        <v>230</v>
      </c>
      <c r="K3505" s="7">
        <f t="shared" si="218"/>
        <v>46235</v>
      </c>
      <c r="L3505" t="str">
        <f t="shared" si="219"/>
        <v>Q3-2026</v>
      </c>
    </row>
    <row r="3506" spans="1:12">
      <c r="A3506" s="6">
        <v>46260</v>
      </c>
      <c r="B3506" t="s">
        <v>26</v>
      </c>
      <c r="C3506" t="s">
        <v>27</v>
      </c>
      <c r="D3506" s="2">
        <v>316</v>
      </c>
      <c r="E3506" s="2">
        <v>316.39999389648438</v>
      </c>
      <c r="F3506" s="2">
        <v>313.10000610351563</v>
      </c>
      <c r="G3506" s="2">
        <v>313.10000610351563</v>
      </c>
      <c r="H3506" s="3">
        <v>5791487</v>
      </c>
      <c r="I3506" s="4">
        <f t="shared" si="216"/>
        <v>-0.92</v>
      </c>
      <c r="J3506" s="2">
        <f t="shared" si="217"/>
        <v>3.3</v>
      </c>
      <c r="K3506" s="7">
        <f t="shared" si="218"/>
        <v>46235</v>
      </c>
      <c r="L3506" t="str">
        <f t="shared" si="219"/>
        <v>Q3-2026</v>
      </c>
    </row>
    <row r="3507" spans="1:12">
      <c r="A3507" s="6">
        <v>46260</v>
      </c>
      <c r="B3507" t="s">
        <v>28</v>
      </c>
      <c r="C3507" t="s">
        <v>29</v>
      </c>
      <c r="D3507" s="2">
        <v>1926.900024414062</v>
      </c>
      <c r="E3507" s="2">
        <v>1926.900024414062</v>
      </c>
      <c r="F3507" s="2">
        <v>1899.5</v>
      </c>
      <c r="G3507" s="2">
        <v>1899.5</v>
      </c>
      <c r="H3507" s="3">
        <v>648845</v>
      </c>
      <c r="I3507" s="4">
        <f t="shared" si="216"/>
        <v>-1.42</v>
      </c>
      <c r="J3507" s="2">
        <f t="shared" si="217"/>
        <v>27.4</v>
      </c>
      <c r="K3507" s="7">
        <f t="shared" si="218"/>
        <v>46235</v>
      </c>
      <c r="L3507" t="str">
        <f t="shared" si="219"/>
        <v>Q3-2026</v>
      </c>
    </row>
    <row r="3508" spans="1:12">
      <c r="A3508" s="6">
        <v>46260</v>
      </c>
      <c r="B3508" t="s">
        <v>30</v>
      </c>
      <c r="C3508" t="s">
        <v>31</v>
      </c>
      <c r="D3508" s="2">
        <v>2660.89990234375</v>
      </c>
      <c r="E3508" s="2">
        <v>2678.699951171875</v>
      </c>
      <c r="F3508" s="2">
        <v>2626.5</v>
      </c>
      <c r="G3508" s="2">
        <v>2626.5</v>
      </c>
      <c r="H3508" s="3">
        <v>339110</v>
      </c>
      <c r="I3508" s="4">
        <f t="shared" si="216"/>
        <v>-1.29</v>
      </c>
      <c r="J3508" s="2">
        <f t="shared" si="217"/>
        <v>52.2</v>
      </c>
      <c r="K3508" s="7">
        <f t="shared" si="218"/>
        <v>46235</v>
      </c>
      <c r="L3508" t="str">
        <f t="shared" si="219"/>
        <v>Q3-2026</v>
      </c>
    </row>
    <row r="3509" spans="1:12">
      <c r="A3509" s="6">
        <v>46260</v>
      </c>
      <c r="B3509" t="s">
        <v>32</v>
      </c>
      <c r="C3509" t="s">
        <v>33</v>
      </c>
      <c r="D3509" s="2">
        <v>2030.300048828125</v>
      </c>
      <c r="E3509" s="2">
        <v>2051.89990234375</v>
      </c>
      <c r="F3509" s="2">
        <v>2021</v>
      </c>
      <c r="G3509" s="2">
        <v>2021</v>
      </c>
      <c r="H3509" s="3">
        <v>765343</v>
      </c>
      <c r="I3509" s="4">
        <f t="shared" si="216"/>
        <v>-0.46</v>
      </c>
      <c r="J3509" s="2">
        <f t="shared" si="217"/>
        <v>30.9</v>
      </c>
      <c r="K3509" s="7">
        <f t="shared" si="218"/>
        <v>46235</v>
      </c>
      <c r="L3509" t="str">
        <f t="shared" si="219"/>
        <v>Q3-2026</v>
      </c>
    </row>
    <row r="3510" spans="1:12">
      <c r="A3510" s="6">
        <v>46260</v>
      </c>
      <c r="B3510" t="s">
        <v>34</v>
      </c>
      <c r="C3510" t="s">
        <v>35</v>
      </c>
      <c r="D3510" s="2">
        <v>4114</v>
      </c>
      <c r="E3510" s="2">
        <v>4124.89990234375</v>
      </c>
      <c r="F3510" s="2">
        <v>4038.10009765625</v>
      </c>
      <c r="G3510" s="2">
        <v>4038.10009765625</v>
      </c>
      <c r="H3510" s="3">
        <v>1384669</v>
      </c>
      <c r="I3510" s="4">
        <f t="shared" si="216"/>
        <v>-1.84</v>
      </c>
      <c r="J3510" s="2">
        <f t="shared" si="217"/>
        <v>86.8</v>
      </c>
      <c r="K3510" s="7">
        <f t="shared" si="218"/>
        <v>46235</v>
      </c>
      <c r="L3510" t="str">
        <f t="shared" si="219"/>
        <v>Q3-2026</v>
      </c>
    </row>
    <row r="3511" spans="1:12">
      <c r="A3511" s="6">
        <v>46260</v>
      </c>
      <c r="B3511" t="s">
        <v>36</v>
      </c>
      <c r="C3511" t="s">
        <v>37</v>
      </c>
      <c r="D3511" s="2">
        <v>1240.099975585938</v>
      </c>
      <c r="E3511" s="2">
        <v>1257.699951171875</v>
      </c>
      <c r="F3511" s="2">
        <v>1238.199951171875</v>
      </c>
      <c r="G3511" s="2">
        <v>1255</v>
      </c>
      <c r="H3511" s="3">
        <v>3298266</v>
      </c>
      <c r="I3511" s="4">
        <f t="shared" si="216"/>
        <v>-0.15</v>
      </c>
      <c r="J3511" s="2">
        <f t="shared" si="217"/>
        <v>2.7</v>
      </c>
      <c r="K3511" s="7">
        <f t="shared" si="218"/>
        <v>46235</v>
      </c>
      <c r="L3511" t="str">
        <f t="shared" si="219"/>
        <v>Q3-2026</v>
      </c>
    </row>
    <row r="3512" spans="1:12">
      <c r="A3512" s="6">
        <v>46261</v>
      </c>
      <c r="B3512" t="s">
        <v>8</v>
      </c>
      <c r="C3512" t="s">
        <v>9</v>
      </c>
      <c r="D3512" s="2">
        <v>1305</v>
      </c>
      <c r="E3512" s="2">
        <v>1308.400024414062</v>
      </c>
      <c r="F3512" s="2">
        <v>1282.199951171875</v>
      </c>
      <c r="G3512" s="2">
        <v>1282.199951171875</v>
      </c>
      <c r="H3512" s="3">
        <v>11271497</v>
      </c>
      <c r="I3512" s="4">
        <f t="shared" si="216"/>
        <v>-1.75</v>
      </c>
      <c r="J3512" s="2">
        <f t="shared" si="217"/>
        <v>26.2</v>
      </c>
      <c r="K3512" s="7">
        <f t="shared" si="218"/>
        <v>46235</v>
      </c>
      <c r="L3512" t="str">
        <f t="shared" si="219"/>
        <v>Q3-2026</v>
      </c>
    </row>
    <row r="3513" spans="1:12">
      <c r="A3513" s="6">
        <v>46261</v>
      </c>
      <c r="B3513" t="s">
        <v>10</v>
      </c>
      <c r="C3513" t="s">
        <v>11</v>
      </c>
      <c r="D3513" s="2">
        <v>2270</v>
      </c>
      <c r="E3513" s="2">
        <v>2283.60009765625</v>
      </c>
      <c r="F3513" s="2">
        <v>2243.89990234375</v>
      </c>
      <c r="G3513" s="2">
        <v>2248.39990234375</v>
      </c>
      <c r="H3513" s="3">
        <v>1709113</v>
      </c>
      <c r="I3513" s="4">
        <f t="shared" si="216"/>
        <v>-1.1499999999999999</v>
      </c>
      <c r="J3513" s="2">
        <f t="shared" si="217"/>
        <v>35.200000000000003</v>
      </c>
      <c r="K3513" s="7">
        <f t="shared" si="218"/>
        <v>46235</v>
      </c>
      <c r="L3513" t="str">
        <f t="shared" si="219"/>
        <v>Q3-2026</v>
      </c>
    </row>
    <row r="3514" spans="1:12">
      <c r="A3514" s="6">
        <v>46261</v>
      </c>
      <c r="B3514" t="s">
        <v>12</v>
      </c>
      <c r="C3514" t="s">
        <v>13</v>
      </c>
      <c r="D3514" s="2">
        <v>1120</v>
      </c>
      <c r="E3514" s="2">
        <v>1130.699951171875</v>
      </c>
      <c r="F3514" s="2">
        <v>1107.199951171875</v>
      </c>
      <c r="G3514" s="2">
        <v>1110.800048828125</v>
      </c>
      <c r="H3514" s="3">
        <v>6933998</v>
      </c>
      <c r="I3514" s="4">
        <f t="shared" si="216"/>
        <v>-1.1399999999999999</v>
      </c>
      <c r="J3514" s="2">
        <f t="shared" si="217"/>
        <v>19.899999999999999</v>
      </c>
      <c r="K3514" s="7">
        <f t="shared" si="218"/>
        <v>46235</v>
      </c>
      <c r="L3514" t="str">
        <f t="shared" si="219"/>
        <v>Q3-2026</v>
      </c>
    </row>
    <row r="3515" spans="1:12">
      <c r="A3515" s="6">
        <v>46261</v>
      </c>
      <c r="B3515" t="s">
        <v>14</v>
      </c>
      <c r="C3515" t="s">
        <v>15</v>
      </c>
      <c r="D3515" s="2">
        <v>728.1500244140625</v>
      </c>
      <c r="E3515" s="2">
        <v>728.1500244140625</v>
      </c>
      <c r="F3515" s="2">
        <v>710</v>
      </c>
      <c r="G3515" s="2">
        <v>711</v>
      </c>
      <c r="H3515" s="3">
        <v>46515020</v>
      </c>
      <c r="I3515" s="4">
        <f t="shared" si="216"/>
        <v>-2.4900000000000002</v>
      </c>
      <c r="J3515" s="2">
        <f t="shared" si="217"/>
        <v>17.149999999999999</v>
      </c>
      <c r="K3515" s="7">
        <f t="shared" si="218"/>
        <v>46235</v>
      </c>
      <c r="L3515" t="str">
        <f t="shared" si="219"/>
        <v>Q3-2026</v>
      </c>
    </row>
    <row r="3516" spans="1:12">
      <c r="A3516" s="6">
        <v>46261</v>
      </c>
      <c r="B3516" t="s">
        <v>16</v>
      </c>
      <c r="C3516" t="s">
        <v>17</v>
      </c>
      <c r="D3516" s="2">
        <v>1445</v>
      </c>
      <c r="E3516" s="2">
        <v>1453.800048828125</v>
      </c>
      <c r="F3516" s="2">
        <v>1433.099975585938</v>
      </c>
      <c r="G3516" s="2">
        <v>1443</v>
      </c>
      <c r="H3516" s="3">
        <v>11539716</v>
      </c>
      <c r="I3516" s="4">
        <f t="shared" si="216"/>
        <v>-0.82</v>
      </c>
      <c r="J3516" s="2">
        <f t="shared" si="217"/>
        <v>10.8</v>
      </c>
      <c r="K3516" s="7">
        <f t="shared" si="218"/>
        <v>46235</v>
      </c>
      <c r="L3516" t="str">
        <f t="shared" si="219"/>
        <v>Q3-2026</v>
      </c>
    </row>
    <row r="3517" spans="1:12">
      <c r="A3517" s="6">
        <v>46261</v>
      </c>
      <c r="B3517" t="s">
        <v>18</v>
      </c>
      <c r="C3517" t="s">
        <v>19</v>
      </c>
      <c r="D3517" s="2">
        <v>177.3500061035156</v>
      </c>
      <c r="E3517" s="2">
        <v>178.69999694824219</v>
      </c>
      <c r="F3517" s="2">
        <v>176.3999938964844</v>
      </c>
      <c r="G3517" s="2">
        <v>176.3999938964844</v>
      </c>
      <c r="H3517" s="3">
        <v>4695019</v>
      </c>
      <c r="I3517" s="4">
        <f t="shared" si="216"/>
        <v>-0.54</v>
      </c>
      <c r="J3517" s="2">
        <f t="shared" si="217"/>
        <v>2.2999999999999998</v>
      </c>
      <c r="K3517" s="7">
        <f t="shared" si="218"/>
        <v>46235</v>
      </c>
      <c r="L3517" t="str">
        <f t="shared" si="219"/>
        <v>Q3-2026</v>
      </c>
    </row>
    <row r="3518" spans="1:12">
      <c r="A3518" s="6">
        <v>46261</v>
      </c>
      <c r="B3518" t="s">
        <v>20</v>
      </c>
      <c r="C3518" t="s">
        <v>21</v>
      </c>
      <c r="D3518" s="2">
        <v>1295</v>
      </c>
      <c r="E3518" s="2">
        <v>1304.699951171875</v>
      </c>
      <c r="F3518" s="2">
        <v>1280</v>
      </c>
      <c r="G3518" s="2">
        <v>1282</v>
      </c>
      <c r="H3518" s="3">
        <v>1936771</v>
      </c>
      <c r="I3518" s="4">
        <f t="shared" si="216"/>
        <v>-1.1599999999999999</v>
      </c>
      <c r="J3518" s="2">
        <f t="shared" si="217"/>
        <v>22.7</v>
      </c>
      <c r="K3518" s="7">
        <f t="shared" si="218"/>
        <v>46235</v>
      </c>
      <c r="L3518" t="str">
        <f t="shared" si="219"/>
        <v>Q3-2026</v>
      </c>
    </row>
    <row r="3519" spans="1:12">
      <c r="A3519" s="6">
        <v>46261</v>
      </c>
      <c r="B3519" t="s">
        <v>22</v>
      </c>
      <c r="C3519" t="s">
        <v>23</v>
      </c>
      <c r="D3519" s="2">
        <v>1090</v>
      </c>
      <c r="E3519" s="2">
        <v>1107</v>
      </c>
      <c r="F3519" s="2">
        <v>1083</v>
      </c>
      <c r="G3519" s="2">
        <v>1083</v>
      </c>
      <c r="H3519" s="3">
        <v>5220239</v>
      </c>
      <c r="I3519" s="4">
        <f t="shared" si="216"/>
        <v>-0.64</v>
      </c>
      <c r="J3519" s="2">
        <f t="shared" si="217"/>
        <v>24</v>
      </c>
      <c r="K3519" s="7">
        <f t="shared" si="218"/>
        <v>46235</v>
      </c>
      <c r="L3519" t="str">
        <f t="shared" si="219"/>
        <v>Q3-2026</v>
      </c>
    </row>
    <row r="3520" spans="1:12">
      <c r="A3520" s="6">
        <v>46261</v>
      </c>
      <c r="B3520" t="s">
        <v>24</v>
      </c>
      <c r="C3520" t="s">
        <v>25</v>
      </c>
      <c r="D3520" s="2">
        <v>13520</v>
      </c>
      <c r="E3520" s="2">
        <v>13580</v>
      </c>
      <c r="F3520" s="2">
        <v>13404</v>
      </c>
      <c r="G3520" s="2">
        <v>13440</v>
      </c>
      <c r="H3520" s="3">
        <v>315555</v>
      </c>
      <c r="I3520" s="4">
        <f t="shared" si="216"/>
        <v>-0.86</v>
      </c>
      <c r="J3520" s="2">
        <f t="shared" si="217"/>
        <v>140</v>
      </c>
      <c r="K3520" s="7">
        <f t="shared" si="218"/>
        <v>46235</v>
      </c>
      <c r="L3520" t="str">
        <f t="shared" si="219"/>
        <v>Q3-2026</v>
      </c>
    </row>
    <row r="3521" spans="1:12">
      <c r="A3521" s="6">
        <v>46261</v>
      </c>
      <c r="B3521" t="s">
        <v>26</v>
      </c>
      <c r="C3521" t="s">
        <v>27</v>
      </c>
      <c r="D3521" s="2">
        <v>315</v>
      </c>
      <c r="E3521" s="2">
        <v>319.60000610351563</v>
      </c>
      <c r="F3521" s="2">
        <v>314.14999389648438</v>
      </c>
      <c r="G3521" s="2">
        <v>316</v>
      </c>
      <c r="H3521" s="3">
        <v>8028070</v>
      </c>
      <c r="I3521" s="4">
        <f t="shared" si="216"/>
        <v>-0.27</v>
      </c>
      <c r="J3521" s="2">
        <f t="shared" si="217"/>
        <v>3.6</v>
      </c>
      <c r="K3521" s="7">
        <f t="shared" si="218"/>
        <v>46235</v>
      </c>
      <c r="L3521" t="str">
        <f t="shared" si="219"/>
        <v>Q3-2026</v>
      </c>
    </row>
    <row r="3522" spans="1:12">
      <c r="A3522" s="6">
        <v>46261</v>
      </c>
      <c r="B3522" t="s">
        <v>28</v>
      </c>
      <c r="C3522" t="s">
        <v>29</v>
      </c>
      <c r="D3522" s="2">
        <v>1907.099975585938</v>
      </c>
      <c r="E3522" s="2">
        <v>1925</v>
      </c>
      <c r="F3522" s="2">
        <v>1898</v>
      </c>
      <c r="G3522" s="2">
        <v>1913.300048828125</v>
      </c>
      <c r="H3522" s="3">
        <v>1107552</v>
      </c>
      <c r="I3522" s="4">
        <f t="shared" ref="I3522:I3585" si="220">ROUND(((F3522-D3522)/D3522)*100, 2)</f>
        <v>-0.48</v>
      </c>
      <c r="J3522" s="2">
        <f t="shared" ref="J3522:J3585" si="221">ROUND(E3522-G3522, 2)</f>
        <v>11.7</v>
      </c>
      <c r="K3522" s="7">
        <f t="shared" ref="K3522:K3585" si="222">DATE(YEAR(A3522),MONTH(A3522),1)</f>
        <v>46235</v>
      </c>
      <c r="L3522" t="str">
        <f t="shared" ref="L3522:L3585" si="223">"Q"&amp;INT((MONTH(A3522)-1)/3)+1&amp;"-"&amp;YEAR(A3522)</f>
        <v>Q3-2026</v>
      </c>
    </row>
    <row r="3523" spans="1:12">
      <c r="A3523" s="6">
        <v>46261</v>
      </c>
      <c r="B3523" t="s">
        <v>30</v>
      </c>
      <c r="C3523" t="s">
        <v>31</v>
      </c>
      <c r="D3523" s="2">
        <v>2637.89990234375</v>
      </c>
      <c r="E3523" s="2">
        <v>2655.89990234375</v>
      </c>
      <c r="F3523" s="2">
        <v>2627.89990234375</v>
      </c>
      <c r="G3523" s="2">
        <v>2631</v>
      </c>
      <c r="H3523" s="3">
        <v>525106</v>
      </c>
      <c r="I3523" s="4">
        <f t="shared" si="220"/>
        <v>-0.38</v>
      </c>
      <c r="J3523" s="2">
        <f t="shared" si="221"/>
        <v>24.9</v>
      </c>
      <c r="K3523" s="7">
        <f t="shared" si="222"/>
        <v>46235</v>
      </c>
      <c r="L3523" t="str">
        <f t="shared" si="223"/>
        <v>Q3-2026</v>
      </c>
    </row>
    <row r="3524" spans="1:12">
      <c r="A3524" s="6">
        <v>46261</v>
      </c>
      <c r="B3524" t="s">
        <v>32</v>
      </c>
      <c r="C3524" t="s">
        <v>33</v>
      </c>
      <c r="D3524" s="2">
        <v>2020</v>
      </c>
      <c r="E3524" s="2">
        <v>2028</v>
      </c>
      <c r="F3524" s="2">
        <v>2004.300048828125</v>
      </c>
      <c r="G3524" s="2">
        <v>2009</v>
      </c>
      <c r="H3524" s="3">
        <v>989046</v>
      </c>
      <c r="I3524" s="4">
        <f t="shared" si="220"/>
        <v>-0.78</v>
      </c>
      <c r="J3524" s="2">
        <f t="shared" si="221"/>
        <v>19</v>
      </c>
      <c r="K3524" s="7">
        <f t="shared" si="222"/>
        <v>46235</v>
      </c>
      <c r="L3524" t="str">
        <f t="shared" si="223"/>
        <v>Q3-2026</v>
      </c>
    </row>
    <row r="3525" spans="1:12">
      <c r="A3525" s="6">
        <v>46261</v>
      </c>
      <c r="B3525" t="s">
        <v>34</v>
      </c>
      <c r="C3525" t="s">
        <v>35</v>
      </c>
      <c r="D3525" s="2">
        <v>4058</v>
      </c>
      <c r="E3525" s="2">
        <v>4067.300048828125</v>
      </c>
      <c r="F3525" s="2">
        <v>4023</v>
      </c>
      <c r="G3525" s="2">
        <v>4027</v>
      </c>
      <c r="H3525" s="3">
        <v>1161440</v>
      </c>
      <c r="I3525" s="4">
        <f t="shared" si="220"/>
        <v>-0.86</v>
      </c>
      <c r="J3525" s="2">
        <f t="shared" si="221"/>
        <v>40.299999999999997</v>
      </c>
      <c r="K3525" s="7">
        <f t="shared" si="222"/>
        <v>46235</v>
      </c>
      <c r="L3525" t="str">
        <f t="shared" si="223"/>
        <v>Q3-2026</v>
      </c>
    </row>
    <row r="3526" spans="1:12">
      <c r="A3526" s="6">
        <v>46261</v>
      </c>
      <c r="B3526" t="s">
        <v>36</v>
      </c>
      <c r="C3526" t="s">
        <v>37</v>
      </c>
      <c r="D3526" s="2">
        <v>1260</v>
      </c>
      <c r="E3526" s="2">
        <v>1268.699951171875</v>
      </c>
      <c r="F3526" s="2">
        <v>1251.400024414062</v>
      </c>
      <c r="G3526" s="2">
        <v>1256</v>
      </c>
      <c r="H3526" s="3">
        <v>7005789</v>
      </c>
      <c r="I3526" s="4">
        <f t="shared" si="220"/>
        <v>-0.68</v>
      </c>
      <c r="J3526" s="2">
        <f t="shared" si="221"/>
        <v>12.7</v>
      </c>
      <c r="K3526" s="7">
        <f t="shared" si="222"/>
        <v>46235</v>
      </c>
      <c r="L3526" t="str">
        <f t="shared" si="223"/>
        <v>Q3-2026</v>
      </c>
    </row>
    <row r="3527" spans="1:12">
      <c r="A3527" s="6">
        <v>46262</v>
      </c>
      <c r="B3527" t="s">
        <v>8</v>
      </c>
      <c r="C3527" t="s">
        <v>9</v>
      </c>
      <c r="D3527" s="2">
        <v>1284.900024414062</v>
      </c>
      <c r="E3527" s="2">
        <v>1291.800048828125</v>
      </c>
      <c r="F3527" s="2">
        <v>1280</v>
      </c>
      <c r="G3527" s="2">
        <v>1287</v>
      </c>
      <c r="H3527" s="3">
        <v>6830228</v>
      </c>
      <c r="I3527" s="4">
        <f t="shared" si="220"/>
        <v>-0.38</v>
      </c>
      <c r="J3527" s="2">
        <f t="shared" si="221"/>
        <v>4.8</v>
      </c>
      <c r="K3527" s="7">
        <f t="shared" si="222"/>
        <v>46235</v>
      </c>
      <c r="L3527" t="str">
        <f t="shared" si="223"/>
        <v>Q3-2026</v>
      </c>
    </row>
    <row r="3528" spans="1:12">
      <c r="A3528" s="6">
        <v>46262</v>
      </c>
      <c r="B3528" t="s">
        <v>10</v>
      </c>
      <c r="C3528" t="s">
        <v>11</v>
      </c>
      <c r="D3528" s="2">
        <v>2272</v>
      </c>
      <c r="E3528" s="2">
        <v>2348.5</v>
      </c>
      <c r="F3528" s="2">
        <v>2263.300048828125</v>
      </c>
      <c r="G3528" s="2">
        <v>2342</v>
      </c>
      <c r="H3528" s="3">
        <v>4054069</v>
      </c>
      <c r="I3528" s="4">
        <f t="shared" si="220"/>
        <v>-0.38</v>
      </c>
      <c r="J3528" s="2">
        <f t="shared" si="221"/>
        <v>6.5</v>
      </c>
      <c r="K3528" s="7">
        <f t="shared" si="222"/>
        <v>46235</v>
      </c>
      <c r="L3528" t="str">
        <f t="shared" si="223"/>
        <v>Q3-2026</v>
      </c>
    </row>
    <row r="3529" spans="1:12">
      <c r="A3529" s="6">
        <v>46262</v>
      </c>
      <c r="B3529" t="s">
        <v>12</v>
      </c>
      <c r="C3529" t="s">
        <v>13</v>
      </c>
      <c r="D3529" s="2">
        <v>1123.599975585938</v>
      </c>
      <c r="E3529" s="2">
        <v>1145</v>
      </c>
      <c r="F3529" s="2">
        <v>1123.300048828125</v>
      </c>
      <c r="G3529" s="2">
        <v>1144</v>
      </c>
      <c r="H3529" s="3">
        <v>9621969</v>
      </c>
      <c r="I3529" s="4">
        <f t="shared" si="220"/>
        <v>-0.03</v>
      </c>
      <c r="J3529" s="2">
        <f t="shared" si="221"/>
        <v>1</v>
      </c>
      <c r="K3529" s="7">
        <f t="shared" si="222"/>
        <v>46235</v>
      </c>
      <c r="L3529" t="str">
        <f t="shared" si="223"/>
        <v>Q3-2026</v>
      </c>
    </row>
    <row r="3530" spans="1:12">
      <c r="A3530" s="6">
        <v>46262</v>
      </c>
      <c r="B3530" t="s">
        <v>14</v>
      </c>
      <c r="C3530" t="s">
        <v>15</v>
      </c>
      <c r="D3530" s="2">
        <v>710.8499755859375</v>
      </c>
      <c r="E3530" s="2">
        <v>720.29998779296875</v>
      </c>
      <c r="F3530" s="2">
        <v>707</v>
      </c>
      <c r="G3530" s="2">
        <v>720.29998779296875</v>
      </c>
      <c r="H3530" s="3">
        <v>16494301</v>
      </c>
      <c r="I3530" s="4">
        <f t="shared" si="220"/>
        <v>-0.54</v>
      </c>
      <c r="J3530" s="2">
        <f t="shared" si="221"/>
        <v>0</v>
      </c>
      <c r="K3530" s="7">
        <f t="shared" si="222"/>
        <v>46235</v>
      </c>
      <c r="L3530" t="str">
        <f t="shared" si="223"/>
        <v>Q3-2026</v>
      </c>
    </row>
    <row r="3531" spans="1:12">
      <c r="A3531" s="6">
        <v>46262</v>
      </c>
      <c r="B3531" t="s">
        <v>16</v>
      </c>
      <c r="C3531" t="s">
        <v>17</v>
      </c>
      <c r="D3531" s="2">
        <v>1435</v>
      </c>
      <c r="E3531" s="2">
        <v>1439.800048828125</v>
      </c>
      <c r="F3531" s="2">
        <v>1418.900024414062</v>
      </c>
      <c r="G3531" s="2">
        <v>1422.800048828125</v>
      </c>
      <c r="H3531" s="3">
        <v>8625738</v>
      </c>
      <c r="I3531" s="4">
        <f t="shared" si="220"/>
        <v>-1.1200000000000001</v>
      </c>
      <c r="J3531" s="2">
        <f t="shared" si="221"/>
        <v>17</v>
      </c>
      <c r="K3531" s="7">
        <f t="shared" si="222"/>
        <v>46235</v>
      </c>
      <c r="L3531" t="str">
        <f t="shared" si="223"/>
        <v>Q3-2026</v>
      </c>
    </row>
    <row r="3532" spans="1:12">
      <c r="A3532" s="6">
        <v>46262</v>
      </c>
      <c r="B3532" t="s">
        <v>18</v>
      </c>
      <c r="C3532" t="s">
        <v>19</v>
      </c>
      <c r="D3532" s="2">
        <v>178.25</v>
      </c>
      <c r="E3532" s="2">
        <v>181.8500061035156</v>
      </c>
      <c r="F3532" s="2">
        <v>178.25</v>
      </c>
      <c r="G3532" s="2">
        <v>180.94999694824219</v>
      </c>
      <c r="H3532" s="3">
        <v>14686269</v>
      </c>
      <c r="I3532" s="4">
        <f t="shared" si="220"/>
        <v>0</v>
      </c>
      <c r="J3532" s="2">
        <f t="shared" si="221"/>
        <v>0.9</v>
      </c>
      <c r="K3532" s="7">
        <f t="shared" si="222"/>
        <v>46235</v>
      </c>
      <c r="L3532" t="str">
        <f t="shared" si="223"/>
        <v>Q3-2026</v>
      </c>
    </row>
    <row r="3533" spans="1:12">
      <c r="A3533" s="6">
        <v>46262</v>
      </c>
      <c r="B3533" t="s">
        <v>20</v>
      </c>
      <c r="C3533" t="s">
        <v>21</v>
      </c>
      <c r="D3533" s="2">
        <v>1290</v>
      </c>
      <c r="E3533" s="2">
        <v>1334.199951171875</v>
      </c>
      <c r="F3533" s="2">
        <v>1290</v>
      </c>
      <c r="G3533" s="2">
        <v>1316.099975585938</v>
      </c>
      <c r="H3533" s="3">
        <v>3459476</v>
      </c>
      <c r="I3533" s="4">
        <f t="shared" si="220"/>
        <v>0</v>
      </c>
      <c r="J3533" s="2">
        <f t="shared" si="221"/>
        <v>18.100000000000001</v>
      </c>
      <c r="K3533" s="7">
        <f t="shared" si="222"/>
        <v>46235</v>
      </c>
      <c r="L3533" t="str">
        <f t="shared" si="223"/>
        <v>Q3-2026</v>
      </c>
    </row>
    <row r="3534" spans="1:12">
      <c r="A3534" s="6">
        <v>46262</v>
      </c>
      <c r="B3534" t="s">
        <v>22</v>
      </c>
      <c r="C3534" t="s">
        <v>23</v>
      </c>
      <c r="D3534" s="2">
        <v>1065.699951171875</v>
      </c>
      <c r="E3534" s="2">
        <v>1081.5</v>
      </c>
      <c r="F3534" s="2">
        <v>1065.699951171875</v>
      </c>
      <c r="G3534" s="2">
        <v>1079.900024414062</v>
      </c>
      <c r="H3534" s="3">
        <v>4554311</v>
      </c>
      <c r="I3534" s="4">
        <f t="shared" si="220"/>
        <v>0</v>
      </c>
      <c r="J3534" s="2">
        <f t="shared" si="221"/>
        <v>1.6</v>
      </c>
      <c r="K3534" s="7">
        <f t="shared" si="222"/>
        <v>46235</v>
      </c>
      <c r="L3534" t="str">
        <f t="shared" si="223"/>
        <v>Q3-2026</v>
      </c>
    </row>
    <row r="3535" spans="1:12">
      <c r="A3535" s="6">
        <v>46262</v>
      </c>
      <c r="B3535" t="s">
        <v>24</v>
      </c>
      <c r="C3535" t="s">
        <v>25</v>
      </c>
      <c r="D3535" s="2">
        <v>13500</v>
      </c>
      <c r="E3535" s="2">
        <v>13525</v>
      </c>
      <c r="F3535" s="2">
        <v>13318</v>
      </c>
      <c r="G3535" s="2">
        <v>13376</v>
      </c>
      <c r="H3535" s="3">
        <v>277509</v>
      </c>
      <c r="I3535" s="4">
        <f t="shared" si="220"/>
        <v>-1.35</v>
      </c>
      <c r="J3535" s="2">
        <f t="shared" si="221"/>
        <v>149</v>
      </c>
      <c r="K3535" s="7">
        <f t="shared" si="222"/>
        <v>46235</v>
      </c>
      <c r="L3535" t="str">
        <f t="shared" si="223"/>
        <v>Q3-2026</v>
      </c>
    </row>
    <row r="3536" spans="1:12">
      <c r="A3536" s="6">
        <v>46262</v>
      </c>
      <c r="B3536" t="s">
        <v>26</v>
      </c>
      <c r="C3536" t="s">
        <v>27</v>
      </c>
      <c r="D3536" s="2">
        <v>317.5</v>
      </c>
      <c r="E3536" s="2">
        <v>319.39999389648438</v>
      </c>
      <c r="F3536" s="2">
        <v>313.29998779296881</v>
      </c>
      <c r="G3536" s="2">
        <v>319.39999389648438</v>
      </c>
      <c r="H3536" s="3">
        <v>5852894</v>
      </c>
      <c r="I3536" s="4">
        <f t="shared" si="220"/>
        <v>-1.32</v>
      </c>
      <c r="J3536" s="2">
        <f t="shared" si="221"/>
        <v>0</v>
      </c>
      <c r="K3536" s="7">
        <f t="shared" si="222"/>
        <v>46235</v>
      </c>
      <c r="L3536" t="str">
        <f t="shared" si="223"/>
        <v>Q3-2026</v>
      </c>
    </row>
    <row r="3537" spans="1:12">
      <c r="A3537" s="6">
        <v>46262</v>
      </c>
      <c r="B3537" t="s">
        <v>28</v>
      </c>
      <c r="C3537" t="s">
        <v>29</v>
      </c>
      <c r="D3537" s="2">
        <v>1925</v>
      </c>
      <c r="E3537" s="2">
        <v>1931</v>
      </c>
      <c r="F3537" s="2">
        <v>1903.800048828125</v>
      </c>
      <c r="G3537" s="2">
        <v>1920</v>
      </c>
      <c r="H3537" s="3">
        <v>1140742</v>
      </c>
      <c r="I3537" s="4">
        <f t="shared" si="220"/>
        <v>-1.1000000000000001</v>
      </c>
      <c r="J3537" s="2">
        <f t="shared" si="221"/>
        <v>11</v>
      </c>
      <c r="K3537" s="7">
        <f t="shared" si="222"/>
        <v>46235</v>
      </c>
      <c r="L3537" t="str">
        <f t="shared" si="223"/>
        <v>Q3-2026</v>
      </c>
    </row>
    <row r="3538" spans="1:12">
      <c r="A3538" s="6">
        <v>46262</v>
      </c>
      <c r="B3538" t="s">
        <v>30</v>
      </c>
      <c r="C3538" t="s">
        <v>31</v>
      </c>
      <c r="D3538" s="2">
        <v>2645</v>
      </c>
      <c r="E3538" s="2">
        <v>2645</v>
      </c>
      <c r="F3538" s="2">
        <v>2583.800048828125</v>
      </c>
      <c r="G3538" s="2">
        <v>2608.699951171875</v>
      </c>
      <c r="H3538" s="3">
        <v>482544</v>
      </c>
      <c r="I3538" s="4">
        <f t="shared" si="220"/>
        <v>-2.31</v>
      </c>
      <c r="J3538" s="2">
        <f t="shared" si="221"/>
        <v>36.299999999999997</v>
      </c>
      <c r="K3538" s="7">
        <f t="shared" si="222"/>
        <v>46235</v>
      </c>
      <c r="L3538" t="str">
        <f t="shared" si="223"/>
        <v>Q3-2026</v>
      </c>
    </row>
    <row r="3539" spans="1:12">
      <c r="A3539" s="6">
        <v>46262</v>
      </c>
      <c r="B3539" t="s">
        <v>32</v>
      </c>
      <c r="C3539" t="s">
        <v>33</v>
      </c>
      <c r="D3539" s="2">
        <v>2018</v>
      </c>
      <c r="E3539" s="2">
        <v>2018</v>
      </c>
      <c r="F3539" s="2">
        <v>1997.5</v>
      </c>
      <c r="G3539" s="2">
        <v>2010.400024414062</v>
      </c>
      <c r="H3539" s="3">
        <v>933212</v>
      </c>
      <c r="I3539" s="4">
        <f t="shared" si="220"/>
        <v>-1.02</v>
      </c>
      <c r="J3539" s="2">
        <f t="shared" si="221"/>
        <v>7.6</v>
      </c>
      <c r="K3539" s="7">
        <f t="shared" si="222"/>
        <v>46235</v>
      </c>
      <c r="L3539" t="str">
        <f t="shared" si="223"/>
        <v>Q3-2026</v>
      </c>
    </row>
    <row r="3540" spans="1:12">
      <c r="A3540" s="6">
        <v>46262</v>
      </c>
      <c r="B3540" t="s">
        <v>34</v>
      </c>
      <c r="C3540" t="s">
        <v>35</v>
      </c>
      <c r="D3540" s="2">
        <v>4045</v>
      </c>
      <c r="E3540" s="2">
        <v>4060</v>
      </c>
      <c r="F3540" s="2">
        <v>4021.300048828125</v>
      </c>
      <c r="G3540" s="2">
        <v>4045.800048828125</v>
      </c>
      <c r="H3540" s="3">
        <v>893956</v>
      </c>
      <c r="I3540" s="4">
        <f t="shared" si="220"/>
        <v>-0.59</v>
      </c>
      <c r="J3540" s="2">
        <f t="shared" si="221"/>
        <v>14.2</v>
      </c>
      <c r="K3540" s="7">
        <f t="shared" si="222"/>
        <v>46235</v>
      </c>
      <c r="L3540" t="str">
        <f t="shared" si="223"/>
        <v>Q3-2026</v>
      </c>
    </row>
    <row r="3541" spans="1:12">
      <c r="A3541" s="6">
        <v>46262</v>
      </c>
      <c r="B3541" t="s">
        <v>36</v>
      </c>
      <c r="C3541" t="s">
        <v>37</v>
      </c>
      <c r="D3541" s="2">
        <v>1256</v>
      </c>
      <c r="E3541" s="2">
        <v>1265.400024414062</v>
      </c>
      <c r="F3541" s="2">
        <v>1248.199951171875</v>
      </c>
      <c r="G3541" s="2">
        <v>1265</v>
      </c>
      <c r="H3541" s="3">
        <v>3243469</v>
      </c>
      <c r="I3541" s="4">
        <f t="shared" si="220"/>
        <v>-0.62</v>
      </c>
      <c r="J3541" s="2">
        <f t="shared" si="221"/>
        <v>0.4</v>
      </c>
      <c r="K3541" s="7">
        <f t="shared" si="222"/>
        <v>46235</v>
      </c>
      <c r="L3541" t="str">
        <f t="shared" si="223"/>
        <v>Q3-2026</v>
      </c>
    </row>
    <row r="3542" spans="1:12">
      <c r="A3542" s="6">
        <v>46265</v>
      </c>
      <c r="B3542" t="s">
        <v>8</v>
      </c>
      <c r="C3542" t="s">
        <v>9</v>
      </c>
      <c r="D3542" s="2">
        <v>1278.699951171875</v>
      </c>
      <c r="E3542" s="2">
        <v>1297.599975585938</v>
      </c>
      <c r="F3542" s="2">
        <v>1271</v>
      </c>
      <c r="G3542" s="2">
        <v>1277</v>
      </c>
      <c r="H3542" s="3">
        <v>34871137</v>
      </c>
      <c r="I3542" s="4">
        <f t="shared" si="220"/>
        <v>-0.6</v>
      </c>
      <c r="J3542" s="2">
        <f t="shared" si="221"/>
        <v>20.6</v>
      </c>
      <c r="K3542" s="7">
        <f t="shared" si="222"/>
        <v>46235</v>
      </c>
      <c r="L3542" t="str">
        <f t="shared" si="223"/>
        <v>Q3-2026</v>
      </c>
    </row>
    <row r="3543" spans="1:12">
      <c r="A3543" s="6">
        <v>46265</v>
      </c>
      <c r="B3543" t="s">
        <v>10</v>
      </c>
      <c r="C3543" t="s">
        <v>11</v>
      </c>
      <c r="D3543" s="2">
        <v>2342</v>
      </c>
      <c r="E3543" s="2">
        <v>2399.300048828125</v>
      </c>
      <c r="F3543" s="2">
        <v>2306.199951171875</v>
      </c>
      <c r="G3543" s="2">
        <v>2399.300048828125</v>
      </c>
      <c r="H3543" s="3">
        <v>2905846</v>
      </c>
      <c r="I3543" s="4">
        <f t="shared" si="220"/>
        <v>-1.53</v>
      </c>
      <c r="J3543" s="2">
        <f t="shared" si="221"/>
        <v>0</v>
      </c>
      <c r="K3543" s="7">
        <f t="shared" si="222"/>
        <v>46235</v>
      </c>
      <c r="L3543" t="str">
        <f t="shared" si="223"/>
        <v>Q3-2026</v>
      </c>
    </row>
    <row r="3544" spans="1:12">
      <c r="A3544" s="6">
        <v>46265</v>
      </c>
      <c r="B3544" t="s">
        <v>12</v>
      </c>
      <c r="C3544" t="s">
        <v>13</v>
      </c>
      <c r="D3544" s="2">
        <v>1138.599975585938</v>
      </c>
      <c r="E3544" s="2">
        <v>1143.900024414062</v>
      </c>
      <c r="F3544" s="2">
        <v>1111.099975585938</v>
      </c>
      <c r="G3544" s="2">
        <v>1133.800048828125</v>
      </c>
      <c r="H3544" s="3">
        <v>8808120</v>
      </c>
      <c r="I3544" s="4">
        <f t="shared" si="220"/>
        <v>-2.42</v>
      </c>
      <c r="J3544" s="2">
        <f t="shared" si="221"/>
        <v>10.1</v>
      </c>
      <c r="K3544" s="7">
        <f t="shared" si="222"/>
        <v>46235</v>
      </c>
      <c r="L3544" t="str">
        <f t="shared" si="223"/>
        <v>Q3-2026</v>
      </c>
    </row>
    <row r="3545" spans="1:12">
      <c r="A3545" s="6">
        <v>46265</v>
      </c>
      <c r="B3545" t="s">
        <v>14</v>
      </c>
      <c r="C3545" t="s">
        <v>15</v>
      </c>
      <c r="D3545" s="2">
        <v>723.04998779296875</v>
      </c>
      <c r="E3545" s="2">
        <v>739.75</v>
      </c>
      <c r="F3545" s="2">
        <v>704.1500244140625</v>
      </c>
      <c r="G3545" s="2">
        <v>709</v>
      </c>
      <c r="H3545" s="3">
        <v>78157067</v>
      </c>
      <c r="I3545" s="4">
        <f t="shared" si="220"/>
        <v>-2.61</v>
      </c>
      <c r="J3545" s="2">
        <f t="shared" si="221"/>
        <v>30.75</v>
      </c>
      <c r="K3545" s="7">
        <f t="shared" si="222"/>
        <v>46235</v>
      </c>
      <c r="L3545" t="str">
        <f t="shared" si="223"/>
        <v>Q3-2026</v>
      </c>
    </row>
    <row r="3546" spans="1:12">
      <c r="A3546" s="6">
        <v>46265</v>
      </c>
      <c r="B3546" t="s">
        <v>16</v>
      </c>
      <c r="C3546" t="s">
        <v>17</v>
      </c>
      <c r="D3546" s="2">
        <v>1422.800048828125</v>
      </c>
      <c r="E3546" s="2">
        <v>1454</v>
      </c>
      <c r="F3546" s="2">
        <v>1419</v>
      </c>
      <c r="G3546" s="2">
        <v>1454</v>
      </c>
      <c r="H3546" s="3">
        <v>15331697</v>
      </c>
      <c r="I3546" s="4">
        <f t="shared" si="220"/>
        <v>-0.27</v>
      </c>
      <c r="J3546" s="2">
        <f t="shared" si="221"/>
        <v>0</v>
      </c>
      <c r="K3546" s="7">
        <f t="shared" si="222"/>
        <v>46235</v>
      </c>
      <c r="L3546" t="str">
        <f t="shared" si="223"/>
        <v>Q3-2026</v>
      </c>
    </row>
    <row r="3547" spans="1:12">
      <c r="A3547" s="6">
        <v>46265</v>
      </c>
      <c r="B3547" t="s">
        <v>18</v>
      </c>
      <c r="C3547" t="s">
        <v>19</v>
      </c>
      <c r="D3547" s="2">
        <v>180.16999816894531</v>
      </c>
      <c r="E3547" s="2">
        <v>184.5</v>
      </c>
      <c r="F3547" s="2">
        <v>176.16999816894531</v>
      </c>
      <c r="G3547" s="2">
        <v>184.5</v>
      </c>
      <c r="H3547" s="3">
        <v>16666567</v>
      </c>
      <c r="I3547" s="4">
        <f t="shared" si="220"/>
        <v>-2.2200000000000002</v>
      </c>
      <c r="J3547" s="2">
        <f t="shared" si="221"/>
        <v>0</v>
      </c>
      <c r="K3547" s="7">
        <f t="shared" si="222"/>
        <v>46235</v>
      </c>
      <c r="L3547" t="str">
        <f t="shared" si="223"/>
        <v>Q3-2026</v>
      </c>
    </row>
    <row r="3548" spans="1:12">
      <c r="A3548" s="6">
        <v>46265</v>
      </c>
      <c r="B3548" t="s">
        <v>20</v>
      </c>
      <c r="C3548" t="s">
        <v>21</v>
      </c>
      <c r="D3548" s="2">
        <v>1316.599975585938</v>
      </c>
      <c r="E3548" s="2">
        <v>1322.599975585938</v>
      </c>
      <c r="F3548" s="2">
        <v>1297.699951171875</v>
      </c>
      <c r="G3548" s="2">
        <v>1312.199951171875</v>
      </c>
      <c r="H3548" s="3">
        <v>3125051</v>
      </c>
      <c r="I3548" s="4">
        <f t="shared" si="220"/>
        <v>-1.44</v>
      </c>
      <c r="J3548" s="2">
        <f t="shared" si="221"/>
        <v>10.4</v>
      </c>
      <c r="K3548" s="7">
        <f t="shared" si="222"/>
        <v>46235</v>
      </c>
      <c r="L3548" t="str">
        <f t="shared" si="223"/>
        <v>Q3-2026</v>
      </c>
    </row>
    <row r="3549" spans="1:12">
      <c r="A3549" s="6">
        <v>46265</v>
      </c>
      <c r="B3549" t="s">
        <v>22</v>
      </c>
      <c r="C3549" t="s">
        <v>23</v>
      </c>
      <c r="D3549" s="2">
        <v>1069.400024414062</v>
      </c>
      <c r="E3549" s="2">
        <v>1073</v>
      </c>
      <c r="F3549" s="2">
        <v>1052</v>
      </c>
      <c r="G3549" s="2">
        <v>1057</v>
      </c>
      <c r="H3549" s="3">
        <v>7002192</v>
      </c>
      <c r="I3549" s="4">
        <f t="shared" si="220"/>
        <v>-1.63</v>
      </c>
      <c r="J3549" s="2">
        <f t="shared" si="221"/>
        <v>16</v>
      </c>
      <c r="K3549" s="7">
        <f t="shared" si="222"/>
        <v>46235</v>
      </c>
      <c r="L3549" t="str">
        <f t="shared" si="223"/>
        <v>Q3-2026</v>
      </c>
    </row>
    <row r="3550" spans="1:12">
      <c r="A3550" s="6">
        <v>46265</v>
      </c>
      <c r="B3550" t="s">
        <v>24</v>
      </c>
      <c r="C3550" t="s">
        <v>25</v>
      </c>
      <c r="D3550" s="2">
        <v>13375</v>
      </c>
      <c r="E3550" s="2">
        <v>13547</v>
      </c>
      <c r="F3550" s="2">
        <v>13268</v>
      </c>
      <c r="G3550" s="2">
        <v>13547</v>
      </c>
      <c r="H3550" s="3">
        <v>443131</v>
      </c>
      <c r="I3550" s="4">
        <f t="shared" si="220"/>
        <v>-0.8</v>
      </c>
      <c r="J3550" s="2">
        <f t="shared" si="221"/>
        <v>0</v>
      </c>
      <c r="K3550" s="7">
        <f t="shared" si="222"/>
        <v>46235</v>
      </c>
      <c r="L3550" t="str">
        <f t="shared" si="223"/>
        <v>Q3-2026</v>
      </c>
    </row>
    <row r="3551" spans="1:12">
      <c r="A3551" s="6">
        <v>46265</v>
      </c>
      <c r="B3551" t="s">
        <v>26</v>
      </c>
      <c r="C3551" t="s">
        <v>27</v>
      </c>
      <c r="D3551" s="2">
        <v>318.39999389648438</v>
      </c>
      <c r="E3551" s="2">
        <v>318.89999389648438</v>
      </c>
      <c r="F3551" s="2">
        <v>308.85000610351563</v>
      </c>
      <c r="G3551" s="2">
        <v>308.85000610351563</v>
      </c>
      <c r="H3551" s="3">
        <v>9986158</v>
      </c>
      <c r="I3551" s="4">
        <f t="shared" si="220"/>
        <v>-3</v>
      </c>
      <c r="J3551" s="2">
        <f t="shared" si="221"/>
        <v>10.050000000000001</v>
      </c>
      <c r="K3551" s="7">
        <f t="shared" si="222"/>
        <v>46235</v>
      </c>
      <c r="L3551" t="str">
        <f t="shared" si="223"/>
        <v>Q3-2026</v>
      </c>
    </row>
    <row r="3552" spans="1:12">
      <c r="A3552" s="6">
        <v>46265</v>
      </c>
      <c r="B3552" t="s">
        <v>28</v>
      </c>
      <c r="C3552" t="s">
        <v>29</v>
      </c>
      <c r="D3552" s="2">
        <v>1917</v>
      </c>
      <c r="E3552" s="2">
        <v>1984.800048828125</v>
      </c>
      <c r="F3552" s="2">
        <v>1905</v>
      </c>
      <c r="G3552" s="2">
        <v>1984.800048828125</v>
      </c>
      <c r="H3552" s="3">
        <v>2413221</v>
      </c>
      <c r="I3552" s="4">
        <f t="shared" si="220"/>
        <v>-0.63</v>
      </c>
      <c r="J3552" s="2">
        <f t="shared" si="221"/>
        <v>0</v>
      </c>
      <c r="K3552" s="7">
        <f t="shared" si="222"/>
        <v>46235</v>
      </c>
      <c r="L3552" t="str">
        <f t="shared" si="223"/>
        <v>Q3-2026</v>
      </c>
    </row>
    <row r="3553" spans="1:12">
      <c r="A3553" s="6">
        <v>46265</v>
      </c>
      <c r="B3553" t="s">
        <v>30</v>
      </c>
      <c r="C3553" t="s">
        <v>31</v>
      </c>
      <c r="D3553" s="2">
        <v>2590</v>
      </c>
      <c r="E3553" s="2">
        <v>2653.60009765625</v>
      </c>
      <c r="F3553" s="2">
        <v>2561.10009765625</v>
      </c>
      <c r="G3553" s="2">
        <v>2653.60009765625</v>
      </c>
      <c r="H3553" s="3">
        <v>1381178</v>
      </c>
      <c r="I3553" s="4">
        <f t="shared" si="220"/>
        <v>-1.1200000000000001</v>
      </c>
      <c r="J3553" s="2">
        <f t="shared" si="221"/>
        <v>0</v>
      </c>
      <c r="K3553" s="7">
        <f t="shared" si="222"/>
        <v>46235</v>
      </c>
      <c r="L3553" t="str">
        <f t="shared" si="223"/>
        <v>Q3-2026</v>
      </c>
    </row>
    <row r="3554" spans="1:12">
      <c r="A3554" s="6">
        <v>46265</v>
      </c>
      <c r="B3554" t="s">
        <v>32</v>
      </c>
      <c r="C3554" t="s">
        <v>33</v>
      </c>
      <c r="D3554" s="2">
        <v>2001.099975585938</v>
      </c>
      <c r="E3554" s="2">
        <v>2008.599975585938</v>
      </c>
      <c r="F3554" s="2">
        <v>1967.400024414062</v>
      </c>
      <c r="G3554" s="2">
        <v>1967.400024414062</v>
      </c>
      <c r="H3554" s="3">
        <v>1800025</v>
      </c>
      <c r="I3554" s="4">
        <f t="shared" si="220"/>
        <v>-1.68</v>
      </c>
      <c r="J3554" s="2">
        <f t="shared" si="221"/>
        <v>41.2</v>
      </c>
      <c r="K3554" s="7">
        <f t="shared" si="222"/>
        <v>46235</v>
      </c>
      <c r="L3554" t="str">
        <f t="shared" si="223"/>
        <v>Q3-2026</v>
      </c>
    </row>
    <row r="3555" spans="1:12">
      <c r="A3555" s="6">
        <v>46265</v>
      </c>
      <c r="B3555" t="s">
        <v>34</v>
      </c>
      <c r="C3555" t="s">
        <v>35</v>
      </c>
      <c r="D3555" s="2">
        <v>4035.10009765625</v>
      </c>
      <c r="E3555" s="2">
        <v>4044.89990234375</v>
      </c>
      <c r="F3555" s="2">
        <v>3976</v>
      </c>
      <c r="G3555" s="2">
        <v>4044.89990234375</v>
      </c>
      <c r="H3555" s="3">
        <v>1553171</v>
      </c>
      <c r="I3555" s="4">
        <f t="shared" si="220"/>
        <v>-1.46</v>
      </c>
      <c r="J3555" s="2">
        <f t="shared" si="221"/>
        <v>0</v>
      </c>
      <c r="K3555" s="7">
        <f t="shared" si="222"/>
        <v>46235</v>
      </c>
      <c r="L3555" t="str">
        <f t="shared" si="223"/>
        <v>Q3-2026</v>
      </c>
    </row>
    <row r="3556" spans="1:12">
      <c r="A3556" s="6">
        <v>46265</v>
      </c>
      <c r="B3556" t="s">
        <v>36</v>
      </c>
      <c r="C3556" t="s">
        <v>37</v>
      </c>
      <c r="D3556" s="2">
        <v>1257</v>
      </c>
      <c r="E3556" s="2">
        <v>1300</v>
      </c>
      <c r="F3556" s="2">
        <v>1251.199951171875</v>
      </c>
      <c r="G3556" s="2">
        <v>1300</v>
      </c>
      <c r="H3556" s="3">
        <v>6093670</v>
      </c>
      <c r="I3556" s="4">
        <f t="shared" si="220"/>
        <v>-0.46</v>
      </c>
      <c r="J3556" s="2">
        <f t="shared" si="221"/>
        <v>0</v>
      </c>
      <c r="K3556" s="7">
        <f t="shared" si="222"/>
        <v>46235</v>
      </c>
      <c r="L3556" t="str">
        <f t="shared" si="223"/>
        <v>Q3-2026</v>
      </c>
    </row>
    <row r="3557" spans="1:12">
      <c r="A3557" s="6">
        <v>46266</v>
      </c>
      <c r="B3557" t="s">
        <v>8</v>
      </c>
      <c r="C3557" t="s">
        <v>9</v>
      </c>
      <c r="D3557" s="2">
        <v>1285</v>
      </c>
      <c r="E3557" s="2">
        <v>1311.800048828125</v>
      </c>
      <c r="F3557" s="2">
        <v>1280</v>
      </c>
      <c r="G3557" s="2">
        <v>1309</v>
      </c>
      <c r="H3557" s="3">
        <v>12617528</v>
      </c>
      <c r="I3557" s="4">
        <f t="shared" si="220"/>
        <v>-0.39</v>
      </c>
      <c r="J3557" s="2">
        <f t="shared" si="221"/>
        <v>2.8</v>
      </c>
      <c r="K3557" s="7">
        <f t="shared" si="222"/>
        <v>46266</v>
      </c>
      <c r="L3557" t="str">
        <f t="shared" si="223"/>
        <v>Q3-2026</v>
      </c>
    </row>
    <row r="3558" spans="1:12">
      <c r="A3558" s="6">
        <v>46266</v>
      </c>
      <c r="B3558" t="s">
        <v>10</v>
      </c>
      <c r="C3558" t="s">
        <v>11</v>
      </c>
      <c r="D3558" s="2">
        <v>2355</v>
      </c>
      <c r="E3558" s="2">
        <v>2372</v>
      </c>
      <c r="F3558" s="2">
        <v>2325</v>
      </c>
      <c r="G3558" s="2">
        <v>2369</v>
      </c>
      <c r="H3558" s="3">
        <v>2678034</v>
      </c>
      <c r="I3558" s="4">
        <f t="shared" si="220"/>
        <v>-1.27</v>
      </c>
      <c r="J3558" s="2">
        <f t="shared" si="221"/>
        <v>3</v>
      </c>
      <c r="K3558" s="7">
        <f t="shared" si="222"/>
        <v>46266</v>
      </c>
      <c r="L3558" t="str">
        <f t="shared" si="223"/>
        <v>Q3-2026</v>
      </c>
    </row>
    <row r="3559" spans="1:12">
      <c r="A3559" s="6">
        <v>46266</v>
      </c>
      <c r="B3559" t="s">
        <v>12</v>
      </c>
      <c r="C3559" t="s">
        <v>13</v>
      </c>
      <c r="D3559" s="2">
        <v>1128</v>
      </c>
      <c r="E3559" s="2">
        <v>1156</v>
      </c>
      <c r="F3559" s="2">
        <v>1125.599975585938</v>
      </c>
      <c r="G3559" s="2">
        <v>1156</v>
      </c>
      <c r="H3559" s="3">
        <v>13516123</v>
      </c>
      <c r="I3559" s="4">
        <f t="shared" si="220"/>
        <v>-0.21</v>
      </c>
      <c r="J3559" s="2">
        <f t="shared" si="221"/>
        <v>0</v>
      </c>
      <c r="K3559" s="7">
        <f t="shared" si="222"/>
        <v>46266</v>
      </c>
      <c r="L3559" t="str">
        <f t="shared" si="223"/>
        <v>Q3-2026</v>
      </c>
    </row>
    <row r="3560" spans="1:12">
      <c r="A3560" s="6">
        <v>46266</v>
      </c>
      <c r="B3560" t="s">
        <v>14</v>
      </c>
      <c r="C3560" t="s">
        <v>15</v>
      </c>
      <c r="D3560" s="2">
        <v>705.04998779296875</v>
      </c>
      <c r="E3560" s="2">
        <v>715.45001220703125</v>
      </c>
      <c r="F3560" s="2">
        <v>698.5</v>
      </c>
      <c r="G3560" s="2">
        <v>711.9000244140625</v>
      </c>
      <c r="H3560" s="3">
        <v>44417092</v>
      </c>
      <c r="I3560" s="4">
        <f t="shared" si="220"/>
        <v>-0.93</v>
      </c>
      <c r="J3560" s="2">
        <f t="shared" si="221"/>
        <v>3.55</v>
      </c>
      <c r="K3560" s="7">
        <f t="shared" si="222"/>
        <v>46266</v>
      </c>
      <c r="L3560" t="str">
        <f t="shared" si="223"/>
        <v>Q3-2026</v>
      </c>
    </row>
    <row r="3561" spans="1:12">
      <c r="A3561" s="6">
        <v>46266</v>
      </c>
      <c r="B3561" t="s">
        <v>16</v>
      </c>
      <c r="C3561" t="s">
        <v>17</v>
      </c>
      <c r="D3561" s="2">
        <v>1442.900024414062</v>
      </c>
      <c r="E3561" s="2">
        <v>1446.699951171875</v>
      </c>
      <c r="F3561" s="2">
        <v>1422.800048828125</v>
      </c>
      <c r="G3561" s="2">
        <v>1438</v>
      </c>
      <c r="H3561" s="3">
        <v>10627608</v>
      </c>
      <c r="I3561" s="4">
        <f t="shared" si="220"/>
        <v>-1.39</v>
      </c>
      <c r="J3561" s="2">
        <f t="shared" si="221"/>
        <v>8.6999999999999993</v>
      </c>
      <c r="K3561" s="7">
        <f t="shared" si="222"/>
        <v>46266</v>
      </c>
      <c r="L3561" t="str">
        <f t="shared" si="223"/>
        <v>Q3-2026</v>
      </c>
    </row>
    <row r="3562" spans="1:12">
      <c r="A3562" s="6">
        <v>46266</v>
      </c>
      <c r="B3562" t="s">
        <v>18</v>
      </c>
      <c r="C3562" t="s">
        <v>19</v>
      </c>
      <c r="D3562" s="2">
        <v>181</v>
      </c>
      <c r="E3562" s="2">
        <v>182.1000061035156</v>
      </c>
      <c r="F3562" s="2">
        <v>178.5</v>
      </c>
      <c r="G3562" s="2">
        <v>181.69999694824219</v>
      </c>
      <c r="H3562" s="3">
        <v>6813425</v>
      </c>
      <c r="I3562" s="4">
        <f t="shared" si="220"/>
        <v>-1.38</v>
      </c>
      <c r="J3562" s="2">
        <f t="shared" si="221"/>
        <v>0.4</v>
      </c>
      <c r="K3562" s="7">
        <f t="shared" si="222"/>
        <v>46266</v>
      </c>
      <c r="L3562" t="str">
        <f t="shared" si="223"/>
        <v>Q3-2026</v>
      </c>
    </row>
    <row r="3563" spans="1:12">
      <c r="A3563" s="6">
        <v>46266</v>
      </c>
      <c r="B3563" t="s">
        <v>20</v>
      </c>
      <c r="C3563" t="s">
        <v>21</v>
      </c>
      <c r="D3563" s="2">
        <v>1316.099975585938</v>
      </c>
      <c r="E3563" s="2">
        <v>1368</v>
      </c>
      <c r="F3563" s="2">
        <v>1313.099975585938</v>
      </c>
      <c r="G3563" s="2">
        <v>1351.400024414062</v>
      </c>
      <c r="H3563" s="3">
        <v>4031856</v>
      </c>
      <c r="I3563" s="4">
        <f t="shared" si="220"/>
        <v>-0.23</v>
      </c>
      <c r="J3563" s="2">
        <f t="shared" si="221"/>
        <v>16.600000000000001</v>
      </c>
      <c r="K3563" s="7">
        <f t="shared" si="222"/>
        <v>46266</v>
      </c>
      <c r="L3563" t="str">
        <f t="shared" si="223"/>
        <v>Q3-2026</v>
      </c>
    </row>
    <row r="3564" spans="1:12">
      <c r="A3564" s="6">
        <v>46266</v>
      </c>
      <c r="B3564" t="s">
        <v>22</v>
      </c>
      <c r="C3564" t="s">
        <v>23</v>
      </c>
      <c r="D3564" s="2">
        <v>1065</v>
      </c>
      <c r="E3564" s="2">
        <v>1067</v>
      </c>
      <c r="F3564" s="2">
        <v>1047</v>
      </c>
      <c r="G3564" s="2">
        <v>1053.900024414062</v>
      </c>
      <c r="H3564" s="3">
        <v>4813301</v>
      </c>
      <c r="I3564" s="4">
        <f t="shared" si="220"/>
        <v>-1.69</v>
      </c>
      <c r="J3564" s="2">
        <f t="shared" si="221"/>
        <v>13.1</v>
      </c>
      <c r="K3564" s="7">
        <f t="shared" si="222"/>
        <v>46266</v>
      </c>
      <c r="L3564" t="str">
        <f t="shared" si="223"/>
        <v>Q3-2026</v>
      </c>
    </row>
    <row r="3565" spans="1:12">
      <c r="A3565" s="6">
        <v>46266</v>
      </c>
      <c r="B3565" t="s">
        <v>24</v>
      </c>
      <c r="C3565" t="s">
        <v>25</v>
      </c>
      <c r="D3565" s="2">
        <v>13540</v>
      </c>
      <c r="E3565" s="2">
        <v>13540</v>
      </c>
      <c r="F3565" s="2">
        <v>12851</v>
      </c>
      <c r="G3565" s="2">
        <v>12950</v>
      </c>
      <c r="H3565" s="3">
        <v>915975</v>
      </c>
      <c r="I3565" s="4">
        <f t="shared" si="220"/>
        <v>-5.09</v>
      </c>
      <c r="J3565" s="2">
        <f t="shared" si="221"/>
        <v>590</v>
      </c>
      <c r="K3565" s="7">
        <f t="shared" si="222"/>
        <v>46266</v>
      </c>
      <c r="L3565" t="str">
        <f t="shared" si="223"/>
        <v>Q3-2026</v>
      </c>
    </row>
    <row r="3566" spans="1:12">
      <c r="A3566" s="6">
        <v>46266</v>
      </c>
      <c r="B3566" t="s">
        <v>26</v>
      </c>
      <c r="C3566" t="s">
        <v>27</v>
      </c>
      <c r="D3566" s="2">
        <v>317.20001220703119</v>
      </c>
      <c r="E3566" s="2">
        <v>317.29998779296881</v>
      </c>
      <c r="F3566" s="2">
        <v>308.95001220703119</v>
      </c>
      <c r="G3566" s="2">
        <v>310</v>
      </c>
      <c r="H3566" s="3">
        <v>8951324</v>
      </c>
      <c r="I3566" s="4">
        <f t="shared" si="220"/>
        <v>-2.6</v>
      </c>
      <c r="J3566" s="2">
        <f t="shared" si="221"/>
        <v>7.3</v>
      </c>
      <c r="K3566" s="7">
        <f t="shared" si="222"/>
        <v>46266</v>
      </c>
      <c r="L3566" t="str">
        <f t="shared" si="223"/>
        <v>Q3-2026</v>
      </c>
    </row>
    <row r="3567" spans="1:12">
      <c r="A3567" s="6">
        <v>46266</v>
      </c>
      <c r="B3567" t="s">
        <v>28</v>
      </c>
      <c r="C3567" t="s">
        <v>29</v>
      </c>
      <c r="D3567" s="2">
        <v>1963.099975585938</v>
      </c>
      <c r="E3567" s="2">
        <v>1963.099975585938</v>
      </c>
      <c r="F3567" s="2">
        <v>1921.099975585938</v>
      </c>
      <c r="G3567" s="2">
        <v>1929</v>
      </c>
      <c r="H3567" s="3">
        <v>3595272</v>
      </c>
      <c r="I3567" s="4">
        <f t="shared" si="220"/>
        <v>-2.14</v>
      </c>
      <c r="J3567" s="2">
        <f t="shared" si="221"/>
        <v>34.1</v>
      </c>
      <c r="K3567" s="7">
        <f t="shared" si="222"/>
        <v>46266</v>
      </c>
      <c r="L3567" t="str">
        <f t="shared" si="223"/>
        <v>Q3-2026</v>
      </c>
    </row>
    <row r="3568" spans="1:12">
      <c r="A3568" s="6">
        <v>46266</v>
      </c>
      <c r="B3568" t="s">
        <v>30</v>
      </c>
      <c r="C3568" t="s">
        <v>31</v>
      </c>
      <c r="D3568" s="2">
        <v>2645.300048828125</v>
      </c>
      <c r="E3568" s="2">
        <v>2645.300048828125</v>
      </c>
      <c r="F3568" s="2">
        <v>2545.199951171875</v>
      </c>
      <c r="G3568" s="2">
        <v>2575.5</v>
      </c>
      <c r="H3568" s="3">
        <v>1046523</v>
      </c>
      <c r="I3568" s="4">
        <f t="shared" si="220"/>
        <v>-3.78</v>
      </c>
      <c r="J3568" s="2">
        <f t="shared" si="221"/>
        <v>69.8</v>
      </c>
      <c r="K3568" s="7">
        <f t="shared" si="222"/>
        <v>46266</v>
      </c>
      <c r="L3568" t="str">
        <f t="shared" si="223"/>
        <v>Q3-2026</v>
      </c>
    </row>
    <row r="3569" spans="1:12">
      <c r="A3569" s="6">
        <v>46266</v>
      </c>
      <c r="B3569" t="s">
        <v>32</v>
      </c>
      <c r="C3569" t="s">
        <v>33</v>
      </c>
      <c r="D3569" s="2">
        <v>1987</v>
      </c>
      <c r="E3569" s="2">
        <v>2003</v>
      </c>
      <c r="F3569" s="2">
        <v>1980</v>
      </c>
      <c r="G3569" s="2">
        <v>1994.800048828125</v>
      </c>
      <c r="H3569" s="3">
        <v>922778</v>
      </c>
      <c r="I3569" s="4">
        <f t="shared" si="220"/>
        <v>-0.35</v>
      </c>
      <c r="J3569" s="2">
        <f t="shared" si="221"/>
        <v>8.1999999999999993</v>
      </c>
      <c r="K3569" s="7">
        <f t="shared" si="222"/>
        <v>46266</v>
      </c>
      <c r="L3569" t="str">
        <f t="shared" si="223"/>
        <v>Q3-2026</v>
      </c>
    </row>
    <row r="3570" spans="1:12">
      <c r="A3570" s="6">
        <v>46266</v>
      </c>
      <c r="B3570" t="s">
        <v>34</v>
      </c>
      <c r="C3570" t="s">
        <v>35</v>
      </c>
      <c r="D3570" s="2">
        <v>4038</v>
      </c>
      <c r="E3570" s="2">
        <v>4038</v>
      </c>
      <c r="F3570" s="2">
        <v>3980.10009765625</v>
      </c>
      <c r="G3570" s="2">
        <v>3980.10009765625</v>
      </c>
      <c r="H3570" s="3">
        <v>944703</v>
      </c>
      <c r="I3570" s="4">
        <f t="shared" si="220"/>
        <v>-1.43</v>
      </c>
      <c r="J3570" s="2">
        <f t="shared" si="221"/>
        <v>57.9</v>
      </c>
      <c r="K3570" s="7">
        <f t="shared" si="222"/>
        <v>46266</v>
      </c>
      <c r="L3570" t="str">
        <f t="shared" si="223"/>
        <v>Q3-2026</v>
      </c>
    </row>
    <row r="3571" spans="1:12">
      <c r="A3571" s="6">
        <v>46266</v>
      </c>
      <c r="B3571" t="s">
        <v>36</v>
      </c>
      <c r="C3571" t="s">
        <v>37</v>
      </c>
      <c r="D3571" s="2">
        <v>1274.900024414062</v>
      </c>
      <c r="E3571" s="2">
        <v>1275.099975585938</v>
      </c>
      <c r="F3571" s="2">
        <v>1255</v>
      </c>
      <c r="G3571" s="2">
        <v>1258</v>
      </c>
      <c r="H3571" s="3">
        <v>5588158</v>
      </c>
      <c r="I3571" s="4">
        <f t="shared" si="220"/>
        <v>-1.56</v>
      </c>
      <c r="J3571" s="2">
        <f t="shared" si="221"/>
        <v>17.100000000000001</v>
      </c>
      <c r="K3571" s="7">
        <f t="shared" si="222"/>
        <v>46266</v>
      </c>
      <c r="L3571" t="str">
        <f t="shared" si="223"/>
        <v>Q3-2026</v>
      </c>
    </row>
    <row r="3572" spans="1:12">
      <c r="A3572" s="6">
        <v>46267</v>
      </c>
      <c r="B3572" t="s">
        <v>8</v>
      </c>
      <c r="C3572" t="s">
        <v>9</v>
      </c>
      <c r="D3572" s="2">
        <v>1298</v>
      </c>
      <c r="E3572" s="2">
        <v>1321.900024414062</v>
      </c>
      <c r="F3572" s="2">
        <v>1293.099975585938</v>
      </c>
      <c r="G3572" s="2">
        <v>1313.099975585938</v>
      </c>
      <c r="H3572" s="3">
        <v>13497841</v>
      </c>
      <c r="I3572" s="4">
        <f t="shared" si="220"/>
        <v>-0.38</v>
      </c>
      <c r="J3572" s="2">
        <f t="shared" si="221"/>
        <v>8.8000000000000007</v>
      </c>
      <c r="K3572" s="7">
        <f t="shared" si="222"/>
        <v>46266</v>
      </c>
      <c r="L3572" t="str">
        <f t="shared" si="223"/>
        <v>Q3-2026</v>
      </c>
    </row>
    <row r="3573" spans="1:12">
      <c r="A3573" s="6">
        <v>46267</v>
      </c>
      <c r="B3573" t="s">
        <v>10</v>
      </c>
      <c r="C3573" t="s">
        <v>11</v>
      </c>
      <c r="D3573" s="2">
        <v>2347.89990234375</v>
      </c>
      <c r="E3573" s="2">
        <v>2363</v>
      </c>
      <c r="F3573" s="2">
        <v>2303.5</v>
      </c>
      <c r="G3573" s="2">
        <v>2348</v>
      </c>
      <c r="H3573" s="3">
        <v>2533005</v>
      </c>
      <c r="I3573" s="4">
        <f t="shared" si="220"/>
        <v>-1.89</v>
      </c>
      <c r="J3573" s="2">
        <f t="shared" si="221"/>
        <v>15</v>
      </c>
      <c r="K3573" s="7">
        <f t="shared" si="222"/>
        <v>46266</v>
      </c>
      <c r="L3573" t="str">
        <f t="shared" si="223"/>
        <v>Q3-2026</v>
      </c>
    </row>
    <row r="3574" spans="1:12">
      <c r="A3574" s="6">
        <v>46267</v>
      </c>
      <c r="B3574" t="s">
        <v>12</v>
      </c>
      <c r="C3574" t="s">
        <v>13</v>
      </c>
      <c r="D3574" s="2">
        <v>1137.699951171875</v>
      </c>
      <c r="E3574" s="2">
        <v>1147.800048828125</v>
      </c>
      <c r="F3574" s="2">
        <v>1118.599975585938</v>
      </c>
      <c r="G3574" s="2">
        <v>1140</v>
      </c>
      <c r="H3574" s="3">
        <v>8564358</v>
      </c>
      <c r="I3574" s="4">
        <f t="shared" si="220"/>
        <v>-1.68</v>
      </c>
      <c r="J3574" s="2">
        <f t="shared" si="221"/>
        <v>7.8</v>
      </c>
      <c r="K3574" s="7">
        <f t="shared" si="222"/>
        <v>46266</v>
      </c>
      <c r="L3574" t="str">
        <f t="shared" si="223"/>
        <v>Q3-2026</v>
      </c>
    </row>
    <row r="3575" spans="1:12">
      <c r="A3575" s="6">
        <v>46267</v>
      </c>
      <c r="B3575" t="s">
        <v>14</v>
      </c>
      <c r="C3575" t="s">
        <v>15</v>
      </c>
      <c r="D3575" s="2">
        <v>702.29998779296875</v>
      </c>
      <c r="E3575" s="2">
        <v>705.6500244140625</v>
      </c>
      <c r="F3575" s="2">
        <v>700</v>
      </c>
      <c r="G3575" s="2">
        <v>700.79998779296875</v>
      </c>
      <c r="H3575" s="3">
        <v>36950338</v>
      </c>
      <c r="I3575" s="4">
        <f t="shared" si="220"/>
        <v>-0.33</v>
      </c>
      <c r="J3575" s="2">
        <f t="shared" si="221"/>
        <v>4.8499999999999996</v>
      </c>
      <c r="K3575" s="7">
        <f t="shared" si="222"/>
        <v>46266</v>
      </c>
      <c r="L3575" t="str">
        <f t="shared" si="223"/>
        <v>Q3-2026</v>
      </c>
    </row>
    <row r="3576" spans="1:12">
      <c r="A3576" s="6">
        <v>46267</v>
      </c>
      <c r="B3576" t="s">
        <v>16</v>
      </c>
      <c r="C3576" t="s">
        <v>17</v>
      </c>
      <c r="D3576" s="2">
        <v>1425.099975585938</v>
      </c>
      <c r="E3576" s="2">
        <v>1436</v>
      </c>
      <c r="F3576" s="2">
        <v>1420.699951171875</v>
      </c>
      <c r="G3576" s="2">
        <v>1426.5</v>
      </c>
      <c r="H3576" s="3">
        <v>8515824</v>
      </c>
      <c r="I3576" s="4">
        <f t="shared" si="220"/>
        <v>-0.31</v>
      </c>
      <c r="J3576" s="2">
        <f t="shared" si="221"/>
        <v>9.5</v>
      </c>
      <c r="K3576" s="7">
        <f t="shared" si="222"/>
        <v>46266</v>
      </c>
      <c r="L3576" t="str">
        <f t="shared" si="223"/>
        <v>Q3-2026</v>
      </c>
    </row>
    <row r="3577" spans="1:12">
      <c r="A3577" s="6">
        <v>46267</v>
      </c>
      <c r="B3577" t="s">
        <v>18</v>
      </c>
      <c r="C3577" t="s">
        <v>19</v>
      </c>
      <c r="D3577" s="2">
        <v>180</v>
      </c>
      <c r="E3577" s="2">
        <v>180.38999938964841</v>
      </c>
      <c r="F3577" s="2">
        <v>176.80000305175781</v>
      </c>
      <c r="G3577" s="2">
        <v>177.0899963378906</v>
      </c>
      <c r="H3577" s="3">
        <v>12056634</v>
      </c>
      <c r="I3577" s="4">
        <f t="shared" si="220"/>
        <v>-1.78</v>
      </c>
      <c r="J3577" s="2">
        <f t="shared" si="221"/>
        <v>3.3</v>
      </c>
      <c r="K3577" s="7">
        <f t="shared" si="222"/>
        <v>46266</v>
      </c>
      <c r="L3577" t="str">
        <f t="shared" si="223"/>
        <v>Q3-2026</v>
      </c>
    </row>
    <row r="3578" spans="1:12">
      <c r="A3578" s="6">
        <v>46267</v>
      </c>
      <c r="B3578" t="s">
        <v>20</v>
      </c>
      <c r="C3578" t="s">
        <v>21</v>
      </c>
      <c r="D3578" s="2">
        <v>1340.099975585938</v>
      </c>
      <c r="E3578" s="2">
        <v>1349.300048828125</v>
      </c>
      <c r="F3578" s="2">
        <v>1317.400024414062</v>
      </c>
      <c r="G3578" s="2">
        <v>1331.5</v>
      </c>
      <c r="H3578" s="3">
        <v>2739386</v>
      </c>
      <c r="I3578" s="4">
        <f t="shared" si="220"/>
        <v>-1.69</v>
      </c>
      <c r="J3578" s="2">
        <f t="shared" si="221"/>
        <v>17.8</v>
      </c>
      <c r="K3578" s="7">
        <f t="shared" si="222"/>
        <v>46266</v>
      </c>
      <c r="L3578" t="str">
        <f t="shared" si="223"/>
        <v>Q3-2026</v>
      </c>
    </row>
    <row r="3579" spans="1:12">
      <c r="A3579" s="6">
        <v>46267</v>
      </c>
      <c r="B3579" t="s">
        <v>22</v>
      </c>
      <c r="C3579" t="s">
        <v>23</v>
      </c>
      <c r="D3579" s="2">
        <v>1044.199951171875</v>
      </c>
      <c r="E3579" s="2">
        <v>1061</v>
      </c>
      <c r="F3579" s="2">
        <v>1034.800048828125</v>
      </c>
      <c r="G3579" s="2">
        <v>1055.900024414062</v>
      </c>
      <c r="H3579" s="3">
        <v>6234288</v>
      </c>
      <c r="I3579" s="4">
        <f t="shared" si="220"/>
        <v>-0.9</v>
      </c>
      <c r="J3579" s="2">
        <f t="shared" si="221"/>
        <v>5.0999999999999996</v>
      </c>
      <c r="K3579" s="7">
        <f t="shared" si="222"/>
        <v>46266</v>
      </c>
      <c r="L3579" t="str">
        <f t="shared" si="223"/>
        <v>Q3-2026</v>
      </c>
    </row>
    <row r="3580" spans="1:12">
      <c r="A3580" s="6">
        <v>46267</v>
      </c>
      <c r="B3580" t="s">
        <v>24</v>
      </c>
      <c r="C3580" t="s">
        <v>25</v>
      </c>
      <c r="D3580" s="2">
        <v>12763</v>
      </c>
      <c r="E3580" s="2">
        <v>12888</v>
      </c>
      <c r="F3580" s="2">
        <v>12640</v>
      </c>
      <c r="G3580" s="2">
        <v>12849</v>
      </c>
      <c r="H3580" s="3">
        <v>614156</v>
      </c>
      <c r="I3580" s="4">
        <f t="shared" si="220"/>
        <v>-0.96</v>
      </c>
      <c r="J3580" s="2">
        <f t="shared" si="221"/>
        <v>39</v>
      </c>
      <c r="K3580" s="7">
        <f t="shared" si="222"/>
        <v>46266</v>
      </c>
      <c r="L3580" t="str">
        <f t="shared" si="223"/>
        <v>Q3-2026</v>
      </c>
    </row>
    <row r="3581" spans="1:12">
      <c r="A3581" s="6">
        <v>46267</v>
      </c>
      <c r="B3581" t="s">
        <v>26</v>
      </c>
      <c r="C3581" t="s">
        <v>27</v>
      </c>
      <c r="D3581" s="2">
        <v>307.70001220703119</v>
      </c>
      <c r="E3581" s="2">
        <v>312.95001220703119</v>
      </c>
      <c r="F3581" s="2">
        <v>305.64999389648438</v>
      </c>
      <c r="G3581" s="2">
        <v>312.75</v>
      </c>
      <c r="H3581" s="3">
        <v>6667459</v>
      </c>
      <c r="I3581" s="4">
        <f t="shared" si="220"/>
        <v>-0.67</v>
      </c>
      <c r="J3581" s="2">
        <f t="shared" si="221"/>
        <v>0.2</v>
      </c>
      <c r="K3581" s="7">
        <f t="shared" si="222"/>
        <v>46266</v>
      </c>
      <c r="L3581" t="str">
        <f t="shared" si="223"/>
        <v>Q3-2026</v>
      </c>
    </row>
    <row r="3582" spans="1:12">
      <c r="A3582" s="6">
        <v>46267</v>
      </c>
      <c r="B3582" t="s">
        <v>28</v>
      </c>
      <c r="C3582" t="s">
        <v>29</v>
      </c>
      <c r="D3582" s="2">
        <v>1910</v>
      </c>
      <c r="E3582" s="2">
        <v>1948.5</v>
      </c>
      <c r="F3582" s="2">
        <v>1910</v>
      </c>
      <c r="G3582" s="2">
        <v>1931.699951171875</v>
      </c>
      <c r="H3582" s="3">
        <v>1245419</v>
      </c>
      <c r="I3582" s="4">
        <f t="shared" si="220"/>
        <v>0</v>
      </c>
      <c r="J3582" s="2">
        <f t="shared" si="221"/>
        <v>16.8</v>
      </c>
      <c r="K3582" s="7">
        <f t="shared" si="222"/>
        <v>46266</v>
      </c>
      <c r="L3582" t="str">
        <f t="shared" si="223"/>
        <v>Q3-2026</v>
      </c>
    </row>
    <row r="3583" spans="1:12">
      <c r="A3583" s="6">
        <v>46267</v>
      </c>
      <c r="B3583" t="s">
        <v>30</v>
      </c>
      <c r="C3583" t="s">
        <v>31</v>
      </c>
      <c r="D3583" s="2">
        <v>2548</v>
      </c>
      <c r="E3583" s="2">
        <v>2548</v>
      </c>
      <c r="F3583" s="2">
        <v>2510.699951171875</v>
      </c>
      <c r="G3583" s="2">
        <v>2527.5</v>
      </c>
      <c r="H3583" s="3">
        <v>497889</v>
      </c>
      <c r="I3583" s="4">
        <f t="shared" si="220"/>
        <v>-1.46</v>
      </c>
      <c r="J3583" s="2">
        <f t="shared" si="221"/>
        <v>20.5</v>
      </c>
      <c r="K3583" s="7">
        <f t="shared" si="222"/>
        <v>46266</v>
      </c>
      <c r="L3583" t="str">
        <f t="shared" si="223"/>
        <v>Q3-2026</v>
      </c>
    </row>
    <row r="3584" spans="1:12">
      <c r="A3584" s="6">
        <v>46267</v>
      </c>
      <c r="B3584" t="s">
        <v>32</v>
      </c>
      <c r="C3584" t="s">
        <v>33</v>
      </c>
      <c r="D3584" s="2">
        <v>1983</v>
      </c>
      <c r="E3584" s="2">
        <v>1983.800048828125</v>
      </c>
      <c r="F3584" s="2">
        <v>1962.300048828125</v>
      </c>
      <c r="G3584" s="2">
        <v>1975</v>
      </c>
      <c r="H3584" s="3">
        <v>1497019</v>
      </c>
      <c r="I3584" s="4">
        <f t="shared" si="220"/>
        <v>-1.04</v>
      </c>
      <c r="J3584" s="2">
        <f t="shared" si="221"/>
        <v>8.8000000000000007</v>
      </c>
      <c r="K3584" s="7">
        <f t="shared" si="222"/>
        <v>46266</v>
      </c>
      <c r="L3584" t="str">
        <f t="shared" si="223"/>
        <v>Q3-2026</v>
      </c>
    </row>
    <row r="3585" spans="1:12">
      <c r="A3585" s="6">
        <v>46267</v>
      </c>
      <c r="B3585" t="s">
        <v>34</v>
      </c>
      <c r="C3585" t="s">
        <v>35</v>
      </c>
      <c r="D3585" s="2">
        <v>3966</v>
      </c>
      <c r="E3585" s="2">
        <v>4002.300048828125</v>
      </c>
      <c r="F3585" s="2">
        <v>3956.699951171875</v>
      </c>
      <c r="G3585" s="2">
        <v>3981</v>
      </c>
      <c r="H3585" s="3">
        <v>1307081</v>
      </c>
      <c r="I3585" s="4">
        <f t="shared" si="220"/>
        <v>-0.23</v>
      </c>
      <c r="J3585" s="2">
        <f t="shared" si="221"/>
        <v>21.3</v>
      </c>
      <c r="K3585" s="7">
        <f t="shared" si="222"/>
        <v>46266</v>
      </c>
      <c r="L3585" t="str">
        <f t="shared" si="223"/>
        <v>Q3-2026</v>
      </c>
    </row>
    <row r="3586" spans="1:12">
      <c r="A3586" s="6">
        <v>46267</v>
      </c>
      <c r="B3586" t="s">
        <v>36</v>
      </c>
      <c r="C3586" t="s">
        <v>37</v>
      </c>
      <c r="D3586" s="2">
        <v>1254.599975585938</v>
      </c>
      <c r="E3586" s="2">
        <v>1266.900024414062</v>
      </c>
      <c r="F3586" s="2">
        <v>1250</v>
      </c>
      <c r="G3586" s="2">
        <v>1253.900024414062</v>
      </c>
      <c r="H3586" s="3">
        <v>6437250</v>
      </c>
      <c r="I3586" s="4">
        <f t="shared" ref="I3586:I3649" si="224">ROUND(((F3586-D3586)/D3586)*100, 2)</f>
        <v>-0.37</v>
      </c>
      <c r="J3586" s="2">
        <f t="shared" ref="J3586:J3649" si="225">ROUND(E3586-G3586, 2)</f>
        <v>13</v>
      </c>
      <c r="K3586" s="7">
        <f t="shared" ref="K3586:K3649" si="226">DATE(YEAR(A3586),MONTH(A3586),1)</f>
        <v>46266</v>
      </c>
      <c r="L3586" t="str">
        <f t="shared" ref="L3586:L3649" si="227">"Q"&amp;INT((MONTH(A3586)-1)/3)+1&amp;"-"&amp;YEAR(A3586)</f>
        <v>Q3-2026</v>
      </c>
    </row>
    <row r="3587" spans="1:12">
      <c r="A3587" s="6">
        <v>46268</v>
      </c>
      <c r="B3587" t="s">
        <v>8</v>
      </c>
      <c r="C3587" t="s">
        <v>9</v>
      </c>
      <c r="D3587" s="2">
        <v>1313.099975585938</v>
      </c>
      <c r="E3587" s="2">
        <v>1316.800048828125</v>
      </c>
      <c r="F3587" s="2">
        <v>1302.5</v>
      </c>
      <c r="G3587" s="2">
        <v>1302.5</v>
      </c>
      <c r="H3587" s="3">
        <v>9721454</v>
      </c>
      <c r="I3587" s="4">
        <f t="shared" si="224"/>
        <v>-0.81</v>
      </c>
      <c r="J3587" s="2">
        <f t="shared" si="225"/>
        <v>14.3</v>
      </c>
      <c r="K3587" s="7">
        <f t="shared" si="226"/>
        <v>46266</v>
      </c>
      <c r="L3587" t="str">
        <f t="shared" si="227"/>
        <v>Q3-2026</v>
      </c>
    </row>
    <row r="3588" spans="1:12">
      <c r="A3588" s="6">
        <v>46268</v>
      </c>
      <c r="B3588" t="s">
        <v>10</v>
      </c>
      <c r="C3588" t="s">
        <v>11</v>
      </c>
      <c r="D3588" s="2">
        <v>2353.60009765625</v>
      </c>
      <c r="E3588" s="2">
        <v>2353.60009765625</v>
      </c>
      <c r="F3588" s="2">
        <v>2316.10009765625</v>
      </c>
      <c r="G3588" s="2">
        <v>2320.10009765625</v>
      </c>
      <c r="H3588" s="3">
        <v>1892786</v>
      </c>
      <c r="I3588" s="4">
        <f t="shared" si="224"/>
        <v>-1.59</v>
      </c>
      <c r="J3588" s="2">
        <f t="shared" si="225"/>
        <v>33.5</v>
      </c>
      <c r="K3588" s="7">
        <f t="shared" si="226"/>
        <v>46266</v>
      </c>
      <c r="L3588" t="str">
        <f t="shared" si="227"/>
        <v>Q3-2026</v>
      </c>
    </row>
    <row r="3589" spans="1:12">
      <c r="A3589" s="6">
        <v>46268</v>
      </c>
      <c r="B3589" t="s">
        <v>12</v>
      </c>
      <c r="C3589" t="s">
        <v>13</v>
      </c>
      <c r="D3589" s="2">
        <v>1144</v>
      </c>
      <c r="E3589" s="2">
        <v>1144</v>
      </c>
      <c r="F3589" s="2">
        <v>1122.5</v>
      </c>
      <c r="G3589" s="2">
        <v>1130.300048828125</v>
      </c>
      <c r="H3589" s="3">
        <v>5786250</v>
      </c>
      <c r="I3589" s="4">
        <f t="shared" si="224"/>
        <v>-1.88</v>
      </c>
      <c r="J3589" s="2">
        <f t="shared" si="225"/>
        <v>13.7</v>
      </c>
      <c r="K3589" s="7">
        <f t="shared" si="226"/>
        <v>46266</v>
      </c>
      <c r="L3589" t="str">
        <f t="shared" si="227"/>
        <v>Q3-2026</v>
      </c>
    </row>
    <row r="3590" spans="1:12">
      <c r="A3590" s="6">
        <v>46268</v>
      </c>
      <c r="B3590" t="s">
        <v>14</v>
      </c>
      <c r="C3590" t="s">
        <v>15</v>
      </c>
      <c r="D3590" s="2">
        <v>705</v>
      </c>
      <c r="E3590" s="2">
        <v>712.5999755859375</v>
      </c>
      <c r="F3590" s="2">
        <v>705</v>
      </c>
      <c r="G3590" s="2">
        <v>706.6500244140625</v>
      </c>
      <c r="H3590" s="3">
        <v>27770641</v>
      </c>
      <c r="I3590" s="4">
        <f t="shared" si="224"/>
        <v>0</v>
      </c>
      <c r="J3590" s="2">
        <f t="shared" si="225"/>
        <v>5.95</v>
      </c>
      <c r="K3590" s="7">
        <f t="shared" si="226"/>
        <v>46266</v>
      </c>
      <c r="L3590" t="str">
        <f t="shared" si="227"/>
        <v>Q3-2026</v>
      </c>
    </row>
    <row r="3591" spans="1:12">
      <c r="A3591" s="6">
        <v>46268</v>
      </c>
      <c r="B3591" t="s">
        <v>16</v>
      </c>
      <c r="C3591" t="s">
        <v>17</v>
      </c>
      <c r="D3591" s="2">
        <v>1438.300048828125</v>
      </c>
      <c r="E3591" s="2">
        <v>1452</v>
      </c>
      <c r="F3591" s="2">
        <v>1430</v>
      </c>
      <c r="G3591" s="2">
        <v>1430</v>
      </c>
      <c r="H3591" s="3">
        <v>10503351</v>
      </c>
      <c r="I3591" s="4">
        <f t="shared" si="224"/>
        <v>-0.57999999999999996</v>
      </c>
      <c r="J3591" s="2">
        <f t="shared" si="225"/>
        <v>22</v>
      </c>
      <c r="K3591" s="7">
        <f t="shared" si="226"/>
        <v>46266</v>
      </c>
      <c r="L3591" t="str">
        <f t="shared" si="227"/>
        <v>Q3-2026</v>
      </c>
    </row>
    <row r="3592" spans="1:12">
      <c r="A3592" s="6">
        <v>46268</v>
      </c>
      <c r="B3592" t="s">
        <v>18</v>
      </c>
      <c r="C3592" t="s">
        <v>19</v>
      </c>
      <c r="D3592" s="2">
        <v>177.5</v>
      </c>
      <c r="E3592" s="2">
        <v>178.03999328613281</v>
      </c>
      <c r="F3592" s="2">
        <v>175.7200012207031</v>
      </c>
      <c r="G3592" s="2">
        <v>175.7200012207031</v>
      </c>
      <c r="H3592" s="3">
        <v>6496396</v>
      </c>
      <c r="I3592" s="4">
        <f t="shared" si="224"/>
        <v>-1</v>
      </c>
      <c r="J3592" s="2">
        <f t="shared" si="225"/>
        <v>2.3199999999999998</v>
      </c>
      <c r="K3592" s="7">
        <f t="shared" si="226"/>
        <v>46266</v>
      </c>
      <c r="L3592" t="str">
        <f t="shared" si="227"/>
        <v>Q3-2026</v>
      </c>
    </row>
    <row r="3593" spans="1:12">
      <c r="A3593" s="6">
        <v>46268</v>
      </c>
      <c r="B3593" t="s">
        <v>20</v>
      </c>
      <c r="C3593" t="s">
        <v>21</v>
      </c>
      <c r="D3593" s="2">
        <v>1345</v>
      </c>
      <c r="E3593" s="2">
        <v>1345</v>
      </c>
      <c r="F3593" s="2">
        <v>1308</v>
      </c>
      <c r="G3593" s="2">
        <v>1319</v>
      </c>
      <c r="H3593" s="3">
        <v>1515496</v>
      </c>
      <c r="I3593" s="4">
        <f t="shared" si="224"/>
        <v>-2.75</v>
      </c>
      <c r="J3593" s="2">
        <f t="shared" si="225"/>
        <v>26</v>
      </c>
      <c r="K3593" s="7">
        <f t="shared" si="226"/>
        <v>46266</v>
      </c>
      <c r="L3593" t="str">
        <f t="shared" si="227"/>
        <v>Q3-2026</v>
      </c>
    </row>
    <row r="3594" spans="1:12">
      <c r="A3594" s="6">
        <v>46268</v>
      </c>
      <c r="B3594" t="s">
        <v>22</v>
      </c>
      <c r="C3594" t="s">
        <v>23</v>
      </c>
      <c r="D3594" s="2">
        <v>1057.099975585938</v>
      </c>
      <c r="E3594" s="2">
        <v>1059.699951171875</v>
      </c>
      <c r="F3594" s="2">
        <v>1043.199951171875</v>
      </c>
      <c r="G3594" s="2">
        <v>1049</v>
      </c>
      <c r="H3594" s="3">
        <v>6626755</v>
      </c>
      <c r="I3594" s="4">
        <f t="shared" si="224"/>
        <v>-1.31</v>
      </c>
      <c r="J3594" s="2">
        <f t="shared" si="225"/>
        <v>10.7</v>
      </c>
      <c r="K3594" s="7">
        <f t="shared" si="226"/>
        <v>46266</v>
      </c>
      <c r="L3594" t="str">
        <f t="shared" si="227"/>
        <v>Q3-2026</v>
      </c>
    </row>
    <row r="3595" spans="1:12">
      <c r="A3595" s="6">
        <v>46268</v>
      </c>
      <c r="B3595" t="s">
        <v>24</v>
      </c>
      <c r="C3595" t="s">
        <v>25</v>
      </c>
      <c r="D3595" s="2">
        <v>12853</v>
      </c>
      <c r="E3595" s="2">
        <v>12927</v>
      </c>
      <c r="F3595" s="2">
        <v>12780</v>
      </c>
      <c r="G3595" s="2">
        <v>12857</v>
      </c>
      <c r="H3595" s="3">
        <v>362982</v>
      </c>
      <c r="I3595" s="4">
        <f t="shared" si="224"/>
        <v>-0.56999999999999995</v>
      </c>
      <c r="J3595" s="2">
        <f t="shared" si="225"/>
        <v>70</v>
      </c>
      <c r="K3595" s="7">
        <f t="shared" si="226"/>
        <v>46266</v>
      </c>
      <c r="L3595" t="str">
        <f t="shared" si="227"/>
        <v>Q3-2026</v>
      </c>
    </row>
    <row r="3596" spans="1:12">
      <c r="A3596" s="6">
        <v>46268</v>
      </c>
      <c r="B3596" t="s">
        <v>26</v>
      </c>
      <c r="C3596" t="s">
        <v>27</v>
      </c>
      <c r="D3596" s="2">
        <v>314</v>
      </c>
      <c r="E3596" s="2">
        <v>314.25</v>
      </c>
      <c r="F3596" s="2">
        <v>309.60000610351563</v>
      </c>
      <c r="G3596" s="2">
        <v>312</v>
      </c>
      <c r="H3596" s="3">
        <v>5195643</v>
      </c>
      <c r="I3596" s="4">
        <f t="shared" si="224"/>
        <v>-1.4</v>
      </c>
      <c r="J3596" s="2">
        <f t="shared" si="225"/>
        <v>2.25</v>
      </c>
      <c r="K3596" s="7">
        <f t="shared" si="226"/>
        <v>46266</v>
      </c>
      <c r="L3596" t="str">
        <f t="shared" si="227"/>
        <v>Q3-2026</v>
      </c>
    </row>
    <row r="3597" spans="1:12">
      <c r="A3597" s="6">
        <v>46268</v>
      </c>
      <c r="B3597" t="s">
        <v>28</v>
      </c>
      <c r="C3597" t="s">
        <v>29</v>
      </c>
      <c r="D3597" s="2">
        <v>1932</v>
      </c>
      <c r="E3597" s="2">
        <v>1936.800048828125</v>
      </c>
      <c r="F3597" s="2">
        <v>1913</v>
      </c>
      <c r="G3597" s="2">
        <v>1916</v>
      </c>
      <c r="H3597" s="3">
        <v>1205188</v>
      </c>
      <c r="I3597" s="4">
        <f t="shared" si="224"/>
        <v>-0.98</v>
      </c>
      <c r="J3597" s="2">
        <f t="shared" si="225"/>
        <v>20.8</v>
      </c>
      <c r="K3597" s="7">
        <f t="shared" si="226"/>
        <v>46266</v>
      </c>
      <c r="L3597" t="str">
        <f t="shared" si="227"/>
        <v>Q3-2026</v>
      </c>
    </row>
    <row r="3598" spans="1:12">
      <c r="A3598" s="6">
        <v>46268</v>
      </c>
      <c r="B3598" t="s">
        <v>30</v>
      </c>
      <c r="C3598" t="s">
        <v>31</v>
      </c>
      <c r="D3598" s="2">
        <v>2530</v>
      </c>
      <c r="E3598" s="2">
        <v>2544</v>
      </c>
      <c r="F3598" s="2">
        <v>2515.10009765625</v>
      </c>
      <c r="G3598" s="2">
        <v>2541.60009765625</v>
      </c>
      <c r="H3598" s="3">
        <v>589499</v>
      </c>
      <c r="I3598" s="4">
        <f t="shared" si="224"/>
        <v>-0.59</v>
      </c>
      <c r="J3598" s="2">
        <f t="shared" si="225"/>
        <v>2.4</v>
      </c>
      <c r="K3598" s="7">
        <f t="shared" si="226"/>
        <v>46266</v>
      </c>
      <c r="L3598" t="str">
        <f t="shared" si="227"/>
        <v>Q3-2026</v>
      </c>
    </row>
    <row r="3599" spans="1:12">
      <c r="A3599" s="6">
        <v>46268</v>
      </c>
      <c r="B3599" t="s">
        <v>32</v>
      </c>
      <c r="C3599" t="s">
        <v>33</v>
      </c>
      <c r="D3599" s="2">
        <v>1978.900024414062</v>
      </c>
      <c r="E3599" s="2">
        <v>1978.900024414062</v>
      </c>
      <c r="F3599" s="2">
        <v>1959.900024414062</v>
      </c>
      <c r="G3599" s="2">
        <v>1962</v>
      </c>
      <c r="H3599" s="3">
        <v>1638341</v>
      </c>
      <c r="I3599" s="4">
        <f t="shared" si="224"/>
        <v>-0.96</v>
      </c>
      <c r="J3599" s="2">
        <f t="shared" si="225"/>
        <v>16.899999999999999</v>
      </c>
      <c r="K3599" s="7">
        <f t="shared" si="226"/>
        <v>46266</v>
      </c>
      <c r="L3599" t="str">
        <f t="shared" si="227"/>
        <v>Q3-2026</v>
      </c>
    </row>
    <row r="3600" spans="1:12">
      <c r="A3600" s="6">
        <v>46268</v>
      </c>
      <c r="B3600" t="s">
        <v>34</v>
      </c>
      <c r="C3600" t="s">
        <v>35</v>
      </c>
      <c r="D3600" s="2">
        <v>3999.800048828125</v>
      </c>
      <c r="E3600" s="2">
        <v>4027.699951171875</v>
      </c>
      <c r="F3600" s="2">
        <v>3975</v>
      </c>
      <c r="G3600" s="2">
        <v>3975</v>
      </c>
      <c r="H3600" s="3">
        <v>940768</v>
      </c>
      <c r="I3600" s="4">
        <f t="shared" si="224"/>
        <v>-0.62</v>
      </c>
      <c r="J3600" s="2">
        <f t="shared" si="225"/>
        <v>52.7</v>
      </c>
      <c r="K3600" s="7">
        <f t="shared" si="226"/>
        <v>46266</v>
      </c>
      <c r="L3600" t="str">
        <f t="shared" si="227"/>
        <v>Q3-2026</v>
      </c>
    </row>
    <row r="3601" spans="1:12">
      <c r="A3601" s="6">
        <v>46268</v>
      </c>
      <c r="B3601" t="s">
        <v>36</v>
      </c>
      <c r="C3601" t="s">
        <v>37</v>
      </c>
      <c r="D3601" s="2">
        <v>1265</v>
      </c>
      <c r="E3601" s="2">
        <v>1278.900024414062</v>
      </c>
      <c r="F3601" s="2">
        <v>1260.199951171875</v>
      </c>
      <c r="G3601" s="2">
        <v>1267</v>
      </c>
      <c r="H3601" s="3">
        <v>3309215</v>
      </c>
      <c r="I3601" s="4">
        <f t="shared" si="224"/>
        <v>-0.38</v>
      </c>
      <c r="J3601" s="2">
        <f t="shared" si="225"/>
        <v>11.9</v>
      </c>
      <c r="K3601" s="7">
        <f t="shared" si="226"/>
        <v>46266</v>
      </c>
      <c r="L3601" t="str">
        <f t="shared" si="227"/>
        <v>Q3-2026</v>
      </c>
    </row>
    <row r="3602" spans="1:12">
      <c r="A3602" s="6">
        <v>46269</v>
      </c>
      <c r="B3602" t="s">
        <v>8</v>
      </c>
      <c r="C3602" t="s">
        <v>9</v>
      </c>
      <c r="D3602" s="2">
        <v>1304.099975585938</v>
      </c>
      <c r="E3602" s="2">
        <v>1333</v>
      </c>
      <c r="F3602" s="2">
        <v>1304.099975585938</v>
      </c>
      <c r="G3602" s="2">
        <v>1322</v>
      </c>
      <c r="H3602" s="3">
        <v>13031534</v>
      </c>
      <c r="I3602" s="4">
        <f t="shared" si="224"/>
        <v>0</v>
      </c>
      <c r="J3602" s="2">
        <f t="shared" si="225"/>
        <v>11</v>
      </c>
      <c r="K3602" s="7">
        <f t="shared" si="226"/>
        <v>46266</v>
      </c>
      <c r="L3602" t="str">
        <f t="shared" si="227"/>
        <v>Q3-2026</v>
      </c>
    </row>
    <row r="3603" spans="1:12">
      <c r="A3603" s="6">
        <v>46269</v>
      </c>
      <c r="B3603" t="s">
        <v>10</v>
      </c>
      <c r="C3603" t="s">
        <v>11</v>
      </c>
      <c r="D3603" s="2">
        <v>2330</v>
      </c>
      <c r="E3603" s="2">
        <v>2363.89990234375</v>
      </c>
      <c r="F3603" s="2">
        <v>2302.39990234375</v>
      </c>
      <c r="G3603" s="2">
        <v>2304</v>
      </c>
      <c r="H3603" s="3">
        <v>2564322</v>
      </c>
      <c r="I3603" s="4">
        <f t="shared" si="224"/>
        <v>-1.18</v>
      </c>
      <c r="J3603" s="2">
        <f t="shared" si="225"/>
        <v>59.9</v>
      </c>
      <c r="K3603" s="7">
        <f t="shared" si="226"/>
        <v>46266</v>
      </c>
      <c r="L3603" t="str">
        <f t="shared" si="227"/>
        <v>Q3-2026</v>
      </c>
    </row>
    <row r="3604" spans="1:12">
      <c r="A3604" s="6">
        <v>46269</v>
      </c>
      <c r="B3604" t="s">
        <v>12</v>
      </c>
      <c r="C3604" t="s">
        <v>13</v>
      </c>
      <c r="D3604" s="2">
        <v>1133</v>
      </c>
      <c r="E3604" s="2">
        <v>1146.699951171875</v>
      </c>
      <c r="F3604" s="2">
        <v>1125.400024414062</v>
      </c>
      <c r="G3604" s="2">
        <v>1130</v>
      </c>
      <c r="H3604" s="3">
        <v>5881388</v>
      </c>
      <c r="I3604" s="4">
        <f t="shared" si="224"/>
        <v>-0.67</v>
      </c>
      <c r="J3604" s="2">
        <f t="shared" si="225"/>
        <v>16.7</v>
      </c>
      <c r="K3604" s="7">
        <f t="shared" si="226"/>
        <v>46266</v>
      </c>
      <c r="L3604" t="str">
        <f t="shared" si="227"/>
        <v>Q3-2026</v>
      </c>
    </row>
    <row r="3605" spans="1:12">
      <c r="A3605" s="6">
        <v>46269</v>
      </c>
      <c r="B3605" t="s">
        <v>14</v>
      </c>
      <c r="C3605" t="s">
        <v>15</v>
      </c>
      <c r="D3605" s="2">
        <v>708.3499755859375</v>
      </c>
      <c r="E3605" s="2">
        <v>716.5</v>
      </c>
      <c r="F3605" s="2">
        <v>708.3499755859375</v>
      </c>
      <c r="G3605" s="2">
        <v>712.0999755859375</v>
      </c>
      <c r="H3605" s="3">
        <v>14488024</v>
      </c>
      <c r="I3605" s="4">
        <f t="shared" si="224"/>
        <v>0</v>
      </c>
      <c r="J3605" s="2">
        <f t="shared" si="225"/>
        <v>4.4000000000000004</v>
      </c>
      <c r="K3605" s="7">
        <f t="shared" si="226"/>
        <v>46266</v>
      </c>
      <c r="L3605" t="str">
        <f t="shared" si="227"/>
        <v>Q3-2026</v>
      </c>
    </row>
    <row r="3606" spans="1:12">
      <c r="A3606" s="6">
        <v>46269</v>
      </c>
      <c r="B3606" t="s">
        <v>16</v>
      </c>
      <c r="C3606" t="s">
        <v>17</v>
      </c>
      <c r="D3606" s="2">
        <v>1432.099975585938</v>
      </c>
      <c r="E3606" s="2">
        <v>1438.300048828125</v>
      </c>
      <c r="F3606" s="2">
        <v>1421.400024414062</v>
      </c>
      <c r="G3606" s="2">
        <v>1423.199951171875</v>
      </c>
      <c r="H3606" s="3">
        <v>6693889</v>
      </c>
      <c r="I3606" s="4">
        <f t="shared" si="224"/>
        <v>-0.75</v>
      </c>
      <c r="J3606" s="2">
        <f t="shared" si="225"/>
        <v>15.1</v>
      </c>
      <c r="K3606" s="7">
        <f t="shared" si="226"/>
        <v>46266</v>
      </c>
      <c r="L3606" t="str">
        <f t="shared" si="227"/>
        <v>Q3-2026</v>
      </c>
    </row>
    <row r="3607" spans="1:12">
      <c r="A3607" s="6">
        <v>46269</v>
      </c>
      <c r="B3607" t="s">
        <v>18</v>
      </c>
      <c r="C3607" t="s">
        <v>19</v>
      </c>
      <c r="D3607" s="2">
        <v>176.74000549316409</v>
      </c>
      <c r="E3607" s="2">
        <v>178.75</v>
      </c>
      <c r="F3607" s="2">
        <v>176.3999938964844</v>
      </c>
      <c r="G3607" s="2">
        <v>176.3999938964844</v>
      </c>
      <c r="H3607" s="3">
        <v>6882678</v>
      </c>
      <c r="I3607" s="4">
        <f t="shared" si="224"/>
        <v>-0.19</v>
      </c>
      <c r="J3607" s="2">
        <f t="shared" si="225"/>
        <v>2.35</v>
      </c>
      <c r="K3607" s="7">
        <f t="shared" si="226"/>
        <v>46266</v>
      </c>
      <c r="L3607" t="str">
        <f t="shared" si="227"/>
        <v>Q3-2026</v>
      </c>
    </row>
    <row r="3608" spans="1:12">
      <c r="A3608" s="6">
        <v>46269</v>
      </c>
      <c r="B3608" t="s">
        <v>20</v>
      </c>
      <c r="C3608" t="s">
        <v>21</v>
      </c>
      <c r="D3608" s="2">
        <v>1324.900024414062</v>
      </c>
      <c r="E3608" s="2">
        <v>1331.400024414062</v>
      </c>
      <c r="F3608" s="2">
        <v>1291.199951171875</v>
      </c>
      <c r="G3608" s="2">
        <v>1293.400024414062</v>
      </c>
      <c r="H3608" s="3">
        <v>2210569</v>
      </c>
      <c r="I3608" s="4">
        <f t="shared" si="224"/>
        <v>-2.54</v>
      </c>
      <c r="J3608" s="2">
        <f t="shared" si="225"/>
        <v>38</v>
      </c>
      <c r="K3608" s="7">
        <f t="shared" si="226"/>
        <v>46266</v>
      </c>
      <c r="L3608" t="str">
        <f t="shared" si="227"/>
        <v>Q3-2026</v>
      </c>
    </row>
    <row r="3609" spans="1:12">
      <c r="A3609" s="6">
        <v>46269</v>
      </c>
      <c r="B3609" t="s">
        <v>22</v>
      </c>
      <c r="C3609" t="s">
        <v>23</v>
      </c>
      <c r="D3609" s="2">
        <v>1050.599975585938</v>
      </c>
      <c r="E3609" s="2">
        <v>1063.599975585938</v>
      </c>
      <c r="F3609" s="2">
        <v>1049.699951171875</v>
      </c>
      <c r="G3609" s="2">
        <v>1060.5</v>
      </c>
      <c r="H3609" s="3">
        <v>5952048</v>
      </c>
      <c r="I3609" s="4">
        <f t="shared" si="224"/>
        <v>-0.09</v>
      </c>
      <c r="J3609" s="2">
        <f t="shared" si="225"/>
        <v>3.1</v>
      </c>
      <c r="K3609" s="7">
        <f t="shared" si="226"/>
        <v>46266</v>
      </c>
      <c r="L3609" t="str">
        <f t="shared" si="227"/>
        <v>Q3-2026</v>
      </c>
    </row>
    <row r="3610" spans="1:12">
      <c r="A3610" s="6">
        <v>46269</v>
      </c>
      <c r="B3610" t="s">
        <v>24</v>
      </c>
      <c r="C3610" t="s">
        <v>25</v>
      </c>
      <c r="D3610" s="2">
        <v>12880</v>
      </c>
      <c r="E3610" s="2">
        <v>12880</v>
      </c>
      <c r="F3610" s="2">
        <v>12656</v>
      </c>
      <c r="G3610" s="2">
        <v>12694</v>
      </c>
      <c r="H3610" s="3">
        <v>322752</v>
      </c>
      <c r="I3610" s="4">
        <f t="shared" si="224"/>
        <v>-1.74</v>
      </c>
      <c r="J3610" s="2">
        <f t="shared" si="225"/>
        <v>186</v>
      </c>
      <c r="K3610" s="7">
        <f t="shared" si="226"/>
        <v>46266</v>
      </c>
      <c r="L3610" t="str">
        <f t="shared" si="227"/>
        <v>Q3-2026</v>
      </c>
    </row>
    <row r="3611" spans="1:12">
      <c r="A3611" s="6">
        <v>46269</v>
      </c>
      <c r="B3611" t="s">
        <v>26</v>
      </c>
      <c r="C3611" t="s">
        <v>27</v>
      </c>
      <c r="D3611" s="2">
        <v>312</v>
      </c>
      <c r="E3611" s="2">
        <v>315.5</v>
      </c>
      <c r="F3611" s="2">
        <v>310.64999389648438</v>
      </c>
      <c r="G3611" s="2">
        <v>311.5</v>
      </c>
      <c r="H3611" s="3">
        <v>4010174</v>
      </c>
      <c r="I3611" s="4">
        <f t="shared" si="224"/>
        <v>-0.43</v>
      </c>
      <c r="J3611" s="2">
        <f t="shared" si="225"/>
        <v>4</v>
      </c>
      <c r="K3611" s="7">
        <f t="shared" si="226"/>
        <v>46266</v>
      </c>
      <c r="L3611" t="str">
        <f t="shared" si="227"/>
        <v>Q3-2026</v>
      </c>
    </row>
    <row r="3612" spans="1:12">
      <c r="A3612" s="6">
        <v>46269</v>
      </c>
      <c r="B3612" t="s">
        <v>28</v>
      </c>
      <c r="C3612" t="s">
        <v>29</v>
      </c>
      <c r="D3612" s="2">
        <v>1912</v>
      </c>
      <c r="E3612" s="2">
        <v>1917.300048828125</v>
      </c>
      <c r="F3612" s="2">
        <v>1895</v>
      </c>
      <c r="G3612" s="2">
        <v>1899</v>
      </c>
      <c r="H3612" s="3">
        <v>761333</v>
      </c>
      <c r="I3612" s="4">
        <f t="shared" si="224"/>
        <v>-0.89</v>
      </c>
      <c r="J3612" s="2">
        <f t="shared" si="225"/>
        <v>18.3</v>
      </c>
      <c r="K3612" s="7">
        <f t="shared" si="226"/>
        <v>46266</v>
      </c>
      <c r="L3612" t="str">
        <f t="shared" si="227"/>
        <v>Q3-2026</v>
      </c>
    </row>
    <row r="3613" spans="1:12">
      <c r="A3613" s="6">
        <v>46269</v>
      </c>
      <c r="B3613" t="s">
        <v>30</v>
      </c>
      <c r="C3613" t="s">
        <v>31</v>
      </c>
      <c r="D3613" s="2">
        <v>2540</v>
      </c>
      <c r="E3613" s="2">
        <v>2553.89990234375</v>
      </c>
      <c r="F3613" s="2">
        <v>2519.800048828125</v>
      </c>
      <c r="G3613" s="2">
        <v>2527.300048828125</v>
      </c>
      <c r="H3613" s="3">
        <v>399368</v>
      </c>
      <c r="I3613" s="4">
        <f t="shared" si="224"/>
        <v>-0.8</v>
      </c>
      <c r="J3613" s="2">
        <f t="shared" si="225"/>
        <v>26.6</v>
      </c>
      <c r="K3613" s="7">
        <f t="shared" si="226"/>
        <v>46266</v>
      </c>
      <c r="L3613" t="str">
        <f t="shared" si="227"/>
        <v>Q3-2026</v>
      </c>
    </row>
    <row r="3614" spans="1:12">
      <c r="A3614" s="6">
        <v>46269</v>
      </c>
      <c r="B3614" t="s">
        <v>32</v>
      </c>
      <c r="C3614" t="s">
        <v>33</v>
      </c>
      <c r="D3614" s="2">
        <v>1967</v>
      </c>
      <c r="E3614" s="2">
        <v>1984.199951171875</v>
      </c>
      <c r="F3614" s="2">
        <v>1950.400024414062</v>
      </c>
      <c r="G3614" s="2">
        <v>1973.400024414062</v>
      </c>
      <c r="H3614" s="3">
        <v>2247162</v>
      </c>
      <c r="I3614" s="4">
        <f t="shared" si="224"/>
        <v>-0.84</v>
      </c>
      <c r="J3614" s="2">
        <f t="shared" si="225"/>
        <v>10.8</v>
      </c>
      <c r="K3614" s="7">
        <f t="shared" si="226"/>
        <v>46266</v>
      </c>
      <c r="L3614" t="str">
        <f t="shared" si="227"/>
        <v>Q3-2026</v>
      </c>
    </row>
    <row r="3615" spans="1:12">
      <c r="A3615" s="6">
        <v>46269</v>
      </c>
      <c r="B3615" t="s">
        <v>34</v>
      </c>
      <c r="C3615" t="s">
        <v>35</v>
      </c>
      <c r="D3615" s="2">
        <v>3981</v>
      </c>
      <c r="E3615" s="2">
        <v>3994.89990234375</v>
      </c>
      <c r="F3615" s="2">
        <v>3964.10009765625</v>
      </c>
      <c r="G3615" s="2">
        <v>3964.10009765625</v>
      </c>
      <c r="H3615" s="3">
        <v>1319056</v>
      </c>
      <c r="I3615" s="4">
        <f t="shared" si="224"/>
        <v>-0.42</v>
      </c>
      <c r="J3615" s="2">
        <f t="shared" si="225"/>
        <v>30.8</v>
      </c>
      <c r="K3615" s="7">
        <f t="shared" si="226"/>
        <v>46266</v>
      </c>
      <c r="L3615" t="str">
        <f t="shared" si="227"/>
        <v>Q3-2026</v>
      </c>
    </row>
    <row r="3616" spans="1:12">
      <c r="A3616" s="6">
        <v>46269</v>
      </c>
      <c r="B3616" t="s">
        <v>36</v>
      </c>
      <c r="C3616" t="s">
        <v>37</v>
      </c>
      <c r="D3616" s="2">
        <v>1270.300048828125</v>
      </c>
      <c r="E3616" s="2">
        <v>1280.699951171875</v>
      </c>
      <c r="F3616" s="2">
        <v>1262</v>
      </c>
      <c r="G3616" s="2">
        <v>1273</v>
      </c>
      <c r="H3616" s="3">
        <v>3810611</v>
      </c>
      <c r="I3616" s="4">
        <f t="shared" si="224"/>
        <v>-0.65</v>
      </c>
      <c r="J3616" s="2">
        <f t="shared" si="225"/>
        <v>7.7</v>
      </c>
      <c r="K3616" s="7">
        <f t="shared" si="226"/>
        <v>46266</v>
      </c>
      <c r="L3616" t="str">
        <f t="shared" si="227"/>
        <v>Q3-2026</v>
      </c>
    </row>
    <row r="3617" spans="1:12">
      <c r="A3617" s="6">
        <v>46272</v>
      </c>
      <c r="B3617" t="s">
        <v>8</v>
      </c>
      <c r="C3617" t="s">
        <v>9</v>
      </c>
      <c r="D3617" s="2">
        <v>1323.099975585938</v>
      </c>
      <c r="E3617" s="2">
        <v>1324.199951171875</v>
      </c>
      <c r="F3617" s="2">
        <v>1301.900024414062</v>
      </c>
      <c r="G3617" s="2">
        <v>1309.5</v>
      </c>
      <c r="H3617" s="3">
        <v>10210522</v>
      </c>
      <c r="I3617" s="4">
        <f t="shared" si="224"/>
        <v>-1.6</v>
      </c>
      <c r="J3617" s="2">
        <f t="shared" si="225"/>
        <v>14.7</v>
      </c>
      <c r="K3617" s="7">
        <f t="shared" si="226"/>
        <v>46266</v>
      </c>
      <c r="L3617" t="str">
        <f t="shared" si="227"/>
        <v>Q3-2026</v>
      </c>
    </row>
    <row r="3618" spans="1:12">
      <c r="A3618" s="6">
        <v>46272</v>
      </c>
      <c r="B3618" t="s">
        <v>10</v>
      </c>
      <c r="C3618" t="s">
        <v>11</v>
      </c>
      <c r="D3618" s="2">
        <v>2290.10009765625</v>
      </c>
      <c r="E3618" s="2">
        <v>2299.89990234375</v>
      </c>
      <c r="F3618" s="2">
        <v>2260.10009765625</v>
      </c>
      <c r="G3618" s="2">
        <v>2270</v>
      </c>
      <c r="H3618" s="3">
        <v>2297551</v>
      </c>
      <c r="I3618" s="4">
        <f t="shared" si="224"/>
        <v>-1.31</v>
      </c>
      <c r="J3618" s="2">
        <f t="shared" si="225"/>
        <v>29.9</v>
      </c>
      <c r="K3618" s="7">
        <f t="shared" si="226"/>
        <v>46266</v>
      </c>
      <c r="L3618" t="str">
        <f t="shared" si="227"/>
        <v>Q3-2026</v>
      </c>
    </row>
    <row r="3619" spans="1:12">
      <c r="A3619" s="6">
        <v>46272</v>
      </c>
      <c r="B3619" t="s">
        <v>12</v>
      </c>
      <c r="C3619" t="s">
        <v>13</v>
      </c>
      <c r="D3619" s="2">
        <v>1109.5</v>
      </c>
      <c r="E3619" s="2">
        <v>1109.900024414062</v>
      </c>
      <c r="F3619" s="2">
        <v>1085</v>
      </c>
      <c r="G3619" s="2">
        <v>1087.5</v>
      </c>
      <c r="H3619" s="3">
        <v>7668346</v>
      </c>
      <c r="I3619" s="4">
        <f t="shared" si="224"/>
        <v>-2.21</v>
      </c>
      <c r="J3619" s="2">
        <f t="shared" si="225"/>
        <v>22.4</v>
      </c>
      <c r="K3619" s="7">
        <f t="shared" si="226"/>
        <v>46266</v>
      </c>
      <c r="L3619" t="str">
        <f t="shared" si="227"/>
        <v>Q3-2026</v>
      </c>
    </row>
    <row r="3620" spans="1:12">
      <c r="A3620" s="6">
        <v>46272</v>
      </c>
      <c r="B3620" t="s">
        <v>14</v>
      </c>
      <c r="C3620" t="s">
        <v>15</v>
      </c>
      <c r="D3620" s="2">
        <v>712.0999755859375</v>
      </c>
      <c r="E3620" s="2">
        <v>713</v>
      </c>
      <c r="F3620" s="2">
        <v>707.04998779296875</v>
      </c>
      <c r="G3620" s="2">
        <v>710.5</v>
      </c>
      <c r="H3620" s="3">
        <v>12180390</v>
      </c>
      <c r="I3620" s="4">
        <f t="shared" si="224"/>
        <v>-0.71</v>
      </c>
      <c r="J3620" s="2">
        <f t="shared" si="225"/>
        <v>2.5</v>
      </c>
      <c r="K3620" s="7">
        <f t="shared" si="226"/>
        <v>46266</v>
      </c>
      <c r="L3620" t="str">
        <f t="shared" si="227"/>
        <v>Q3-2026</v>
      </c>
    </row>
    <row r="3621" spans="1:12">
      <c r="A3621" s="6">
        <v>46272</v>
      </c>
      <c r="B3621" t="s">
        <v>16</v>
      </c>
      <c r="C3621" t="s">
        <v>17</v>
      </c>
      <c r="D3621" s="2">
        <v>1428</v>
      </c>
      <c r="E3621" s="2">
        <v>1434.400024414062</v>
      </c>
      <c r="F3621" s="2">
        <v>1422.599975585938</v>
      </c>
      <c r="G3621" s="2">
        <v>1427.5</v>
      </c>
      <c r="H3621" s="3">
        <v>8035111</v>
      </c>
      <c r="I3621" s="4">
        <f t="shared" si="224"/>
        <v>-0.38</v>
      </c>
      <c r="J3621" s="2">
        <f t="shared" si="225"/>
        <v>6.9</v>
      </c>
      <c r="K3621" s="7">
        <f t="shared" si="226"/>
        <v>46266</v>
      </c>
      <c r="L3621" t="str">
        <f t="shared" si="227"/>
        <v>Q3-2026</v>
      </c>
    </row>
    <row r="3622" spans="1:12">
      <c r="A3622" s="6">
        <v>46272</v>
      </c>
      <c r="B3622" t="s">
        <v>18</v>
      </c>
      <c r="C3622" t="s">
        <v>19</v>
      </c>
      <c r="D3622" s="2">
        <v>175.88999938964841</v>
      </c>
      <c r="E3622" s="2">
        <v>176.4700012207031</v>
      </c>
      <c r="F3622" s="2">
        <v>172.6499938964844</v>
      </c>
      <c r="G3622" s="2">
        <v>172.80000305175781</v>
      </c>
      <c r="H3622" s="3">
        <v>10720636</v>
      </c>
      <c r="I3622" s="4">
        <f t="shared" si="224"/>
        <v>-1.84</v>
      </c>
      <c r="J3622" s="2">
        <f t="shared" si="225"/>
        <v>3.67</v>
      </c>
      <c r="K3622" s="7">
        <f t="shared" si="226"/>
        <v>46266</v>
      </c>
      <c r="L3622" t="str">
        <f t="shared" si="227"/>
        <v>Q3-2026</v>
      </c>
    </row>
    <row r="3623" spans="1:12">
      <c r="A3623" s="6">
        <v>46272</v>
      </c>
      <c r="B3623" t="s">
        <v>20</v>
      </c>
      <c r="C3623" t="s">
        <v>21</v>
      </c>
      <c r="D3623" s="2">
        <v>1271.699951171875</v>
      </c>
      <c r="E3623" s="2">
        <v>1286.800048828125</v>
      </c>
      <c r="F3623" s="2">
        <v>1263</v>
      </c>
      <c r="G3623" s="2">
        <v>1282.800048828125</v>
      </c>
      <c r="H3623" s="3">
        <v>2008363</v>
      </c>
      <c r="I3623" s="4">
        <f t="shared" si="224"/>
        <v>-0.68</v>
      </c>
      <c r="J3623" s="2">
        <f t="shared" si="225"/>
        <v>4</v>
      </c>
      <c r="K3623" s="7">
        <f t="shared" si="226"/>
        <v>46266</v>
      </c>
      <c r="L3623" t="str">
        <f t="shared" si="227"/>
        <v>Q3-2026</v>
      </c>
    </row>
    <row r="3624" spans="1:12">
      <c r="A3624" s="6">
        <v>46272</v>
      </c>
      <c r="B3624" t="s">
        <v>22</v>
      </c>
      <c r="C3624" t="s">
        <v>23</v>
      </c>
      <c r="D3624" s="2">
        <v>1064</v>
      </c>
      <c r="E3624" s="2">
        <v>1070</v>
      </c>
      <c r="F3624" s="2">
        <v>1054.300048828125</v>
      </c>
      <c r="G3624" s="2">
        <v>1060</v>
      </c>
      <c r="H3624" s="3">
        <v>3586860</v>
      </c>
      <c r="I3624" s="4">
        <f t="shared" si="224"/>
        <v>-0.91</v>
      </c>
      <c r="J3624" s="2">
        <f t="shared" si="225"/>
        <v>10</v>
      </c>
      <c r="K3624" s="7">
        <f t="shared" si="226"/>
        <v>46266</v>
      </c>
      <c r="L3624" t="str">
        <f t="shared" si="227"/>
        <v>Q3-2026</v>
      </c>
    </row>
    <row r="3625" spans="1:12">
      <c r="A3625" s="6">
        <v>46272</v>
      </c>
      <c r="B3625" t="s">
        <v>24</v>
      </c>
      <c r="C3625" t="s">
        <v>25</v>
      </c>
      <c r="D3625" s="2">
        <v>12691</v>
      </c>
      <c r="E3625" s="2">
        <v>12833</v>
      </c>
      <c r="F3625" s="2">
        <v>12618</v>
      </c>
      <c r="G3625" s="2">
        <v>12760</v>
      </c>
      <c r="H3625" s="3">
        <v>413778</v>
      </c>
      <c r="I3625" s="4">
        <f t="shared" si="224"/>
        <v>-0.57999999999999996</v>
      </c>
      <c r="J3625" s="2">
        <f t="shared" si="225"/>
        <v>73</v>
      </c>
      <c r="K3625" s="7">
        <f t="shared" si="226"/>
        <v>46266</v>
      </c>
      <c r="L3625" t="str">
        <f t="shared" si="227"/>
        <v>Q3-2026</v>
      </c>
    </row>
    <row r="3626" spans="1:12">
      <c r="A3626" s="6">
        <v>46272</v>
      </c>
      <c r="B3626" t="s">
        <v>26</v>
      </c>
      <c r="C3626" t="s">
        <v>27</v>
      </c>
      <c r="D3626" s="2">
        <v>311.5</v>
      </c>
      <c r="E3626" s="2">
        <v>312</v>
      </c>
      <c r="F3626" s="2">
        <v>307</v>
      </c>
      <c r="G3626" s="2">
        <v>307</v>
      </c>
      <c r="H3626" s="3">
        <v>6493351</v>
      </c>
      <c r="I3626" s="4">
        <f t="shared" si="224"/>
        <v>-1.44</v>
      </c>
      <c r="J3626" s="2">
        <f t="shared" si="225"/>
        <v>5</v>
      </c>
      <c r="K3626" s="7">
        <f t="shared" si="226"/>
        <v>46266</v>
      </c>
      <c r="L3626" t="str">
        <f t="shared" si="227"/>
        <v>Q3-2026</v>
      </c>
    </row>
    <row r="3627" spans="1:12">
      <c r="A3627" s="6">
        <v>46272</v>
      </c>
      <c r="B3627" t="s">
        <v>28</v>
      </c>
      <c r="C3627" t="s">
        <v>29</v>
      </c>
      <c r="D3627" s="2">
        <v>1899</v>
      </c>
      <c r="E3627" s="2">
        <v>1907.800048828125</v>
      </c>
      <c r="F3627" s="2">
        <v>1883.099975585938</v>
      </c>
      <c r="G3627" s="2">
        <v>1895</v>
      </c>
      <c r="H3627" s="3">
        <v>1579345</v>
      </c>
      <c r="I3627" s="4">
        <f t="shared" si="224"/>
        <v>-0.84</v>
      </c>
      <c r="J3627" s="2">
        <f t="shared" si="225"/>
        <v>12.8</v>
      </c>
      <c r="K3627" s="7">
        <f t="shared" si="226"/>
        <v>46266</v>
      </c>
      <c r="L3627" t="str">
        <f t="shared" si="227"/>
        <v>Q3-2026</v>
      </c>
    </row>
    <row r="3628" spans="1:12">
      <c r="A3628" s="6">
        <v>46272</v>
      </c>
      <c r="B3628" t="s">
        <v>30</v>
      </c>
      <c r="C3628" t="s">
        <v>31</v>
      </c>
      <c r="D3628" s="2">
        <v>2511.10009765625</v>
      </c>
      <c r="E3628" s="2">
        <v>2523.5</v>
      </c>
      <c r="F3628" s="2">
        <v>2489.699951171875</v>
      </c>
      <c r="G3628" s="2">
        <v>2500.89990234375</v>
      </c>
      <c r="H3628" s="3">
        <v>240336</v>
      </c>
      <c r="I3628" s="4">
        <f t="shared" si="224"/>
        <v>-0.85</v>
      </c>
      <c r="J3628" s="2">
        <f t="shared" si="225"/>
        <v>22.6</v>
      </c>
      <c r="K3628" s="7">
        <f t="shared" si="226"/>
        <v>46266</v>
      </c>
      <c r="L3628" t="str">
        <f t="shared" si="227"/>
        <v>Q3-2026</v>
      </c>
    </row>
    <row r="3629" spans="1:12">
      <c r="A3629" s="6">
        <v>46272</v>
      </c>
      <c r="B3629" t="s">
        <v>34</v>
      </c>
      <c r="C3629" t="s">
        <v>35</v>
      </c>
      <c r="D3629" s="2">
        <v>3962</v>
      </c>
      <c r="E3629" s="2">
        <v>4004.89990234375</v>
      </c>
      <c r="F3629" s="2">
        <v>3960.89990234375</v>
      </c>
      <c r="G3629" s="2">
        <v>3999</v>
      </c>
      <c r="H3629" s="3">
        <v>1256683</v>
      </c>
      <c r="I3629" s="4">
        <f t="shared" si="224"/>
        <v>-0.03</v>
      </c>
      <c r="J3629" s="2">
        <f t="shared" si="225"/>
        <v>5.9</v>
      </c>
      <c r="K3629" s="7">
        <f t="shared" si="226"/>
        <v>46266</v>
      </c>
      <c r="L3629" t="str">
        <f t="shared" si="227"/>
        <v>Q3-2026</v>
      </c>
    </row>
    <row r="3630" spans="1:12">
      <c r="A3630" s="6">
        <v>46273</v>
      </c>
      <c r="B3630" t="s">
        <v>8</v>
      </c>
      <c r="C3630" t="s">
        <v>9</v>
      </c>
      <c r="D3630" s="2">
        <v>1304.099975585938</v>
      </c>
      <c r="E3630" s="2">
        <v>1306.800048828125</v>
      </c>
      <c r="F3630" s="2">
        <v>1288</v>
      </c>
      <c r="G3630" s="2">
        <v>1294.900024414062</v>
      </c>
      <c r="H3630" s="3">
        <v>9799528</v>
      </c>
      <c r="I3630" s="4">
        <f t="shared" si="224"/>
        <v>-1.23</v>
      </c>
      <c r="J3630" s="2">
        <f t="shared" si="225"/>
        <v>11.9</v>
      </c>
      <c r="K3630" s="7">
        <f t="shared" si="226"/>
        <v>46266</v>
      </c>
      <c r="L3630" t="str">
        <f t="shared" si="227"/>
        <v>Q3-2026</v>
      </c>
    </row>
    <row r="3631" spans="1:12">
      <c r="A3631" s="6">
        <v>46273</v>
      </c>
      <c r="B3631" t="s">
        <v>10</v>
      </c>
      <c r="C3631" t="s">
        <v>11</v>
      </c>
      <c r="D3631" s="2">
        <v>2270</v>
      </c>
      <c r="E3631" s="2">
        <v>2274.5</v>
      </c>
      <c r="F3631" s="2">
        <v>2244</v>
      </c>
      <c r="G3631" s="2">
        <v>2255.5</v>
      </c>
      <c r="H3631" s="3">
        <v>2148114</v>
      </c>
      <c r="I3631" s="4">
        <f t="shared" si="224"/>
        <v>-1.1499999999999999</v>
      </c>
      <c r="J3631" s="2">
        <f t="shared" si="225"/>
        <v>19</v>
      </c>
      <c r="K3631" s="7">
        <f t="shared" si="226"/>
        <v>46266</v>
      </c>
      <c r="L3631" t="str">
        <f t="shared" si="227"/>
        <v>Q3-2026</v>
      </c>
    </row>
    <row r="3632" spans="1:12">
      <c r="A3632" s="6">
        <v>46273</v>
      </c>
      <c r="B3632" t="s">
        <v>12</v>
      </c>
      <c r="C3632" t="s">
        <v>13</v>
      </c>
      <c r="D3632" s="2">
        <v>1095</v>
      </c>
      <c r="E3632" s="2">
        <v>1095</v>
      </c>
      <c r="F3632" s="2">
        <v>1078.900024414062</v>
      </c>
      <c r="G3632" s="2">
        <v>1082</v>
      </c>
      <c r="H3632" s="3">
        <v>6269037</v>
      </c>
      <c r="I3632" s="4">
        <f t="shared" si="224"/>
        <v>-1.47</v>
      </c>
      <c r="J3632" s="2">
        <f t="shared" si="225"/>
        <v>13</v>
      </c>
      <c r="K3632" s="7">
        <f t="shared" si="226"/>
        <v>46266</v>
      </c>
      <c r="L3632" t="str">
        <f t="shared" si="227"/>
        <v>Q3-2026</v>
      </c>
    </row>
    <row r="3633" spans="1:12">
      <c r="A3633" s="6">
        <v>46273</v>
      </c>
      <c r="B3633" t="s">
        <v>14</v>
      </c>
      <c r="C3633" t="s">
        <v>15</v>
      </c>
      <c r="D3633" s="2">
        <v>707.0999755859375</v>
      </c>
      <c r="E3633" s="2">
        <v>708.9000244140625</v>
      </c>
      <c r="F3633" s="2">
        <v>703</v>
      </c>
      <c r="G3633" s="2">
        <v>703</v>
      </c>
      <c r="H3633" s="3">
        <v>19883515</v>
      </c>
      <c r="I3633" s="4">
        <f t="shared" si="224"/>
        <v>-0.57999999999999996</v>
      </c>
      <c r="J3633" s="2">
        <f t="shared" si="225"/>
        <v>5.9</v>
      </c>
      <c r="K3633" s="7">
        <f t="shared" si="226"/>
        <v>46266</v>
      </c>
      <c r="L3633" t="str">
        <f t="shared" si="227"/>
        <v>Q3-2026</v>
      </c>
    </row>
    <row r="3634" spans="1:12">
      <c r="A3634" s="6">
        <v>46273</v>
      </c>
      <c r="B3634" t="s">
        <v>16</v>
      </c>
      <c r="C3634" t="s">
        <v>17</v>
      </c>
      <c r="D3634" s="2">
        <v>1424</v>
      </c>
      <c r="E3634" s="2">
        <v>1424.900024414062</v>
      </c>
      <c r="F3634" s="2">
        <v>1396.300048828125</v>
      </c>
      <c r="G3634" s="2">
        <v>1399.400024414062</v>
      </c>
      <c r="H3634" s="3">
        <v>12123411</v>
      </c>
      <c r="I3634" s="4">
        <f t="shared" si="224"/>
        <v>-1.95</v>
      </c>
      <c r="J3634" s="2">
        <f t="shared" si="225"/>
        <v>25.5</v>
      </c>
      <c r="K3634" s="7">
        <f t="shared" si="226"/>
        <v>46266</v>
      </c>
      <c r="L3634" t="str">
        <f t="shared" si="227"/>
        <v>Q3-2026</v>
      </c>
    </row>
    <row r="3635" spans="1:12">
      <c r="A3635" s="6">
        <v>46273</v>
      </c>
      <c r="B3635" t="s">
        <v>18</v>
      </c>
      <c r="C3635" t="s">
        <v>19</v>
      </c>
      <c r="D3635" s="2">
        <v>172.80000305175781</v>
      </c>
      <c r="E3635" s="2">
        <v>172.8999938964844</v>
      </c>
      <c r="F3635" s="2">
        <v>171.1300048828125</v>
      </c>
      <c r="G3635" s="2">
        <v>171.5</v>
      </c>
      <c r="H3635" s="3">
        <v>6948945</v>
      </c>
      <c r="I3635" s="4">
        <f t="shared" si="224"/>
        <v>-0.97</v>
      </c>
      <c r="J3635" s="2">
        <f t="shared" si="225"/>
        <v>1.4</v>
      </c>
      <c r="K3635" s="7">
        <f t="shared" si="226"/>
        <v>46266</v>
      </c>
      <c r="L3635" t="str">
        <f t="shared" si="227"/>
        <v>Q3-2026</v>
      </c>
    </row>
    <row r="3636" spans="1:12">
      <c r="A3636" s="6">
        <v>46273</v>
      </c>
      <c r="B3636" t="s">
        <v>20</v>
      </c>
      <c r="C3636" t="s">
        <v>21</v>
      </c>
      <c r="D3636" s="2">
        <v>1281.400024414062</v>
      </c>
      <c r="E3636" s="2">
        <v>1290</v>
      </c>
      <c r="F3636" s="2">
        <v>1268.199951171875</v>
      </c>
      <c r="G3636" s="2">
        <v>1277</v>
      </c>
      <c r="H3636" s="3">
        <v>2241262</v>
      </c>
      <c r="I3636" s="4">
        <f t="shared" si="224"/>
        <v>-1.03</v>
      </c>
      <c r="J3636" s="2">
        <f t="shared" si="225"/>
        <v>13</v>
      </c>
      <c r="K3636" s="7">
        <f t="shared" si="226"/>
        <v>46266</v>
      </c>
      <c r="L3636" t="str">
        <f t="shared" si="227"/>
        <v>Q3-2026</v>
      </c>
    </row>
    <row r="3637" spans="1:12">
      <c r="A3637" s="6">
        <v>46273</v>
      </c>
      <c r="B3637" t="s">
        <v>22</v>
      </c>
      <c r="C3637" t="s">
        <v>23</v>
      </c>
      <c r="D3637" s="2">
        <v>1058.800048828125</v>
      </c>
      <c r="E3637" s="2">
        <v>1059.599975585938</v>
      </c>
      <c r="F3637" s="2">
        <v>1050</v>
      </c>
      <c r="G3637" s="2">
        <v>1054.099975585938</v>
      </c>
      <c r="H3637" s="3">
        <v>3608327</v>
      </c>
      <c r="I3637" s="4">
        <f t="shared" si="224"/>
        <v>-0.83</v>
      </c>
      <c r="J3637" s="2">
        <f t="shared" si="225"/>
        <v>5.5</v>
      </c>
      <c r="K3637" s="7">
        <f t="shared" si="226"/>
        <v>46266</v>
      </c>
      <c r="L3637" t="str">
        <f t="shared" si="227"/>
        <v>Q3-2026</v>
      </c>
    </row>
    <row r="3638" spans="1:12">
      <c r="A3638" s="6">
        <v>46273</v>
      </c>
      <c r="B3638" t="s">
        <v>24</v>
      </c>
      <c r="C3638" t="s">
        <v>25</v>
      </c>
      <c r="D3638" s="2">
        <v>12758</v>
      </c>
      <c r="E3638" s="2">
        <v>12758</v>
      </c>
      <c r="F3638" s="2">
        <v>12582</v>
      </c>
      <c r="G3638" s="2">
        <v>12641</v>
      </c>
      <c r="H3638" s="3">
        <v>356860</v>
      </c>
      <c r="I3638" s="4">
        <f t="shared" si="224"/>
        <v>-1.38</v>
      </c>
      <c r="J3638" s="2">
        <f t="shared" si="225"/>
        <v>117</v>
      </c>
      <c r="K3638" s="7">
        <f t="shared" si="226"/>
        <v>46266</v>
      </c>
      <c r="L3638" t="str">
        <f t="shared" si="227"/>
        <v>Q3-2026</v>
      </c>
    </row>
    <row r="3639" spans="1:12">
      <c r="A3639" s="6">
        <v>46273</v>
      </c>
      <c r="B3639" t="s">
        <v>26</v>
      </c>
      <c r="C3639" t="s">
        <v>27</v>
      </c>
      <c r="D3639" s="2">
        <v>306.10000610351563</v>
      </c>
      <c r="E3639" s="2">
        <v>306.64999389648438</v>
      </c>
      <c r="F3639" s="2">
        <v>302.45001220703119</v>
      </c>
      <c r="G3639" s="2">
        <v>306.45001220703119</v>
      </c>
      <c r="H3639" s="3">
        <v>6921996</v>
      </c>
      <c r="I3639" s="4">
        <f t="shared" si="224"/>
        <v>-1.19</v>
      </c>
      <c r="J3639" s="2">
        <f t="shared" si="225"/>
        <v>0.2</v>
      </c>
      <c r="K3639" s="7">
        <f t="shared" si="226"/>
        <v>46266</v>
      </c>
      <c r="L3639" t="str">
        <f t="shared" si="227"/>
        <v>Q3-2026</v>
      </c>
    </row>
    <row r="3640" spans="1:12">
      <c r="A3640" s="6">
        <v>46273</v>
      </c>
      <c r="B3640" t="s">
        <v>28</v>
      </c>
      <c r="C3640" t="s">
        <v>29</v>
      </c>
      <c r="D3640" s="2">
        <v>1892</v>
      </c>
      <c r="E3640" s="2">
        <v>1895.599975585938</v>
      </c>
      <c r="F3640" s="2">
        <v>1876.800048828125</v>
      </c>
      <c r="G3640" s="2">
        <v>1885.900024414062</v>
      </c>
      <c r="H3640" s="3">
        <v>1422627</v>
      </c>
      <c r="I3640" s="4">
        <f t="shared" si="224"/>
        <v>-0.8</v>
      </c>
      <c r="J3640" s="2">
        <f t="shared" si="225"/>
        <v>9.6999999999999993</v>
      </c>
      <c r="K3640" s="7">
        <f t="shared" si="226"/>
        <v>46266</v>
      </c>
      <c r="L3640" t="str">
        <f t="shared" si="227"/>
        <v>Q3-2026</v>
      </c>
    </row>
    <row r="3641" spans="1:12">
      <c r="A3641" s="6">
        <v>46273</v>
      </c>
      <c r="B3641" t="s">
        <v>30</v>
      </c>
      <c r="C3641" t="s">
        <v>31</v>
      </c>
      <c r="D3641" s="2">
        <v>2499</v>
      </c>
      <c r="E3641" s="2">
        <v>2499</v>
      </c>
      <c r="F3641" s="2">
        <v>2474.10009765625</v>
      </c>
      <c r="G3641" s="2">
        <v>2481.60009765625</v>
      </c>
      <c r="H3641" s="3">
        <v>373248</v>
      </c>
      <c r="I3641" s="4">
        <f t="shared" si="224"/>
        <v>-1</v>
      </c>
      <c r="J3641" s="2">
        <f t="shared" si="225"/>
        <v>17.399999999999999</v>
      </c>
      <c r="K3641" s="7">
        <f t="shared" si="226"/>
        <v>46266</v>
      </c>
      <c r="L3641" t="str">
        <f t="shared" si="227"/>
        <v>Q3-2026</v>
      </c>
    </row>
    <row r="3642" spans="1:12">
      <c r="A3642" s="6">
        <v>46273</v>
      </c>
      <c r="B3642" t="s">
        <v>32</v>
      </c>
      <c r="C3642" t="s">
        <v>33</v>
      </c>
      <c r="D3642" s="2">
        <v>1967</v>
      </c>
      <c r="E3642" s="2">
        <v>1990.800048828125</v>
      </c>
      <c r="F3642" s="2">
        <v>1956.699951171875</v>
      </c>
      <c r="G3642" s="2">
        <v>1980</v>
      </c>
      <c r="H3642" s="3">
        <v>1256067</v>
      </c>
      <c r="I3642" s="4">
        <f t="shared" si="224"/>
        <v>-0.52</v>
      </c>
      <c r="J3642" s="2">
        <f t="shared" si="225"/>
        <v>10.8</v>
      </c>
      <c r="K3642" s="7">
        <f t="shared" si="226"/>
        <v>46266</v>
      </c>
      <c r="L3642" t="str">
        <f t="shared" si="227"/>
        <v>Q3-2026</v>
      </c>
    </row>
    <row r="3643" spans="1:12">
      <c r="A3643" s="6">
        <v>46273</v>
      </c>
      <c r="B3643" t="s">
        <v>34</v>
      </c>
      <c r="C3643" t="s">
        <v>35</v>
      </c>
      <c r="D3643" s="2">
        <v>3988.699951171875</v>
      </c>
      <c r="E3643" s="2">
        <v>3988.699951171875</v>
      </c>
      <c r="F3643" s="2">
        <v>3946.10009765625</v>
      </c>
      <c r="G3643" s="2">
        <v>3946.10009765625</v>
      </c>
      <c r="H3643" s="3">
        <v>1200872</v>
      </c>
      <c r="I3643" s="4">
        <f t="shared" si="224"/>
        <v>-1.07</v>
      </c>
      <c r="J3643" s="2">
        <f t="shared" si="225"/>
        <v>42.6</v>
      </c>
      <c r="K3643" s="7">
        <f t="shared" si="226"/>
        <v>46266</v>
      </c>
      <c r="L3643" t="str">
        <f t="shared" si="227"/>
        <v>Q3-2026</v>
      </c>
    </row>
    <row r="3644" spans="1:12">
      <c r="A3644" s="6">
        <v>46273</v>
      </c>
      <c r="B3644" t="s">
        <v>36</v>
      </c>
      <c r="C3644" t="s">
        <v>37</v>
      </c>
      <c r="D3644" s="2">
        <v>1262.800048828125</v>
      </c>
      <c r="E3644" s="2">
        <v>1264.900024414062</v>
      </c>
      <c r="F3644" s="2">
        <v>1239.5</v>
      </c>
      <c r="G3644" s="2">
        <v>1244.900024414062</v>
      </c>
      <c r="H3644" s="3">
        <v>3623260</v>
      </c>
      <c r="I3644" s="4">
        <f t="shared" si="224"/>
        <v>-1.85</v>
      </c>
      <c r="J3644" s="2">
        <f t="shared" si="225"/>
        <v>20</v>
      </c>
      <c r="K3644" s="7">
        <f t="shared" si="226"/>
        <v>46266</v>
      </c>
      <c r="L3644" t="str">
        <f t="shared" si="227"/>
        <v>Q3-2026</v>
      </c>
    </row>
    <row r="3645" spans="1:12">
      <c r="A3645" s="6">
        <v>46274</v>
      </c>
      <c r="B3645" t="s">
        <v>8</v>
      </c>
      <c r="C3645" t="s">
        <v>9</v>
      </c>
      <c r="D3645" s="2">
        <v>1283.5</v>
      </c>
      <c r="E3645" s="2">
        <v>1294.699951171875</v>
      </c>
      <c r="F3645" s="2">
        <v>1277.199951171875</v>
      </c>
      <c r="G3645" s="2">
        <v>1279</v>
      </c>
      <c r="H3645" s="3">
        <v>12152819</v>
      </c>
      <c r="I3645" s="4">
        <f t="shared" si="224"/>
        <v>-0.49</v>
      </c>
      <c r="J3645" s="2">
        <f t="shared" si="225"/>
        <v>15.7</v>
      </c>
      <c r="K3645" s="7">
        <f t="shared" si="226"/>
        <v>46266</v>
      </c>
      <c r="L3645" t="str">
        <f t="shared" si="227"/>
        <v>Q3-2026</v>
      </c>
    </row>
    <row r="3646" spans="1:12">
      <c r="A3646" s="6">
        <v>46274</v>
      </c>
      <c r="B3646" t="s">
        <v>10</v>
      </c>
      <c r="C3646" t="s">
        <v>11</v>
      </c>
      <c r="D3646" s="2">
        <v>2237</v>
      </c>
      <c r="E3646" s="2">
        <v>2237</v>
      </c>
      <c r="F3646" s="2">
        <v>2193.199951171875</v>
      </c>
      <c r="G3646" s="2">
        <v>2208</v>
      </c>
      <c r="H3646" s="3">
        <v>3370071</v>
      </c>
      <c r="I3646" s="4">
        <f t="shared" si="224"/>
        <v>-1.96</v>
      </c>
      <c r="J3646" s="2">
        <f t="shared" si="225"/>
        <v>29</v>
      </c>
      <c r="K3646" s="7">
        <f t="shared" si="226"/>
        <v>46266</v>
      </c>
      <c r="L3646" t="str">
        <f t="shared" si="227"/>
        <v>Q3-2026</v>
      </c>
    </row>
    <row r="3647" spans="1:12">
      <c r="A3647" s="6">
        <v>46274</v>
      </c>
      <c r="B3647" t="s">
        <v>12</v>
      </c>
      <c r="C3647" t="s">
        <v>13</v>
      </c>
      <c r="D3647" s="2">
        <v>1059</v>
      </c>
      <c r="E3647" s="2">
        <v>1059</v>
      </c>
      <c r="F3647" s="2">
        <v>1026.5</v>
      </c>
      <c r="G3647" s="2">
        <v>1035</v>
      </c>
      <c r="H3647" s="3">
        <v>13530457</v>
      </c>
      <c r="I3647" s="4">
        <f t="shared" si="224"/>
        <v>-3.07</v>
      </c>
      <c r="J3647" s="2">
        <f t="shared" si="225"/>
        <v>24</v>
      </c>
      <c r="K3647" s="7">
        <f t="shared" si="226"/>
        <v>46266</v>
      </c>
      <c r="L3647" t="str">
        <f t="shared" si="227"/>
        <v>Q3-2026</v>
      </c>
    </row>
    <row r="3648" spans="1:12">
      <c r="A3648" s="6">
        <v>46274</v>
      </c>
      <c r="B3648" t="s">
        <v>14</v>
      </c>
      <c r="C3648" t="s">
        <v>15</v>
      </c>
      <c r="D3648" s="2">
        <v>698</v>
      </c>
      <c r="E3648" s="2">
        <v>700</v>
      </c>
      <c r="F3648" s="2">
        <v>687.0999755859375</v>
      </c>
      <c r="G3648" s="2">
        <v>687.0999755859375</v>
      </c>
      <c r="H3648" s="3">
        <v>39173990</v>
      </c>
      <c r="I3648" s="4">
        <f t="shared" si="224"/>
        <v>-1.56</v>
      </c>
      <c r="J3648" s="2">
        <f t="shared" si="225"/>
        <v>12.9</v>
      </c>
      <c r="K3648" s="7">
        <f t="shared" si="226"/>
        <v>46266</v>
      </c>
      <c r="L3648" t="str">
        <f t="shared" si="227"/>
        <v>Q3-2026</v>
      </c>
    </row>
    <row r="3649" spans="1:12">
      <c r="A3649" s="6">
        <v>46274</v>
      </c>
      <c r="B3649" t="s">
        <v>16</v>
      </c>
      <c r="C3649" t="s">
        <v>17</v>
      </c>
      <c r="D3649" s="2">
        <v>1395.900024414062</v>
      </c>
      <c r="E3649" s="2">
        <v>1402.5</v>
      </c>
      <c r="F3649" s="2">
        <v>1385.5</v>
      </c>
      <c r="G3649" s="2">
        <v>1389.099975585938</v>
      </c>
      <c r="H3649" s="3">
        <v>14229080</v>
      </c>
      <c r="I3649" s="4">
        <f t="shared" si="224"/>
        <v>-0.75</v>
      </c>
      <c r="J3649" s="2">
        <f t="shared" si="225"/>
        <v>13.4</v>
      </c>
      <c r="K3649" s="7">
        <f t="shared" si="226"/>
        <v>46266</v>
      </c>
      <c r="L3649" t="str">
        <f t="shared" si="227"/>
        <v>Q3-2026</v>
      </c>
    </row>
    <row r="3650" spans="1:12">
      <c r="A3650" s="6">
        <v>46274</v>
      </c>
      <c r="B3650" t="s">
        <v>18</v>
      </c>
      <c r="C3650" t="s">
        <v>19</v>
      </c>
      <c r="D3650" s="2">
        <v>168.69999694824219</v>
      </c>
      <c r="E3650" s="2">
        <v>169.1499938964844</v>
      </c>
      <c r="F3650" s="2">
        <v>166.3699951171875</v>
      </c>
      <c r="G3650" s="2">
        <v>167</v>
      </c>
      <c r="H3650" s="3">
        <v>12001620</v>
      </c>
      <c r="I3650" s="4">
        <f t="shared" ref="I3650:I3689" si="228">ROUND(((F3650-D3650)/D3650)*100, 2)</f>
        <v>-1.38</v>
      </c>
      <c r="J3650" s="2">
        <f t="shared" ref="J3650:J3689" si="229">ROUND(E3650-G3650, 2)</f>
        <v>2.15</v>
      </c>
      <c r="K3650" s="7">
        <f t="shared" ref="K3650:K3689" si="230">DATE(YEAR(A3650),MONTH(A3650),1)</f>
        <v>46266</v>
      </c>
      <c r="L3650" t="str">
        <f t="shared" ref="L3650:L3689" si="231">"Q"&amp;INT((MONTH(A3650)-1)/3)+1&amp;"-"&amp;YEAR(A3650)</f>
        <v>Q3-2026</v>
      </c>
    </row>
    <row r="3651" spans="1:12">
      <c r="A3651" s="6">
        <v>46274</v>
      </c>
      <c r="B3651" t="s">
        <v>20</v>
      </c>
      <c r="C3651" t="s">
        <v>21</v>
      </c>
      <c r="D3651" s="2">
        <v>1248.800048828125</v>
      </c>
      <c r="E3651" s="2">
        <v>1264.800048828125</v>
      </c>
      <c r="F3651" s="2">
        <v>1222.699951171875</v>
      </c>
      <c r="G3651" s="2">
        <v>1229.800048828125</v>
      </c>
      <c r="H3651" s="3">
        <v>2099173</v>
      </c>
      <c r="I3651" s="4">
        <f t="shared" si="228"/>
        <v>-2.09</v>
      </c>
      <c r="J3651" s="2">
        <f t="shared" si="229"/>
        <v>35</v>
      </c>
      <c r="K3651" s="7">
        <f t="shared" si="230"/>
        <v>46266</v>
      </c>
      <c r="L3651" t="str">
        <f t="shared" si="231"/>
        <v>Q3-2026</v>
      </c>
    </row>
    <row r="3652" spans="1:12">
      <c r="A3652" s="6">
        <v>46274</v>
      </c>
      <c r="B3652" t="s">
        <v>22</v>
      </c>
      <c r="C3652" t="s">
        <v>23</v>
      </c>
      <c r="D3652" s="2">
        <v>1045.099975585938</v>
      </c>
      <c r="E3652" s="2">
        <v>1060.099975585938</v>
      </c>
      <c r="F3652" s="2">
        <v>1038.5</v>
      </c>
      <c r="G3652" s="2">
        <v>1039.300048828125</v>
      </c>
      <c r="H3652" s="3">
        <v>9244698</v>
      </c>
      <c r="I3652" s="4">
        <f t="shared" si="228"/>
        <v>-0.63</v>
      </c>
      <c r="J3652" s="2">
        <f t="shared" si="229"/>
        <v>20.8</v>
      </c>
      <c r="K3652" s="7">
        <f t="shared" si="230"/>
        <v>46266</v>
      </c>
      <c r="L3652" t="str">
        <f t="shared" si="231"/>
        <v>Q3-2026</v>
      </c>
    </row>
    <row r="3653" spans="1:12">
      <c r="A3653" s="6">
        <v>46274</v>
      </c>
      <c r="B3653" t="s">
        <v>24</v>
      </c>
      <c r="C3653" t="s">
        <v>25</v>
      </c>
      <c r="D3653" s="2">
        <v>12609</v>
      </c>
      <c r="E3653" s="2">
        <v>12692</v>
      </c>
      <c r="F3653" s="2">
        <v>12537</v>
      </c>
      <c r="G3653" s="2">
        <v>12618</v>
      </c>
      <c r="H3653" s="3">
        <v>534832</v>
      </c>
      <c r="I3653" s="4">
        <f t="shared" si="228"/>
        <v>-0.56999999999999995</v>
      </c>
      <c r="J3653" s="2">
        <f t="shared" si="229"/>
        <v>74</v>
      </c>
      <c r="K3653" s="7">
        <f t="shared" si="230"/>
        <v>46266</v>
      </c>
      <c r="L3653" t="str">
        <f t="shared" si="231"/>
        <v>Q3-2026</v>
      </c>
    </row>
    <row r="3654" spans="1:12">
      <c r="A3654" s="6">
        <v>46274</v>
      </c>
      <c r="B3654" t="s">
        <v>26</v>
      </c>
      <c r="C3654" t="s">
        <v>27</v>
      </c>
      <c r="D3654" s="2">
        <v>306.45001220703119</v>
      </c>
      <c r="E3654" s="2">
        <v>306.45001220703119</v>
      </c>
      <c r="F3654" s="2">
        <v>300.79998779296881</v>
      </c>
      <c r="G3654" s="2">
        <v>303</v>
      </c>
      <c r="H3654" s="3">
        <v>6971556</v>
      </c>
      <c r="I3654" s="4">
        <f t="shared" si="228"/>
        <v>-1.84</v>
      </c>
      <c r="J3654" s="2">
        <f t="shared" si="229"/>
        <v>3.45</v>
      </c>
      <c r="K3654" s="7">
        <f t="shared" si="230"/>
        <v>46266</v>
      </c>
      <c r="L3654" t="str">
        <f t="shared" si="231"/>
        <v>Q3-2026</v>
      </c>
    </row>
    <row r="3655" spans="1:12">
      <c r="A3655" s="6">
        <v>46274</v>
      </c>
      <c r="B3655" t="s">
        <v>28</v>
      </c>
      <c r="C3655" t="s">
        <v>29</v>
      </c>
      <c r="D3655" s="2">
        <v>1892.599975585938</v>
      </c>
      <c r="E3655" s="2">
        <v>1898.599975585938</v>
      </c>
      <c r="F3655" s="2">
        <v>1864.900024414062</v>
      </c>
      <c r="G3655" s="2">
        <v>1864.900024414062</v>
      </c>
      <c r="H3655" s="3">
        <v>1396896</v>
      </c>
      <c r="I3655" s="4">
        <f t="shared" si="228"/>
        <v>-1.46</v>
      </c>
      <c r="J3655" s="2">
        <f t="shared" si="229"/>
        <v>33.700000000000003</v>
      </c>
      <c r="K3655" s="7">
        <f t="shared" si="230"/>
        <v>46266</v>
      </c>
      <c r="L3655" t="str">
        <f t="shared" si="231"/>
        <v>Q3-2026</v>
      </c>
    </row>
    <row r="3656" spans="1:12">
      <c r="A3656" s="6">
        <v>46274</v>
      </c>
      <c r="B3656" t="s">
        <v>30</v>
      </c>
      <c r="C3656" t="s">
        <v>31</v>
      </c>
      <c r="D3656" s="2">
        <v>2459.10009765625</v>
      </c>
      <c r="E3656" s="2">
        <v>2489</v>
      </c>
      <c r="F3656" s="2">
        <v>2457.39990234375</v>
      </c>
      <c r="G3656" s="2">
        <v>2489</v>
      </c>
      <c r="H3656" s="3">
        <v>432840</v>
      </c>
      <c r="I3656" s="4">
        <f t="shared" si="228"/>
        <v>-7.0000000000000007E-2</v>
      </c>
      <c r="J3656" s="2">
        <f t="shared" si="229"/>
        <v>0</v>
      </c>
      <c r="K3656" s="7">
        <f t="shared" si="230"/>
        <v>46266</v>
      </c>
      <c r="L3656" t="str">
        <f t="shared" si="231"/>
        <v>Q3-2026</v>
      </c>
    </row>
    <row r="3657" spans="1:12">
      <c r="A3657" s="6">
        <v>46274</v>
      </c>
      <c r="B3657" t="s">
        <v>32</v>
      </c>
      <c r="C3657" t="s">
        <v>33</v>
      </c>
      <c r="D3657" s="2">
        <v>1973</v>
      </c>
      <c r="E3657" s="2">
        <v>1979.599975585938</v>
      </c>
      <c r="F3657" s="2">
        <v>1936</v>
      </c>
      <c r="G3657" s="2">
        <v>1945</v>
      </c>
      <c r="H3657" s="3">
        <v>1455307</v>
      </c>
      <c r="I3657" s="4">
        <f t="shared" si="228"/>
        <v>-1.88</v>
      </c>
      <c r="J3657" s="2">
        <f t="shared" si="229"/>
        <v>34.6</v>
      </c>
      <c r="K3657" s="7">
        <f t="shared" si="230"/>
        <v>46266</v>
      </c>
      <c r="L3657" t="str">
        <f t="shared" si="231"/>
        <v>Q3-2026</v>
      </c>
    </row>
    <row r="3658" spans="1:12">
      <c r="A3658" s="6">
        <v>46274</v>
      </c>
      <c r="B3658" t="s">
        <v>34</v>
      </c>
      <c r="C3658" t="s">
        <v>35</v>
      </c>
      <c r="D3658" s="2">
        <v>3935.300048828125</v>
      </c>
      <c r="E3658" s="2">
        <v>4020.199951171875</v>
      </c>
      <c r="F3658" s="2">
        <v>3922.60009765625</v>
      </c>
      <c r="G3658" s="2">
        <v>3922.60009765625</v>
      </c>
      <c r="H3658" s="3">
        <v>2954721</v>
      </c>
      <c r="I3658" s="4">
        <f t="shared" si="228"/>
        <v>-0.32</v>
      </c>
      <c r="J3658" s="2">
        <f t="shared" si="229"/>
        <v>97.6</v>
      </c>
      <c r="K3658" s="7">
        <f t="shared" si="230"/>
        <v>46266</v>
      </c>
      <c r="L3658" t="str">
        <f t="shared" si="231"/>
        <v>Q3-2026</v>
      </c>
    </row>
    <row r="3659" spans="1:12">
      <c r="A3659" s="6">
        <v>46274</v>
      </c>
      <c r="B3659" t="s">
        <v>36</v>
      </c>
      <c r="C3659" t="s">
        <v>37</v>
      </c>
      <c r="D3659" s="2">
        <v>1236</v>
      </c>
      <c r="E3659" s="2">
        <v>1257.400024414062</v>
      </c>
      <c r="F3659" s="2">
        <v>1234.699951171875</v>
      </c>
      <c r="G3659" s="2">
        <v>1238.5</v>
      </c>
      <c r="H3659" s="3">
        <v>6679663</v>
      </c>
      <c r="I3659" s="4">
        <f t="shared" si="228"/>
        <v>-0.11</v>
      </c>
      <c r="J3659" s="2">
        <f t="shared" si="229"/>
        <v>18.899999999999999</v>
      </c>
      <c r="K3659" s="7">
        <f t="shared" si="230"/>
        <v>46266</v>
      </c>
      <c r="L3659" t="str">
        <f t="shared" si="231"/>
        <v>Q3-2026</v>
      </c>
    </row>
    <row r="3660" spans="1:12">
      <c r="A3660" s="6">
        <v>46275</v>
      </c>
      <c r="B3660" t="s">
        <v>8</v>
      </c>
      <c r="C3660" t="s">
        <v>9</v>
      </c>
      <c r="D3660" s="2">
        <v>1278.5</v>
      </c>
      <c r="E3660" s="2">
        <v>1285.300048828125</v>
      </c>
      <c r="F3660" s="2">
        <v>1266.300048828125</v>
      </c>
      <c r="G3660" s="2">
        <v>1274</v>
      </c>
      <c r="H3660" s="3">
        <v>9296079</v>
      </c>
      <c r="I3660" s="4">
        <f t="shared" si="228"/>
        <v>-0.95</v>
      </c>
      <c r="J3660" s="2">
        <f t="shared" si="229"/>
        <v>11.3</v>
      </c>
      <c r="K3660" s="7">
        <f t="shared" si="230"/>
        <v>46266</v>
      </c>
      <c r="L3660" t="str">
        <f t="shared" si="231"/>
        <v>Q3-2026</v>
      </c>
    </row>
    <row r="3661" spans="1:12">
      <c r="A3661" s="6">
        <v>46275</v>
      </c>
      <c r="B3661" t="s">
        <v>10</v>
      </c>
      <c r="C3661" t="s">
        <v>11</v>
      </c>
      <c r="D3661" s="2">
        <v>2199</v>
      </c>
      <c r="E3661" s="2">
        <v>2232</v>
      </c>
      <c r="F3661" s="2">
        <v>2190.60009765625</v>
      </c>
      <c r="G3661" s="2">
        <v>2204.10009765625</v>
      </c>
      <c r="H3661" s="3">
        <v>2490912</v>
      </c>
      <c r="I3661" s="4">
        <f t="shared" si="228"/>
        <v>-0.38</v>
      </c>
      <c r="J3661" s="2">
        <f t="shared" si="229"/>
        <v>27.9</v>
      </c>
      <c r="K3661" s="7">
        <f t="shared" si="230"/>
        <v>46266</v>
      </c>
      <c r="L3661" t="str">
        <f t="shared" si="231"/>
        <v>Q3-2026</v>
      </c>
    </row>
    <row r="3662" spans="1:12">
      <c r="A3662" s="6">
        <v>46275</v>
      </c>
      <c r="B3662" t="s">
        <v>12</v>
      </c>
      <c r="C3662" t="s">
        <v>13</v>
      </c>
      <c r="D3662" s="2">
        <v>1039.599975585938</v>
      </c>
      <c r="E3662" s="2">
        <v>1046.599975585938</v>
      </c>
      <c r="F3662" s="2">
        <v>1027.300048828125</v>
      </c>
      <c r="G3662" s="2">
        <v>1036.5</v>
      </c>
      <c r="H3662" s="3">
        <v>8998529</v>
      </c>
      <c r="I3662" s="4">
        <f t="shared" si="228"/>
        <v>-1.18</v>
      </c>
      <c r="J3662" s="2">
        <f t="shared" si="229"/>
        <v>10.1</v>
      </c>
      <c r="K3662" s="7">
        <f t="shared" si="230"/>
        <v>46266</v>
      </c>
      <c r="L3662" t="str">
        <f t="shared" si="231"/>
        <v>Q3-2026</v>
      </c>
    </row>
    <row r="3663" spans="1:12">
      <c r="A3663" s="6">
        <v>46275</v>
      </c>
      <c r="B3663" t="s">
        <v>14</v>
      </c>
      <c r="C3663" t="s">
        <v>15</v>
      </c>
      <c r="D3663" s="2">
        <v>687.0999755859375</v>
      </c>
      <c r="E3663" s="2">
        <v>694.5</v>
      </c>
      <c r="F3663" s="2">
        <v>686.20001220703125</v>
      </c>
      <c r="G3663" s="2">
        <v>693.79998779296875</v>
      </c>
      <c r="H3663" s="3">
        <v>27108053</v>
      </c>
      <c r="I3663" s="4">
        <f t="shared" si="228"/>
        <v>-0.13</v>
      </c>
      <c r="J3663" s="2">
        <f t="shared" si="229"/>
        <v>0.7</v>
      </c>
      <c r="K3663" s="7">
        <f t="shared" si="230"/>
        <v>46266</v>
      </c>
      <c r="L3663" t="str">
        <f t="shared" si="231"/>
        <v>Q3-2026</v>
      </c>
    </row>
    <row r="3664" spans="1:12">
      <c r="A3664" s="6">
        <v>46275</v>
      </c>
      <c r="B3664" t="s">
        <v>16</v>
      </c>
      <c r="C3664" t="s">
        <v>17</v>
      </c>
      <c r="D3664" s="2">
        <v>1385.900024414062</v>
      </c>
      <c r="E3664" s="2">
        <v>1393</v>
      </c>
      <c r="F3664" s="2">
        <v>1373.900024414062</v>
      </c>
      <c r="G3664" s="2">
        <v>1384.5</v>
      </c>
      <c r="H3664" s="3">
        <v>10580641</v>
      </c>
      <c r="I3664" s="4">
        <f t="shared" si="228"/>
        <v>-0.87</v>
      </c>
      <c r="J3664" s="2">
        <f t="shared" si="229"/>
        <v>8.5</v>
      </c>
      <c r="K3664" s="7">
        <f t="shared" si="230"/>
        <v>46266</v>
      </c>
      <c r="L3664" t="str">
        <f t="shared" si="231"/>
        <v>Q3-2026</v>
      </c>
    </row>
    <row r="3665" spans="1:12">
      <c r="A3665" s="6">
        <v>46275</v>
      </c>
      <c r="B3665" t="s">
        <v>18</v>
      </c>
      <c r="C3665" t="s">
        <v>19</v>
      </c>
      <c r="D3665" s="2">
        <v>167.8999938964844</v>
      </c>
      <c r="E3665" s="2">
        <v>169.19000244140619</v>
      </c>
      <c r="F3665" s="2">
        <v>166</v>
      </c>
      <c r="G3665" s="2">
        <v>166.30000305175781</v>
      </c>
      <c r="H3665" s="3">
        <v>9586645</v>
      </c>
      <c r="I3665" s="4">
        <f t="shared" si="228"/>
        <v>-1.1299999999999999</v>
      </c>
      <c r="J3665" s="2">
        <f t="shared" si="229"/>
        <v>2.89</v>
      </c>
      <c r="K3665" s="7">
        <f t="shared" si="230"/>
        <v>46266</v>
      </c>
      <c r="L3665" t="str">
        <f t="shared" si="231"/>
        <v>Q3-2026</v>
      </c>
    </row>
    <row r="3666" spans="1:12">
      <c r="A3666" s="6">
        <v>46275</v>
      </c>
      <c r="B3666" t="s">
        <v>20</v>
      </c>
      <c r="C3666" t="s">
        <v>21</v>
      </c>
      <c r="D3666" s="2">
        <v>1224.800048828125</v>
      </c>
      <c r="E3666" s="2">
        <v>1237</v>
      </c>
      <c r="F3666" s="2">
        <v>1196.900024414062</v>
      </c>
      <c r="G3666" s="2">
        <v>1207</v>
      </c>
      <c r="H3666" s="3">
        <v>2197859</v>
      </c>
      <c r="I3666" s="4">
        <f t="shared" si="228"/>
        <v>-2.2799999999999998</v>
      </c>
      <c r="J3666" s="2">
        <f t="shared" si="229"/>
        <v>30</v>
      </c>
      <c r="K3666" s="7">
        <f t="shared" si="230"/>
        <v>46266</v>
      </c>
      <c r="L3666" t="str">
        <f t="shared" si="231"/>
        <v>Q3-2026</v>
      </c>
    </row>
    <row r="3667" spans="1:12">
      <c r="A3667" s="6">
        <v>46275</v>
      </c>
      <c r="B3667" t="s">
        <v>22</v>
      </c>
      <c r="C3667" t="s">
        <v>23</v>
      </c>
      <c r="D3667" s="2">
        <v>1042.5</v>
      </c>
      <c r="E3667" s="2">
        <v>1048.699951171875</v>
      </c>
      <c r="F3667" s="2">
        <v>1036.5</v>
      </c>
      <c r="G3667" s="2">
        <v>1043.5</v>
      </c>
      <c r="H3667" s="3">
        <v>3902988</v>
      </c>
      <c r="I3667" s="4">
        <f t="shared" si="228"/>
        <v>-0.57999999999999996</v>
      </c>
      <c r="J3667" s="2">
        <f t="shared" si="229"/>
        <v>5.2</v>
      </c>
      <c r="K3667" s="7">
        <f t="shared" si="230"/>
        <v>46266</v>
      </c>
      <c r="L3667" t="str">
        <f t="shared" si="231"/>
        <v>Q3-2026</v>
      </c>
    </row>
    <row r="3668" spans="1:12">
      <c r="A3668" s="6">
        <v>46275</v>
      </c>
      <c r="B3668" t="s">
        <v>24</v>
      </c>
      <c r="C3668" t="s">
        <v>25</v>
      </c>
      <c r="D3668" s="2">
        <v>12679</v>
      </c>
      <c r="E3668" s="2">
        <v>12693</v>
      </c>
      <c r="F3668" s="2">
        <v>12517</v>
      </c>
      <c r="G3668" s="2">
        <v>12590</v>
      </c>
      <c r="H3668" s="3">
        <v>338613</v>
      </c>
      <c r="I3668" s="4">
        <f t="shared" si="228"/>
        <v>-1.28</v>
      </c>
      <c r="J3668" s="2">
        <f t="shared" si="229"/>
        <v>103</v>
      </c>
      <c r="K3668" s="7">
        <f t="shared" si="230"/>
        <v>46266</v>
      </c>
      <c r="L3668" t="str">
        <f t="shared" si="231"/>
        <v>Q3-2026</v>
      </c>
    </row>
    <row r="3669" spans="1:12">
      <c r="A3669" s="6">
        <v>46275</v>
      </c>
      <c r="B3669" t="s">
        <v>26</v>
      </c>
      <c r="C3669" t="s">
        <v>27</v>
      </c>
      <c r="D3669" s="2">
        <v>303</v>
      </c>
      <c r="E3669" s="2">
        <v>304</v>
      </c>
      <c r="F3669" s="2">
        <v>300.04998779296881</v>
      </c>
      <c r="G3669" s="2">
        <v>300.5</v>
      </c>
      <c r="H3669" s="3">
        <v>7512877</v>
      </c>
      <c r="I3669" s="4">
        <f t="shared" si="228"/>
        <v>-0.97</v>
      </c>
      <c r="J3669" s="2">
        <f t="shared" si="229"/>
        <v>3.5</v>
      </c>
      <c r="K3669" s="7">
        <f t="shared" si="230"/>
        <v>46266</v>
      </c>
      <c r="L3669" t="str">
        <f t="shared" si="231"/>
        <v>Q3-2026</v>
      </c>
    </row>
    <row r="3670" spans="1:12">
      <c r="A3670" s="6">
        <v>46275</v>
      </c>
      <c r="B3670" t="s">
        <v>28</v>
      </c>
      <c r="C3670" t="s">
        <v>29</v>
      </c>
      <c r="D3670" s="2">
        <v>1865.900024414062</v>
      </c>
      <c r="E3670" s="2">
        <v>1875.300048828125</v>
      </c>
      <c r="F3670" s="2">
        <v>1840.5</v>
      </c>
      <c r="G3670" s="2">
        <v>1861</v>
      </c>
      <c r="H3670" s="3">
        <v>1178648</v>
      </c>
      <c r="I3670" s="4">
        <f t="shared" si="228"/>
        <v>-1.36</v>
      </c>
      <c r="J3670" s="2">
        <f t="shared" si="229"/>
        <v>14.3</v>
      </c>
      <c r="K3670" s="7">
        <f t="shared" si="230"/>
        <v>46266</v>
      </c>
      <c r="L3670" t="str">
        <f t="shared" si="231"/>
        <v>Q3-2026</v>
      </c>
    </row>
    <row r="3671" spans="1:12">
      <c r="A3671" s="6">
        <v>46275</v>
      </c>
      <c r="B3671" t="s">
        <v>30</v>
      </c>
      <c r="C3671" t="s">
        <v>31</v>
      </c>
      <c r="D3671" s="2">
        <v>2485.10009765625</v>
      </c>
      <c r="E3671" s="2">
        <v>2498.10009765625</v>
      </c>
      <c r="F3671" s="2">
        <v>2468.60009765625</v>
      </c>
      <c r="G3671" s="2">
        <v>2498.10009765625</v>
      </c>
      <c r="H3671" s="3">
        <v>549332</v>
      </c>
      <c r="I3671" s="4">
        <f t="shared" si="228"/>
        <v>-0.66</v>
      </c>
      <c r="J3671" s="2">
        <f t="shared" si="229"/>
        <v>0</v>
      </c>
      <c r="K3671" s="7">
        <f t="shared" si="230"/>
        <v>46266</v>
      </c>
      <c r="L3671" t="str">
        <f t="shared" si="231"/>
        <v>Q3-2026</v>
      </c>
    </row>
    <row r="3672" spans="1:12">
      <c r="A3672" s="6">
        <v>46275</v>
      </c>
      <c r="B3672" t="s">
        <v>32</v>
      </c>
      <c r="C3672" t="s">
        <v>33</v>
      </c>
      <c r="D3672" s="2">
        <v>1940</v>
      </c>
      <c r="E3672" s="2">
        <v>1950</v>
      </c>
      <c r="F3672" s="2">
        <v>1936</v>
      </c>
      <c r="G3672" s="2">
        <v>1942.300048828125</v>
      </c>
      <c r="H3672" s="3">
        <v>1232506</v>
      </c>
      <c r="I3672" s="4">
        <f t="shared" si="228"/>
        <v>-0.21</v>
      </c>
      <c r="J3672" s="2">
        <f t="shared" si="229"/>
        <v>7.7</v>
      </c>
      <c r="K3672" s="7">
        <f t="shared" si="230"/>
        <v>46266</v>
      </c>
      <c r="L3672" t="str">
        <f t="shared" si="231"/>
        <v>Q3-2026</v>
      </c>
    </row>
    <row r="3673" spans="1:12">
      <c r="A3673" s="6">
        <v>46275</v>
      </c>
      <c r="B3673" t="s">
        <v>34</v>
      </c>
      <c r="C3673" t="s">
        <v>35</v>
      </c>
      <c r="D3673" s="2">
        <v>3949.39990234375</v>
      </c>
      <c r="E3673" s="2">
        <v>3965.5</v>
      </c>
      <c r="F3673" s="2">
        <v>3910</v>
      </c>
      <c r="G3673" s="2">
        <v>3955</v>
      </c>
      <c r="H3673" s="3">
        <v>1376951</v>
      </c>
      <c r="I3673" s="4">
        <f t="shared" si="228"/>
        <v>-1</v>
      </c>
      <c r="J3673" s="2">
        <f t="shared" si="229"/>
        <v>10.5</v>
      </c>
      <c r="K3673" s="7">
        <f t="shared" si="230"/>
        <v>46266</v>
      </c>
      <c r="L3673" t="str">
        <f t="shared" si="231"/>
        <v>Q3-2026</v>
      </c>
    </row>
    <row r="3674" spans="1:12">
      <c r="A3674" s="6">
        <v>46275</v>
      </c>
      <c r="B3674" t="s">
        <v>36</v>
      </c>
      <c r="C3674" t="s">
        <v>37</v>
      </c>
      <c r="D3674" s="2">
        <v>1242.099975585938</v>
      </c>
      <c r="E3674" s="2">
        <v>1255.199951171875</v>
      </c>
      <c r="F3674" s="2">
        <v>1240.400024414062</v>
      </c>
      <c r="G3674" s="2">
        <v>1246</v>
      </c>
      <c r="H3674" s="3">
        <v>4150654</v>
      </c>
      <c r="I3674" s="4">
        <f t="shared" si="228"/>
        <v>-0.14000000000000001</v>
      </c>
      <c r="J3674" s="2">
        <f t="shared" si="229"/>
        <v>9.1999999999999993</v>
      </c>
      <c r="K3674" s="7">
        <f t="shared" si="230"/>
        <v>46266</v>
      </c>
      <c r="L3674" t="str">
        <f t="shared" si="231"/>
        <v>Q3-2026</v>
      </c>
    </row>
    <row r="3675" spans="1:12">
      <c r="A3675" s="6">
        <v>46276</v>
      </c>
      <c r="B3675" t="s">
        <v>8</v>
      </c>
      <c r="C3675" t="s">
        <v>9</v>
      </c>
      <c r="D3675" s="2">
        <v>1267</v>
      </c>
      <c r="E3675" s="2">
        <v>1267.400024414062</v>
      </c>
      <c r="F3675" s="2">
        <v>1253</v>
      </c>
      <c r="G3675" s="2">
        <v>1257.5</v>
      </c>
      <c r="H3675" s="3">
        <v>8777736</v>
      </c>
      <c r="I3675" s="4">
        <f t="shared" si="228"/>
        <v>-1.1000000000000001</v>
      </c>
      <c r="J3675" s="2">
        <f t="shared" si="229"/>
        <v>9.9</v>
      </c>
      <c r="K3675" s="7">
        <f t="shared" si="230"/>
        <v>46266</v>
      </c>
      <c r="L3675" t="str">
        <f t="shared" si="231"/>
        <v>Q3-2026</v>
      </c>
    </row>
    <row r="3676" spans="1:12">
      <c r="A3676" s="6">
        <v>46276</v>
      </c>
      <c r="B3676" t="s">
        <v>10</v>
      </c>
      <c r="C3676" t="s">
        <v>11</v>
      </c>
      <c r="D3676" s="2">
        <v>2185.5</v>
      </c>
      <c r="E3676" s="2">
        <v>2232.60009765625</v>
      </c>
      <c r="F3676" s="2">
        <v>2185.5</v>
      </c>
      <c r="G3676" s="2">
        <v>2200.800048828125</v>
      </c>
      <c r="H3676" s="3">
        <v>2634124</v>
      </c>
      <c r="I3676" s="4">
        <f t="shared" si="228"/>
        <v>0</v>
      </c>
      <c r="J3676" s="2">
        <f t="shared" si="229"/>
        <v>31.8</v>
      </c>
      <c r="K3676" s="7">
        <f t="shared" si="230"/>
        <v>46266</v>
      </c>
      <c r="L3676" t="str">
        <f t="shared" si="231"/>
        <v>Q3-2026</v>
      </c>
    </row>
    <row r="3677" spans="1:12">
      <c r="A3677" s="6">
        <v>46276</v>
      </c>
      <c r="B3677" t="s">
        <v>12</v>
      </c>
      <c r="C3677" t="s">
        <v>13</v>
      </c>
      <c r="D3677" s="2">
        <v>1032</v>
      </c>
      <c r="E3677" s="2">
        <v>1047.300048828125</v>
      </c>
      <c r="F3677" s="2">
        <v>1029.699951171875</v>
      </c>
      <c r="G3677" s="2">
        <v>1037.699951171875</v>
      </c>
      <c r="H3677" s="3">
        <v>6168088</v>
      </c>
      <c r="I3677" s="4">
        <f t="shared" si="228"/>
        <v>-0.22</v>
      </c>
      <c r="J3677" s="2">
        <f t="shared" si="229"/>
        <v>9.6</v>
      </c>
      <c r="K3677" s="7">
        <f t="shared" si="230"/>
        <v>46266</v>
      </c>
      <c r="L3677" t="str">
        <f t="shared" si="231"/>
        <v>Q3-2026</v>
      </c>
    </row>
    <row r="3678" spans="1:12">
      <c r="A3678" s="6">
        <v>46276</v>
      </c>
      <c r="B3678" t="s">
        <v>14</v>
      </c>
      <c r="C3678" t="s">
        <v>15</v>
      </c>
      <c r="D3678" s="2">
        <v>683.9000244140625</v>
      </c>
      <c r="E3678" s="2">
        <v>709</v>
      </c>
      <c r="F3678" s="2">
        <v>681.9000244140625</v>
      </c>
      <c r="G3678" s="2">
        <v>708.25</v>
      </c>
      <c r="H3678" s="3">
        <v>31411934</v>
      </c>
      <c r="I3678" s="4">
        <f t="shared" si="228"/>
        <v>-0.28999999999999998</v>
      </c>
      <c r="J3678" s="2">
        <f t="shared" si="229"/>
        <v>0.75</v>
      </c>
      <c r="K3678" s="7">
        <f t="shared" si="230"/>
        <v>46266</v>
      </c>
      <c r="L3678" t="str">
        <f t="shared" si="231"/>
        <v>Q3-2026</v>
      </c>
    </row>
    <row r="3679" spans="1:12">
      <c r="A3679" s="6">
        <v>46276</v>
      </c>
      <c r="B3679" t="s">
        <v>16</v>
      </c>
      <c r="C3679" t="s">
        <v>17</v>
      </c>
      <c r="D3679" s="2">
        <v>1371.599975585938</v>
      </c>
      <c r="E3679" s="2">
        <v>1389</v>
      </c>
      <c r="F3679" s="2">
        <v>1367.599975585938</v>
      </c>
      <c r="G3679" s="2">
        <v>1379.300048828125</v>
      </c>
      <c r="H3679" s="3">
        <v>7064417</v>
      </c>
      <c r="I3679" s="4">
        <f t="shared" si="228"/>
        <v>-0.28999999999999998</v>
      </c>
      <c r="J3679" s="2">
        <f t="shared" si="229"/>
        <v>9.6999999999999993</v>
      </c>
      <c r="K3679" s="7">
        <f t="shared" si="230"/>
        <v>46266</v>
      </c>
      <c r="L3679" t="str">
        <f t="shared" si="231"/>
        <v>Q3-2026</v>
      </c>
    </row>
    <row r="3680" spans="1:12">
      <c r="A3680" s="6">
        <v>46276</v>
      </c>
      <c r="B3680" t="s">
        <v>18</v>
      </c>
      <c r="C3680" t="s">
        <v>19</v>
      </c>
      <c r="D3680" s="2">
        <v>165.19999694824219</v>
      </c>
      <c r="E3680" s="2">
        <v>167.75</v>
      </c>
      <c r="F3680" s="2">
        <v>165.1600036621094</v>
      </c>
      <c r="G3680" s="2">
        <v>167.3999938964844</v>
      </c>
      <c r="H3680" s="3">
        <v>8484897</v>
      </c>
      <c r="I3680" s="4">
        <f t="shared" si="228"/>
        <v>-0.02</v>
      </c>
      <c r="J3680" s="2">
        <f t="shared" si="229"/>
        <v>0.35</v>
      </c>
      <c r="K3680" s="7">
        <f t="shared" si="230"/>
        <v>46266</v>
      </c>
      <c r="L3680" t="str">
        <f t="shared" si="231"/>
        <v>Q3-2026</v>
      </c>
    </row>
    <row r="3681" spans="1:12">
      <c r="A3681" s="6">
        <v>46276</v>
      </c>
      <c r="B3681" t="s">
        <v>20</v>
      </c>
      <c r="C3681" t="s">
        <v>21</v>
      </c>
      <c r="D3681" s="2">
        <v>1196</v>
      </c>
      <c r="E3681" s="2">
        <v>1223.400024414062</v>
      </c>
      <c r="F3681" s="2">
        <v>1195.699951171875</v>
      </c>
      <c r="G3681" s="2">
        <v>1206.099975585938</v>
      </c>
      <c r="H3681" s="3">
        <v>2272845</v>
      </c>
      <c r="I3681" s="4">
        <f t="shared" si="228"/>
        <v>-0.03</v>
      </c>
      <c r="J3681" s="2">
        <f t="shared" si="229"/>
        <v>17.3</v>
      </c>
      <c r="K3681" s="7">
        <f t="shared" si="230"/>
        <v>46266</v>
      </c>
      <c r="L3681" t="str">
        <f t="shared" si="231"/>
        <v>Q3-2026</v>
      </c>
    </row>
    <row r="3682" spans="1:12">
      <c r="A3682" s="6">
        <v>46276</v>
      </c>
      <c r="B3682" t="s">
        <v>22</v>
      </c>
      <c r="C3682" t="s">
        <v>23</v>
      </c>
      <c r="D3682" s="2">
        <v>1031</v>
      </c>
      <c r="E3682" s="2">
        <v>1035</v>
      </c>
      <c r="F3682" s="2">
        <v>1015.099975585938</v>
      </c>
      <c r="G3682" s="2">
        <v>1034.5</v>
      </c>
      <c r="H3682" s="3">
        <v>5411299</v>
      </c>
      <c r="I3682" s="4">
        <f t="shared" si="228"/>
        <v>-1.54</v>
      </c>
      <c r="J3682" s="2">
        <f t="shared" si="229"/>
        <v>0.5</v>
      </c>
      <c r="K3682" s="7">
        <f t="shared" si="230"/>
        <v>46266</v>
      </c>
      <c r="L3682" t="str">
        <f t="shared" si="231"/>
        <v>Q3-2026</v>
      </c>
    </row>
    <row r="3683" spans="1:12">
      <c r="A3683" s="6">
        <v>46276</v>
      </c>
      <c r="B3683" t="s">
        <v>24</v>
      </c>
      <c r="C3683" t="s">
        <v>25</v>
      </c>
      <c r="D3683" s="2">
        <v>12520</v>
      </c>
      <c r="E3683" s="2">
        <v>12541</v>
      </c>
      <c r="F3683" s="2">
        <v>12381</v>
      </c>
      <c r="G3683" s="2">
        <v>12400</v>
      </c>
      <c r="H3683" s="3">
        <v>514868</v>
      </c>
      <c r="I3683" s="4">
        <f t="shared" si="228"/>
        <v>-1.1100000000000001</v>
      </c>
      <c r="J3683" s="2">
        <f t="shared" si="229"/>
        <v>141</v>
      </c>
      <c r="K3683" s="7">
        <f t="shared" si="230"/>
        <v>46266</v>
      </c>
      <c r="L3683" t="str">
        <f t="shared" si="231"/>
        <v>Q3-2026</v>
      </c>
    </row>
    <row r="3684" spans="1:12">
      <c r="A3684" s="6">
        <v>46276</v>
      </c>
      <c r="B3684" t="s">
        <v>26</v>
      </c>
      <c r="C3684" t="s">
        <v>27</v>
      </c>
      <c r="D3684" s="2">
        <v>299.75</v>
      </c>
      <c r="E3684" s="2">
        <v>304.39999389648438</v>
      </c>
      <c r="F3684" s="2">
        <v>296.5</v>
      </c>
      <c r="G3684" s="2">
        <v>301.10000610351563</v>
      </c>
      <c r="H3684" s="3">
        <v>7683193</v>
      </c>
      <c r="I3684" s="4">
        <f t="shared" si="228"/>
        <v>-1.08</v>
      </c>
      <c r="J3684" s="2">
        <f t="shared" si="229"/>
        <v>3.3</v>
      </c>
      <c r="K3684" s="7">
        <f t="shared" si="230"/>
        <v>46266</v>
      </c>
      <c r="L3684" t="str">
        <f t="shared" si="231"/>
        <v>Q3-2026</v>
      </c>
    </row>
    <row r="3685" spans="1:12">
      <c r="A3685" s="6">
        <v>46276</v>
      </c>
      <c r="B3685" t="s">
        <v>28</v>
      </c>
      <c r="C3685" t="s">
        <v>29</v>
      </c>
      <c r="D3685" s="2">
        <v>1845</v>
      </c>
      <c r="E3685" s="2">
        <v>1854.5</v>
      </c>
      <c r="F3685" s="2">
        <v>1834</v>
      </c>
      <c r="G3685" s="2">
        <v>1840</v>
      </c>
      <c r="H3685" s="3">
        <v>1445071</v>
      </c>
      <c r="I3685" s="4">
        <f t="shared" si="228"/>
        <v>-0.6</v>
      </c>
      <c r="J3685" s="2">
        <f t="shared" si="229"/>
        <v>14.5</v>
      </c>
      <c r="K3685" s="7">
        <f t="shared" si="230"/>
        <v>46266</v>
      </c>
      <c r="L3685" t="str">
        <f t="shared" si="231"/>
        <v>Q3-2026</v>
      </c>
    </row>
    <row r="3686" spans="1:12">
      <c r="A3686" s="6">
        <v>46276</v>
      </c>
      <c r="B3686" t="s">
        <v>30</v>
      </c>
      <c r="C3686" t="s">
        <v>31</v>
      </c>
      <c r="D3686" s="2">
        <v>2453.199951171875</v>
      </c>
      <c r="E3686" s="2">
        <v>2472.5</v>
      </c>
      <c r="F3686" s="2">
        <v>2442.800048828125</v>
      </c>
      <c r="G3686" s="2">
        <v>2472.5</v>
      </c>
      <c r="H3686" s="3">
        <v>653006</v>
      </c>
      <c r="I3686" s="4">
        <f t="shared" si="228"/>
        <v>-0.42</v>
      </c>
      <c r="J3686" s="2">
        <f t="shared" si="229"/>
        <v>0</v>
      </c>
      <c r="K3686" s="7">
        <f t="shared" si="230"/>
        <v>46266</v>
      </c>
      <c r="L3686" t="str">
        <f t="shared" si="231"/>
        <v>Q3-2026</v>
      </c>
    </row>
    <row r="3687" spans="1:12">
      <c r="A3687" s="6">
        <v>46276</v>
      </c>
      <c r="B3687" t="s">
        <v>32</v>
      </c>
      <c r="C3687" t="s">
        <v>33</v>
      </c>
      <c r="D3687" s="2">
        <v>1930.5</v>
      </c>
      <c r="E3687" s="2">
        <v>1946.599975585938</v>
      </c>
      <c r="F3687" s="2">
        <v>1926.199951171875</v>
      </c>
      <c r="G3687" s="2">
        <v>1927</v>
      </c>
      <c r="H3687" s="3">
        <v>1100313</v>
      </c>
      <c r="I3687" s="4">
        <f t="shared" si="228"/>
        <v>-0.22</v>
      </c>
      <c r="J3687" s="2">
        <f t="shared" si="229"/>
        <v>19.600000000000001</v>
      </c>
      <c r="K3687" s="7">
        <f t="shared" si="230"/>
        <v>46266</v>
      </c>
      <c r="L3687" t="str">
        <f t="shared" si="231"/>
        <v>Q3-2026</v>
      </c>
    </row>
    <row r="3688" spans="1:12">
      <c r="A3688" s="6">
        <v>46276</v>
      </c>
      <c r="B3688" t="s">
        <v>34</v>
      </c>
      <c r="C3688" t="s">
        <v>35</v>
      </c>
      <c r="D3688" s="2">
        <v>3926</v>
      </c>
      <c r="E3688" s="2">
        <v>3948</v>
      </c>
      <c r="F3688" s="2">
        <v>3880.699951171875</v>
      </c>
      <c r="G3688" s="2">
        <v>3930.699951171875</v>
      </c>
      <c r="H3688" s="3">
        <v>1195489</v>
      </c>
      <c r="I3688" s="4">
        <f t="shared" si="228"/>
        <v>-1.1499999999999999</v>
      </c>
      <c r="J3688" s="2">
        <f t="shared" si="229"/>
        <v>17.3</v>
      </c>
      <c r="K3688" s="7">
        <f t="shared" si="230"/>
        <v>46266</v>
      </c>
      <c r="L3688" t="str">
        <f t="shared" si="231"/>
        <v>Q3-2026</v>
      </c>
    </row>
    <row r="3689" spans="1:12">
      <c r="A3689" s="6">
        <v>46276</v>
      </c>
      <c r="B3689" t="s">
        <v>36</v>
      </c>
      <c r="C3689" t="s">
        <v>37</v>
      </c>
      <c r="D3689" s="2">
        <v>1237.900024414062</v>
      </c>
      <c r="E3689" s="2">
        <v>1252.800048828125</v>
      </c>
      <c r="F3689" s="2">
        <v>1229.800048828125</v>
      </c>
      <c r="G3689" s="2">
        <v>1246</v>
      </c>
      <c r="H3689" s="3">
        <v>4562285</v>
      </c>
      <c r="I3689" s="4">
        <f t="shared" si="228"/>
        <v>-0.65</v>
      </c>
      <c r="J3689" s="2">
        <f t="shared" si="229"/>
        <v>6.8</v>
      </c>
      <c r="K3689" s="7">
        <f t="shared" si="230"/>
        <v>46266</v>
      </c>
      <c r="L3689" t="str">
        <f t="shared" si="231"/>
        <v>Q3-2026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4E55-7AE9-486C-87BC-1A2D8D13057F}">
  <dimension ref="A1:F14"/>
  <sheetViews>
    <sheetView showGridLines="0" workbookViewId="0">
      <selection activeCell="F3" sqref="F3"/>
    </sheetView>
  </sheetViews>
  <sheetFormatPr defaultRowHeight="14.4"/>
  <cols>
    <col min="1" max="1" width="22.88671875" customWidth="1"/>
    <col min="2" max="3" width="56" customWidth="1"/>
    <col min="5" max="5" width="36" bestFit="1" customWidth="1"/>
    <col min="6" max="6" width="9.88671875" bestFit="1" customWidth="1"/>
  </cols>
  <sheetData>
    <row r="1" spans="1:6" ht="28.8">
      <c r="A1" s="33" t="s">
        <v>41</v>
      </c>
      <c r="B1" s="33"/>
      <c r="C1" s="33"/>
      <c r="E1" s="34" t="s">
        <v>61</v>
      </c>
      <c r="F1" s="34"/>
    </row>
    <row r="2" spans="1:6" ht="25.8">
      <c r="A2" s="8"/>
      <c r="B2" s="8"/>
      <c r="C2" s="8"/>
      <c r="E2" s="11" t="s">
        <v>62</v>
      </c>
      <c r="F2" s="11">
        <v>15</v>
      </c>
    </row>
    <row r="3" spans="1:6" ht="25.8">
      <c r="A3" s="9" t="s">
        <v>42</v>
      </c>
      <c r="B3" s="9" t="s">
        <v>43</v>
      </c>
      <c r="C3" s="9" t="s">
        <v>44</v>
      </c>
      <c r="E3" s="11" t="s">
        <v>63</v>
      </c>
      <c r="F3" s="12">
        <v>3748</v>
      </c>
    </row>
    <row r="4" spans="1:6" ht="25.8">
      <c r="A4" s="10" t="s">
        <v>0</v>
      </c>
      <c r="B4" s="10" t="s">
        <v>45</v>
      </c>
      <c r="C4" s="10" t="s">
        <v>46</v>
      </c>
      <c r="E4" s="11" t="s">
        <v>64</v>
      </c>
      <c r="F4" s="11">
        <v>60</v>
      </c>
    </row>
    <row r="5" spans="1:6" ht="46.8">
      <c r="A5" s="10" t="s">
        <v>47</v>
      </c>
      <c r="B5" s="10" t="s">
        <v>48</v>
      </c>
      <c r="C5" s="10" t="s">
        <v>49</v>
      </c>
      <c r="E5" s="11" t="s">
        <v>65</v>
      </c>
      <c r="F5" s="12">
        <v>3688</v>
      </c>
    </row>
    <row r="6" spans="1:6" ht="23.4">
      <c r="A6" s="10" t="s">
        <v>50</v>
      </c>
      <c r="B6" s="10" t="s">
        <v>51</v>
      </c>
      <c r="C6" s="10" t="s">
        <v>52</v>
      </c>
    </row>
    <row r="7" spans="1:6" ht="46.8">
      <c r="A7" s="10" t="s">
        <v>53</v>
      </c>
      <c r="B7" s="10" t="s">
        <v>54</v>
      </c>
      <c r="C7" s="10" t="s">
        <v>55</v>
      </c>
    </row>
    <row r="8" spans="1:6" ht="46.8">
      <c r="A8" s="10" t="s">
        <v>56</v>
      </c>
      <c r="B8" s="10" t="s">
        <v>57</v>
      </c>
      <c r="C8" s="10" t="s">
        <v>58</v>
      </c>
    </row>
    <row r="9" spans="1:6" ht="23.4">
      <c r="A9" s="10" t="s">
        <v>59</v>
      </c>
      <c r="B9" s="10" t="s">
        <v>60</v>
      </c>
      <c r="C9" s="10" t="s">
        <v>66</v>
      </c>
    </row>
    <row r="12" spans="1:6">
      <c r="A12" s="32" t="s">
        <v>68</v>
      </c>
      <c r="B12" s="32"/>
      <c r="C12" s="32"/>
    </row>
    <row r="13" spans="1:6">
      <c r="A13" s="32" t="s">
        <v>69</v>
      </c>
      <c r="B13" s="32"/>
      <c r="C13" s="32"/>
    </row>
    <row r="14" spans="1:6">
      <c r="A14" s="32" t="s">
        <v>70</v>
      </c>
      <c r="B14" s="32"/>
      <c r="C14" s="32"/>
    </row>
  </sheetData>
  <mergeCells count="5">
    <mergeCell ref="A14:C14"/>
    <mergeCell ref="A13:C13"/>
    <mergeCell ref="A12:C12"/>
    <mergeCell ref="A1:C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D76B-5C81-429B-A631-676823BF4785}">
  <dimension ref="A1:H69"/>
  <sheetViews>
    <sheetView showGridLines="0" topLeftCell="A16" zoomScale="205" zoomScaleNormal="205" workbookViewId="0">
      <selection activeCell="E19" sqref="E19"/>
    </sheetView>
  </sheetViews>
  <sheetFormatPr defaultRowHeight="14.4"/>
  <cols>
    <col min="1" max="1" width="20.109375" bestFit="1" customWidth="1"/>
    <col min="2" max="2" width="16.44140625" bestFit="1" customWidth="1"/>
    <col min="3" max="4" width="11.33203125" bestFit="1" customWidth="1"/>
    <col min="5" max="5" width="14.5546875" bestFit="1" customWidth="1"/>
  </cols>
  <sheetData>
    <row r="1" spans="1:8" ht="25.8">
      <c r="A1" s="40" t="s">
        <v>84</v>
      </c>
      <c r="B1" s="40"/>
      <c r="C1" s="40"/>
      <c r="D1" s="40"/>
      <c r="E1" s="40"/>
      <c r="F1" s="40"/>
      <c r="G1" s="40"/>
      <c r="H1" s="40"/>
    </row>
    <row r="2" spans="1:8" ht="15.6">
      <c r="A2" s="41" t="s">
        <v>85</v>
      </c>
      <c r="B2" s="41"/>
      <c r="C2" s="41"/>
      <c r="D2" s="41"/>
      <c r="E2" s="41"/>
      <c r="F2" s="41"/>
      <c r="G2" s="41"/>
      <c r="H2" s="41"/>
    </row>
    <row r="3" spans="1:8" ht="15.6">
      <c r="A3" s="17"/>
      <c r="B3" s="17"/>
      <c r="C3" s="17"/>
      <c r="D3" s="17"/>
      <c r="E3" s="17"/>
      <c r="F3" s="17"/>
      <c r="G3" s="17"/>
      <c r="H3" s="17"/>
    </row>
    <row r="6" spans="1:8" ht="15.6">
      <c r="A6" s="43" t="s">
        <v>99</v>
      </c>
      <c r="B6" s="44"/>
    </row>
    <row r="8" spans="1:8" ht="15.6">
      <c r="A8" s="27" t="s">
        <v>86</v>
      </c>
      <c r="B8" s="19">
        <v>15</v>
      </c>
    </row>
    <row r="9" spans="1:8" ht="15.6">
      <c r="A9" s="27" t="s">
        <v>63</v>
      </c>
      <c r="B9" s="20">
        <v>3748</v>
      </c>
    </row>
    <row r="10" spans="1:8" ht="15.6">
      <c r="A10" s="27" t="s">
        <v>87</v>
      </c>
      <c r="B10" s="20">
        <v>3688</v>
      </c>
    </row>
    <row r="11" spans="1:8" ht="15.6">
      <c r="A11" s="27" t="s">
        <v>88</v>
      </c>
      <c r="B11" s="19">
        <v>4</v>
      </c>
    </row>
    <row r="12" spans="1:8" ht="15.6">
      <c r="A12" s="27" t="s">
        <v>89</v>
      </c>
      <c r="B12" s="19">
        <v>11</v>
      </c>
    </row>
    <row r="13" spans="1:8" ht="15.6">
      <c r="A13" s="27" t="s">
        <v>90</v>
      </c>
      <c r="B13" s="21">
        <v>0.15909999999999999</v>
      </c>
    </row>
    <row r="14" spans="1:8" ht="15.6">
      <c r="A14" s="27" t="s">
        <v>91</v>
      </c>
      <c r="B14" s="21">
        <v>-0.57410000000000005</v>
      </c>
    </row>
    <row r="17" spans="1:6" ht="18">
      <c r="A17" s="42" t="s">
        <v>100</v>
      </c>
      <c r="B17" s="42"/>
      <c r="C17" s="42"/>
    </row>
    <row r="19" spans="1:6">
      <c r="A19" s="18" t="s">
        <v>92</v>
      </c>
      <c r="B19" s="18" t="s">
        <v>1</v>
      </c>
      <c r="C19" s="18" t="s">
        <v>93</v>
      </c>
      <c r="D19" s="18" t="s">
        <v>94</v>
      </c>
      <c r="E19" s="18" t="s">
        <v>95</v>
      </c>
    </row>
    <row r="20" spans="1:6">
      <c r="A20" s="24">
        <f t="shared" ref="A20:A34" si="0">RANK(E20,$E$20:$E$34,0)</f>
        <v>1</v>
      </c>
      <c r="B20" s="24" t="s">
        <v>28</v>
      </c>
      <c r="C20" s="25" cm="1">
        <f t="array" ref="C20">_xlfn.XLOOKUP(1,(StockData[Company]=B20)*(StockData[Date]=_xlfn.MINIFS(StockData[Date],StockData[Company],B20)),StockData[Close])</f>
        <v>1587.500244140625</v>
      </c>
      <c r="D20" s="25" cm="1">
        <f t="array" ref="D20">_xlfn.XLOOKUP(1,(StockData[Company]=B20)*(StockData[Date]=_xlfn.MAXIFS(StockData[Date],StockData[Company],B20)),StockData[Close])</f>
        <v>1840</v>
      </c>
      <c r="E20" s="26">
        <f t="shared" ref="E20:E34" si="1">(D20/C20-1)</f>
        <v>0.15905493985990704</v>
      </c>
      <c r="F20" s="4"/>
    </row>
    <row r="21" spans="1:6">
      <c r="A21" s="24">
        <f t="shared" si="0"/>
        <v>2</v>
      </c>
      <c r="B21" s="24" t="s">
        <v>36</v>
      </c>
      <c r="C21" s="25" cm="1">
        <f t="array" ref="C21">_xlfn.XLOOKUP(1,(StockData[Company]=B21)*(StockData[Date]=_xlfn.MINIFS(StockData[Date],StockData[Company],B21)),StockData[Close])</f>
        <v>1103.548950195312</v>
      </c>
      <c r="D21" s="25" cm="1">
        <f t="array" ref="D21">_xlfn.XLOOKUP(1,(StockData[Company]=B21)*(StockData[Date]=_xlfn.MAXIFS(StockData[Date],StockData[Company],B21)),StockData[Close])</f>
        <v>1246</v>
      </c>
      <c r="E21" s="26">
        <f t="shared" si="1"/>
        <v>0.12908448671848793</v>
      </c>
      <c r="F21" s="4"/>
    </row>
    <row r="22" spans="1:6">
      <c r="A22" s="24">
        <f t="shared" si="0"/>
        <v>3</v>
      </c>
      <c r="B22" s="24" t="s">
        <v>34</v>
      </c>
      <c r="C22" s="25" cm="1">
        <f t="array" ref="C22">_xlfn.XLOOKUP(1,(StockData[Company]=B22)*(StockData[Date]=_xlfn.MINIFS(StockData[Date],StockData[Company],B22)),StockData[Close])</f>
        <v>3551.510986328125</v>
      </c>
      <c r="D22" s="25" cm="1">
        <f t="array" ref="D22">_xlfn.XLOOKUP(1,(StockData[Company]=B22)*(StockData[Date]=_xlfn.MAXIFS(StockData[Date],StockData[Company],B22)),StockData[Close])</f>
        <v>3930.699951171875</v>
      </c>
      <c r="E22" s="26">
        <f t="shared" si="1"/>
        <v>0.10676834910647148</v>
      </c>
      <c r="F22" s="4"/>
    </row>
    <row r="23" spans="1:6">
      <c r="A23" s="24">
        <f t="shared" si="0"/>
        <v>4</v>
      </c>
      <c r="B23" s="24" t="s">
        <v>22</v>
      </c>
      <c r="C23" s="25" cm="1">
        <f t="array" ref="C23">_xlfn.XLOOKUP(1,(StockData[Company]=B23)*(StockData[Date]=_xlfn.MINIFS(StockData[Date],StockData[Company],B23)),StockData[Close])</f>
        <v>1003.680114746094</v>
      </c>
      <c r="D23" s="25" cm="1">
        <f t="array" ref="D23">_xlfn.XLOOKUP(1,(StockData[Company]=B23)*(StockData[Date]=_xlfn.MAXIFS(StockData[Date],StockData[Company],B23)),StockData[Close])</f>
        <v>1034.5</v>
      </c>
      <c r="E23" s="26">
        <f t="shared" si="1"/>
        <v>3.0706880410500847E-2</v>
      </c>
      <c r="F23" s="4"/>
    </row>
    <row r="24" spans="1:6">
      <c r="A24" s="24">
        <f t="shared" si="0"/>
        <v>5</v>
      </c>
      <c r="B24" s="24" t="s">
        <v>30</v>
      </c>
      <c r="C24" s="25" cm="1">
        <f t="array" ref="C24">_xlfn.XLOOKUP(1,(StockData[Company]=B24)*(StockData[Date]=_xlfn.MINIFS(StockData[Date],StockData[Company],B24)),StockData[Close])</f>
        <v>2477.2080078125</v>
      </c>
      <c r="D24" s="25" cm="1">
        <f t="array" ref="D24">_xlfn.XLOOKUP(1,(StockData[Company]=B24)*(StockData[Date]=_xlfn.MAXIFS(StockData[Date],StockData[Company],B24)),StockData[Close])</f>
        <v>2472.5</v>
      </c>
      <c r="E24" s="26">
        <f t="shared" si="1"/>
        <v>-1.9005298697776229E-3</v>
      </c>
      <c r="F24" s="4"/>
    </row>
    <row r="25" spans="1:6">
      <c r="A25" s="24">
        <f t="shared" si="0"/>
        <v>6</v>
      </c>
      <c r="B25" s="24" t="s">
        <v>16</v>
      </c>
      <c r="C25" s="25" cm="1">
        <f t="array" ref="C25">_xlfn.XLOOKUP(1,(StockData[Company]=B25)*(StockData[Date]=_xlfn.MINIFS(StockData[Date],StockData[Company],B25)),StockData[Close])</f>
        <v>1407.533813476562</v>
      </c>
      <c r="D25" s="25" cm="1">
        <f t="array" ref="D25">_xlfn.XLOOKUP(1,(StockData[Company]=B25)*(StockData[Date]=_xlfn.MAXIFS(StockData[Date],StockData[Company],B25)),StockData[Close])</f>
        <v>1379.300048828125</v>
      </c>
      <c r="E25" s="26">
        <f t="shared" si="1"/>
        <v>-2.005903117787311E-2</v>
      </c>
      <c r="F25" s="4"/>
    </row>
    <row r="26" spans="1:6">
      <c r="A26" s="24">
        <f t="shared" si="0"/>
        <v>7</v>
      </c>
      <c r="B26" s="24" t="s">
        <v>8</v>
      </c>
      <c r="C26" s="25" cm="1">
        <f t="array" ref="C26">_xlfn.XLOOKUP(1,(StockData[Company]=B26)*(StockData[Date]=_xlfn.MINIFS(StockData[Date],StockData[Company],B26)),StockData[Close])</f>
        <v>1392.859985351562</v>
      </c>
      <c r="D26" s="25" cm="1">
        <f t="array" ref="D26">_xlfn.XLOOKUP(1,(StockData[Company]=B26)*(StockData[Date]=_xlfn.MAXIFS(StockData[Date],StockData[Company],B26)),StockData[Close])</f>
        <v>1257.5</v>
      </c>
      <c r="E26" s="26">
        <f t="shared" si="1"/>
        <v>-9.7181329620433243E-2</v>
      </c>
      <c r="F26" s="4"/>
    </row>
    <row r="27" spans="1:6">
      <c r="A27" s="24">
        <f t="shared" si="0"/>
        <v>8</v>
      </c>
      <c r="B27" s="24" t="s">
        <v>20</v>
      </c>
      <c r="C27" s="25" cm="1">
        <f t="array" ref="C27">_xlfn.XLOOKUP(1,(StockData[Company]=B27)*(StockData[Date]=_xlfn.MINIFS(StockData[Date],StockData[Company],B27)),StockData[Close])</f>
        <v>1402.963500976562</v>
      </c>
      <c r="D27" s="25" cm="1">
        <f t="array" ref="D27">_xlfn.XLOOKUP(1,(StockData[Company]=B27)*(StockData[Date]=_xlfn.MAXIFS(StockData[Date],StockData[Company],B27)),StockData[Close])</f>
        <v>1206.099975585938</v>
      </c>
      <c r="E27" s="26">
        <f t="shared" si="1"/>
        <v>-0.14031977685349128</v>
      </c>
      <c r="F27" s="4"/>
    </row>
    <row r="28" spans="1:6">
      <c r="A28" s="24">
        <f t="shared" si="0"/>
        <v>9</v>
      </c>
      <c r="B28" s="24" t="s">
        <v>24</v>
      </c>
      <c r="C28" s="25" cm="1">
        <f t="array" ref="C28">_xlfn.XLOOKUP(1,(StockData[Company]=B28)*(StockData[Date]=_xlfn.MINIFS(StockData[Date],StockData[Company],B28)),StockData[Close])</f>
        <v>15113.216796875</v>
      </c>
      <c r="D28" s="25" cm="1">
        <f t="array" ref="D28">_xlfn.XLOOKUP(1,(StockData[Company]=B28)*(StockData[Date]=_xlfn.MAXIFS(StockData[Date],StockData[Company],B28)),StockData[Close])</f>
        <v>12400</v>
      </c>
      <c r="E28" s="26">
        <f t="shared" si="1"/>
        <v>-0.17952609516168783</v>
      </c>
      <c r="F28" s="4"/>
    </row>
    <row r="29" spans="1:6">
      <c r="A29" s="24">
        <f t="shared" si="0"/>
        <v>10</v>
      </c>
      <c r="B29" s="24" t="s">
        <v>32</v>
      </c>
      <c r="C29" s="25" cm="1">
        <f t="array" ref="C29">_xlfn.XLOOKUP(1,(StockData[Company]=B29)*(StockData[Date]=_xlfn.MINIFS(StockData[Date],StockData[Company],B29)),StockData[Close])</f>
        <v>2535.083251953125</v>
      </c>
      <c r="D29" s="25" cm="1">
        <f t="array" ref="D29">_xlfn.XLOOKUP(1,(StockData[Company]=B29)*(StockData[Date]=_xlfn.MAXIFS(StockData[Date],StockData[Company],B29)),StockData[Close])</f>
        <v>1927</v>
      </c>
      <c r="E29" s="26">
        <f t="shared" si="1"/>
        <v>-0.23986717260059776</v>
      </c>
      <c r="F29" s="4"/>
    </row>
    <row r="30" spans="1:6">
      <c r="A30" s="24">
        <f t="shared" si="0"/>
        <v>11</v>
      </c>
      <c r="B30" s="24" t="s">
        <v>14</v>
      </c>
      <c r="C30" s="25" cm="1">
        <f t="array" ref="C30">_xlfn.XLOOKUP(1,(StockData[Company]=B30)*(StockData[Date]=_xlfn.MINIFS(StockData[Date],StockData[Company],B30)),StockData[Close])</f>
        <v>951.31573486328125</v>
      </c>
      <c r="D30" s="25" cm="1">
        <f t="array" ref="D30">_xlfn.XLOOKUP(1,(StockData[Company]=B30)*(StockData[Date]=_xlfn.MAXIFS(StockData[Date],StockData[Company],B30)),StockData[Close])</f>
        <v>708.25</v>
      </c>
      <c r="E30" s="26">
        <f t="shared" si="1"/>
        <v>-0.25550479820268457</v>
      </c>
      <c r="F30" s="4"/>
    </row>
    <row r="31" spans="1:6">
      <c r="A31" s="24">
        <f t="shared" si="0"/>
        <v>12</v>
      </c>
      <c r="B31" s="24" t="s">
        <v>10</v>
      </c>
      <c r="C31" s="25" cm="1">
        <f t="array" ref="C31">_xlfn.XLOOKUP(1,(StockData[Company]=B31)*(StockData[Date]=_xlfn.MINIFS(StockData[Date],StockData[Company],B31)),StockData[Close])</f>
        <v>2987.865234375</v>
      </c>
      <c r="D31" s="25" cm="1">
        <f t="array" ref="D31">_xlfn.XLOOKUP(1,(StockData[Company]=B31)*(StockData[Date]=_xlfn.MAXIFS(StockData[Date],StockData[Company],B31)),StockData[Close])</f>
        <v>2200.800048828125</v>
      </c>
      <c r="E31" s="26">
        <f t="shared" si="1"/>
        <v>-0.2634205775052344</v>
      </c>
      <c r="F31" s="4"/>
    </row>
    <row r="32" spans="1:6">
      <c r="A32" s="24">
        <f t="shared" si="0"/>
        <v>13</v>
      </c>
      <c r="B32" s="24" t="s">
        <v>12</v>
      </c>
      <c r="C32" s="25" cm="1">
        <f t="array" ref="C32">_xlfn.XLOOKUP(1,(StockData[Company]=B32)*(StockData[Date]=_xlfn.MINIFS(StockData[Date],StockData[Company],B32)),StockData[Close])</f>
        <v>1454.188598632812</v>
      </c>
      <c r="D32" s="25" cm="1">
        <f t="array" ref="D32">_xlfn.XLOOKUP(1,(StockData[Company]=B32)*(StockData[Date]=_xlfn.MAXIFS(StockData[Date],StockData[Company],B32)),StockData[Close])</f>
        <v>1037.699951171875</v>
      </c>
      <c r="E32" s="26">
        <f t="shared" si="1"/>
        <v>-0.28640621158253354</v>
      </c>
      <c r="F32" s="4"/>
    </row>
    <row r="33" spans="1:6">
      <c r="A33" s="24">
        <f t="shared" si="0"/>
        <v>14</v>
      </c>
      <c r="B33" s="24" t="s">
        <v>18</v>
      </c>
      <c r="C33" s="25" cm="1">
        <f t="array" ref="C33">_xlfn.XLOOKUP(1,(StockData[Company]=B33)*(StockData[Date]=_xlfn.MINIFS(StockData[Date],StockData[Company],B33)),StockData[Close])</f>
        <v>242.1898498535156</v>
      </c>
      <c r="D33" s="25" cm="1">
        <f t="array" ref="D33">_xlfn.XLOOKUP(1,(StockData[Company]=B33)*(StockData[Date]=_xlfn.MAXIFS(StockData[Date],StockData[Company],B33)),StockData[Close])</f>
        <v>167.3999938964844</v>
      </c>
      <c r="E33" s="26">
        <f t="shared" si="1"/>
        <v>-0.30880673158791161</v>
      </c>
      <c r="F33" s="4"/>
    </row>
    <row r="34" spans="1:6">
      <c r="A34" s="24">
        <f t="shared" si="0"/>
        <v>15</v>
      </c>
      <c r="B34" s="24" t="s">
        <v>26</v>
      </c>
      <c r="C34" s="25" cm="1">
        <f t="array" ref="C34">_xlfn.XLOOKUP(1,(StockData[Company]=B34)*(StockData[Date]=_xlfn.MINIFS(StockData[Date],StockData[Company],B34)),StockData[Close])</f>
        <v>707.03497314453125</v>
      </c>
      <c r="D34" s="25" cm="1">
        <f t="array" ref="D34">_xlfn.XLOOKUP(1,(StockData[Company]=B34)*(StockData[Date]=_xlfn.MAXIFS(StockData[Date],StockData[Company],B34)),StockData[Close])</f>
        <v>301.10000610351563</v>
      </c>
      <c r="E34" s="26">
        <f t="shared" si="1"/>
        <v>-0.57413704054217263</v>
      </c>
      <c r="F34" s="4"/>
    </row>
    <row r="39" spans="1:6" ht="18">
      <c r="A39" s="42" t="s">
        <v>97</v>
      </c>
      <c r="B39" s="42"/>
    </row>
    <row r="41" spans="1:6">
      <c r="A41" s="16" t="s">
        <v>1</v>
      </c>
      <c r="B41" s="16" t="s">
        <v>98</v>
      </c>
    </row>
    <row r="42" spans="1:6">
      <c r="A42" s="22" t="s">
        <v>14</v>
      </c>
      <c r="B42" s="23">
        <v>31462622.853658538</v>
      </c>
    </row>
    <row r="43" spans="1:6">
      <c r="A43" s="22" t="s">
        <v>18</v>
      </c>
      <c r="B43" s="23">
        <v>16233807.772357723</v>
      </c>
    </row>
    <row r="44" spans="1:6">
      <c r="A44" s="22" t="s">
        <v>16</v>
      </c>
      <c r="B44" s="23">
        <v>14015882.910569105</v>
      </c>
    </row>
    <row r="45" spans="1:6">
      <c r="A45" s="22" t="s">
        <v>8</v>
      </c>
      <c r="B45" s="23">
        <v>13761161.25203252</v>
      </c>
    </row>
    <row r="46" spans="1:6">
      <c r="A46" s="22" t="s">
        <v>26</v>
      </c>
      <c r="B46" s="23">
        <v>11699942.987804879</v>
      </c>
    </row>
    <row r="47" spans="1:6">
      <c r="A47" s="22" t="s">
        <v>12</v>
      </c>
      <c r="B47" s="23">
        <v>11431269</v>
      </c>
    </row>
    <row r="48" spans="1:6">
      <c r="A48" s="22" t="s">
        <v>22</v>
      </c>
      <c r="B48" s="23">
        <v>8280383.5853658533</v>
      </c>
    </row>
    <row r="49" spans="1:7">
      <c r="A49" s="22" t="s">
        <v>36</v>
      </c>
      <c r="B49" s="23">
        <v>6704586.3632653058</v>
      </c>
    </row>
    <row r="50" spans="1:7">
      <c r="A50" s="22" t="s">
        <v>10</v>
      </c>
      <c r="B50" s="23">
        <v>3789738.6666666665</v>
      </c>
    </row>
    <row r="51" spans="1:7">
      <c r="A51" s="22" t="s">
        <v>20</v>
      </c>
      <c r="B51" s="23">
        <v>3292512.987804878</v>
      </c>
    </row>
    <row r="52" spans="1:7">
      <c r="A52" s="22" t="s">
        <v>28</v>
      </c>
      <c r="B52" s="23">
        <v>2610641.5975609757</v>
      </c>
    </row>
    <row r="53" spans="1:7">
      <c r="A53" s="22" t="s">
        <v>34</v>
      </c>
      <c r="B53" s="23">
        <v>2251334.5650406503</v>
      </c>
    </row>
    <row r="54" spans="1:7">
      <c r="A54" s="22" t="s">
        <v>32</v>
      </c>
      <c r="B54" s="23">
        <v>1727407.1469387754</v>
      </c>
    </row>
    <row r="55" spans="1:7">
      <c r="A55" s="22" t="s">
        <v>30</v>
      </c>
      <c r="B55" s="23">
        <v>1199798.8780487804</v>
      </c>
    </row>
    <row r="56" spans="1:7">
      <c r="A56" s="22" t="s">
        <v>24</v>
      </c>
      <c r="B56" s="23">
        <v>437327.47154471546</v>
      </c>
    </row>
    <row r="59" spans="1:7">
      <c r="A59" s="37" t="s">
        <v>101</v>
      </c>
      <c r="B59" s="37"/>
      <c r="C59" s="37"/>
      <c r="D59" s="37"/>
      <c r="E59" s="37"/>
      <c r="F59" s="37"/>
      <c r="G59" s="37"/>
    </row>
    <row r="61" spans="1:7" ht="15.6">
      <c r="A61" s="38" t="s">
        <v>102</v>
      </c>
      <c r="B61" s="38"/>
      <c r="C61" s="38"/>
      <c r="D61" s="38"/>
      <c r="E61" s="38"/>
      <c r="F61" s="38"/>
      <c r="G61" s="38"/>
    </row>
    <row r="62" spans="1:7" ht="15.6">
      <c r="A62" s="39"/>
      <c r="B62" s="39"/>
      <c r="C62" s="39"/>
      <c r="D62" s="39"/>
      <c r="E62" s="39"/>
      <c r="F62" s="39"/>
      <c r="G62" s="39"/>
    </row>
    <row r="63" spans="1:7" ht="31.8" customHeight="1">
      <c r="A63" s="35" t="s">
        <v>103</v>
      </c>
      <c r="B63" s="35"/>
      <c r="C63" s="35"/>
      <c r="D63" s="35"/>
      <c r="E63" s="35"/>
      <c r="F63" s="35"/>
      <c r="G63" s="35"/>
    </row>
    <row r="64" spans="1:7" ht="15.6">
      <c r="A64" s="35"/>
      <c r="B64" s="35"/>
      <c r="C64" s="35"/>
      <c r="D64" s="35"/>
      <c r="E64" s="35"/>
      <c r="F64" s="35"/>
      <c r="G64" s="35"/>
    </row>
    <row r="65" spans="1:7" ht="27.6" customHeight="1">
      <c r="A65" s="36" t="s">
        <v>104</v>
      </c>
      <c r="B65" s="36"/>
      <c r="C65" s="36"/>
      <c r="D65" s="36"/>
      <c r="E65" s="36"/>
      <c r="F65" s="36"/>
      <c r="G65" s="36"/>
    </row>
    <row r="66" spans="1:7" ht="15.6">
      <c r="A66" s="35"/>
      <c r="B66" s="35"/>
      <c r="C66" s="35"/>
      <c r="D66" s="35"/>
      <c r="E66" s="35"/>
      <c r="F66" s="35"/>
      <c r="G66" s="35"/>
    </row>
    <row r="67" spans="1:7" ht="30.6" customHeight="1">
      <c r="A67" s="36" t="s">
        <v>105</v>
      </c>
      <c r="B67" s="36"/>
      <c r="C67" s="36"/>
      <c r="D67" s="36"/>
      <c r="E67" s="36"/>
      <c r="F67" s="36"/>
      <c r="G67" s="36"/>
    </row>
    <row r="68" spans="1:7" ht="15.6">
      <c r="A68" s="35"/>
      <c r="B68" s="35"/>
      <c r="C68" s="35"/>
      <c r="D68" s="35"/>
      <c r="E68" s="35"/>
      <c r="F68" s="35"/>
      <c r="G68" s="35"/>
    </row>
    <row r="69" spans="1:7" ht="31.2" customHeight="1">
      <c r="A69" s="36" t="s">
        <v>106</v>
      </c>
      <c r="B69" s="36"/>
      <c r="C69" s="36"/>
      <c r="D69" s="36"/>
      <c r="E69" s="36"/>
      <c r="F69" s="36"/>
      <c r="G69" s="36"/>
    </row>
  </sheetData>
  <sortState xmlns:xlrd2="http://schemas.microsoft.com/office/spreadsheetml/2017/richdata2" ref="A20:E34">
    <sortCondition descending="1" ref="E20:E34"/>
  </sortState>
  <mergeCells count="15">
    <mergeCell ref="A1:H1"/>
    <mergeCell ref="A2:H2"/>
    <mergeCell ref="A39:B39"/>
    <mergeCell ref="A6:B6"/>
    <mergeCell ref="A17:C17"/>
    <mergeCell ref="A68:G68"/>
    <mergeCell ref="A69:G69"/>
    <mergeCell ref="A59:G59"/>
    <mergeCell ref="A61:G61"/>
    <mergeCell ref="A62:G62"/>
    <mergeCell ref="A63:G63"/>
    <mergeCell ref="A64:G64"/>
    <mergeCell ref="A65:G65"/>
    <mergeCell ref="A66:G66"/>
    <mergeCell ref="A67:G67"/>
  </mergeCells>
  <conditionalFormatting sqref="E20:E3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E3CE-E991-47A8-B371-FB4E92144690}">
  <dimension ref="A1:Q41"/>
  <sheetViews>
    <sheetView showGridLines="0" tabSelected="1" topLeftCell="A6" workbookViewId="0">
      <selection activeCell="L15" sqref="L15"/>
    </sheetView>
  </sheetViews>
  <sheetFormatPr defaultRowHeight="14.4"/>
  <cols>
    <col min="1" max="1" width="16.44140625" bestFit="1" customWidth="1"/>
    <col min="2" max="2" width="15.109375" bestFit="1" customWidth="1"/>
    <col min="3" max="3" width="9" bestFit="1" customWidth="1"/>
    <col min="4" max="4" width="12.109375" bestFit="1" customWidth="1"/>
    <col min="5" max="5" width="16.44140625" bestFit="1" customWidth="1"/>
    <col min="6" max="6" width="20.5546875" bestFit="1" customWidth="1"/>
    <col min="7" max="7" width="17.21875" bestFit="1" customWidth="1"/>
    <col min="8" max="8" width="16.44140625" bestFit="1" customWidth="1"/>
    <col min="9" max="9" width="17.33203125" bestFit="1" customWidth="1"/>
    <col min="10" max="10" width="15" bestFit="1" customWidth="1"/>
    <col min="11" max="11" width="8.5546875" bestFit="1" customWidth="1"/>
    <col min="12" max="12" width="8" bestFit="1" customWidth="1"/>
    <col min="13" max="14" width="11.21875" bestFit="1" customWidth="1"/>
    <col min="15" max="15" width="7.5546875" bestFit="1" customWidth="1"/>
    <col min="16" max="16" width="6.5546875" bestFit="1" customWidth="1"/>
    <col min="17" max="17" width="10.77734375" bestFit="1" customWidth="1"/>
  </cols>
  <sheetData>
    <row r="1" spans="1:16" ht="23.4">
      <c r="A1" s="28" t="s">
        <v>77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6">
      <c r="A2" s="29" t="s">
        <v>78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15.6">
      <c r="A3" s="29" t="s">
        <v>79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6">
      <c r="A5" s="30" t="s">
        <v>80</v>
      </c>
      <c r="B5" s="30"/>
      <c r="E5" s="30" t="s">
        <v>82</v>
      </c>
      <c r="F5" s="30"/>
      <c r="H5" s="30" t="s">
        <v>83</v>
      </c>
      <c r="I5" s="30"/>
    </row>
    <row r="6" spans="1:16">
      <c r="A6" s="13" t="s">
        <v>71</v>
      </c>
      <c r="B6" t="s">
        <v>73</v>
      </c>
      <c r="E6" s="13" t="s">
        <v>71</v>
      </c>
      <c r="F6" t="s">
        <v>75</v>
      </c>
      <c r="H6" s="13" t="s">
        <v>71</v>
      </c>
      <c r="I6" t="s">
        <v>76</v>
      </c>
    </row>
    <row r="7" spans="1:16">
      <c r="A7" s="14" t="s">
        <v>24</v>
      </c>
      <c r="B7" s="2">
        <v>14433.011563929116</v>
      </c>
      <c r="E7" s="14" t="s">
        <v>24</v>
      </c>
      <c r="F7" s="2">
        <v>146.11028455284554</v>
      </c>
      <c r="H7" s="14" t="s">
        <v>14</v>
      </c>
      <c r="I7" s="3">
        <v>31462622.853658538</v>
      </c>
    </row>
    <row r="8" spans="1:16">
      <c r="A8" s="14" t="s">
        <v>34</v>
      </c>
      <c r="B8" s="2">
        <v>3928.1227352483484</v>
      </c>
      <c r="E8" s="14" t="s">
        <v>34</v>
      </c>
      <c r="F8" s="2">
        <v>35.589268292682931</v>
      </c>
      <c r="H8" s="14" t="s">
        <v>18</v>
      </c>
      <c r="I8" s="3">
        <v>16233807.772357723</v>
      </c>
    </row>
    <row r="9" spans="1:16">
      <c r="A9" s="14" t="s">
        <v>10</v>
      </c>
      <c r="B9" s="2">
        <v>2613.1061520460175</v>
      </c>
      <c r="E9" s="14" t="s">
        <v>10</v>
      </c>
      <c r="F9" s="2">
        <v>28.789756097560957</v>
      </c>
      <c r="H9" s="14" t="s">
        <v>16</v>
      </c>
      <c r="I9" s="3">
        <v>14015882.910569105</v>
      </c>
      <c r="J9" s="3" t="s">
        <v>96</v>
      </c>
    </row>
    <row r="10" spans="1:16">
      <c r="A10" s="14" t="s">
        <v>30</v>
      </c>
      <c r="B10" s="2">
        <v>2563.9281809737045</v>
      </c>
      <c r="E10" s="14" t="s">
        <v>30</v>
      </c>
      <c r="F10" s="2">
        <v>26.616219512195123</v>
      </c>
      <c r="H10" s="14" t="s">
        <v>8</v>
      </c>
      <c r="I10" s="3">
        <v>13761161.25203252</v>
      </c>
    </row>
    <row r="11" spans="1:16">
      <c r="A11" s="14" t="s">
        <v>32</v>
      </c>
      <c r="B11" s="2">
        <v>2252.3741470025511</v>
      </c>
      <c r="E11" s="14" t="s">
        <v>32</v>
      </c>
      <c r="F11" s="2">
        <v>22.878244897959185</v>
      </c>
      <c r="H11" s="14" t="s">
        <v>26</v>
      </c>
      <c r="I11" s="3">
        <v>11699942.987804879</v>
      </c>
    </row>
    <row r="12" spans="1:16">
      <c r="A12" s="14" t="s">
        <v>28</v>
      </c>
      <c r="B12" s="2">
        <v>1773.1492537831873</v>
      </c>
      <c r="E12" s="14" t="s">
        <v>20</v>
      </c>
      <c r="F12" s="2">
        <v>15.750040650406502</v>
      </c>
      <c r="H12" s="14" t="s">
        <v>12</v>
      </c>
      <c r="I12" s="3">
        <v>11431269</v>
      </c>
    </row>
    <row r="13" spans="1:16">
      <c r="A13" s="14" t="s">
        <v>8</v>
      </c>
      <c r="B13" s="2">
        <v>1390.6851965431276</v>
      </c>
      <c r="E13" s="14" t="s">
        <v>28</v>
      </c>
      <c r="F13" s="2">
        <v>15.442235772357728</v>
      </c>
      <c r="H13" s="14" t="s">
        <v>22</v>
      </c>
      <c r="I13" s="3">
        <v>8280383.5853658533</v>
      </c>
    </row>
    <row r="14" spans="1:16">
      <c r="A14" s="14" t="s">
        <v>20</v>
      </c>
      <c r="B14" s="2">
        <v>1369.6190148330315</v>
      </c>
      <c r="E14" s="14" t="s">
        <v>12</v>
      </c>
      <c r="F14" s="2">
        <v>14.89869918699187</v>
      </c>
      <c r="H14" s="14" t="s">
        <v>36</v>
      </c>
      <c r="I14" s="3">
        <v>6704586.3632653058</v>
      </c>
    </row>
    <row r="15" spans="1:16">
      <c r="A15" s="14" t="s">
        <v>16</v>
      </c>
      <c r="B15" s="2">
        <v>1350.7286759043127</v>
      </c>
      <c r="E15" s="14" t="s">
        <v>8</v>
      </c>
      <c r="F15" s="2">
        <v>12.55894308943089</v>
      </c>
      <c r="H15" s="14" t="s">
        <v>10</v>
      </c>
      <c r="I15" s="3">
        <v>3789738.6666666665</v>
      </c>
    </row>
    <row r="16" spans="1:16">
      <c r="A16" s="14" t="s">
        <v>12</v>
      </c>
      <c r="B16" s="2">
        <v>1312.3063585234852</v>
      </c>
      <c r="E16" s="14" t="s">
        <v>36</v>
      </c>
      <c r="F16" s="2">
        <v>12.121020408163261</v>
      </c>
      <c r="H16" s="14" t="s">
        <v>20</v>
      </c>
      <c r="I16" s="3">
        <v>3292512.987804878</v>
      </c>
    </row>
    <row r="17" spans="1:17">
      <c r="A17" s="14" t="s">
        <v>36</v>
      </c>
      <c r="B17" s="2">
        <v>1270.2629753268495</v>
      </c>
      <c r="E17" s="14" t="s">
        <v>22</v>
      </c>
      <c r="F17" s="2">
        <v>10.851097560975612</v>
      </c>
      <c r="H17" s="14" t="s">
        <v>28</v>
      </c>
      <c r="I17" s="3">
        <v>2610641.5975609757</v>
      </c>
    </row>
    <row r="18" spans="1:17">
      <c r="A18" s="14" t="s">
        <v>22</v>
      </c>
      <c r="B18" s="2">
        <v>984.04649687976371</v>
      </c>
      <c r="E18" s="14" t="s">
        <v>16</v>
      </c>
      <c r="F18" s="2">
        <v>10.748902439024384</v>
      </c>
      <c r="H18" s="14" t="s">
        <v>34</v>
      </c>
      <c r="I18" s="3">
        <v>2251334.5650406503</v>
      </c>
    </row>
    <row r="19" spans="1:17">
      <c r="A19" s="14" t="s">
        <v>14</v>
      </c>
      <c r="B19" s="2">
        <v>851.26350167127157</v>
      </c>
      <c r="E19" s="14" t="s">
        <v>14</v>
      </c>
      <c r="F19" s="2">
        <v>7.4217479674796776</v>
      </c>
      <c r="H19" s="14" t="s">
        <v>32</v>
      </c>
      <c r="I19" s="3">
        <v>1727407.1469387754</v>
      </c>
    </row>
    <row r="20" spans="1:17">
      <c r="A20" s="14" t="s">
        <v>26</v>
      </c>
      <c r="B20" s="2">
        <v>379.4929802127001</v>
      </c>
      <c r="E20" s="14" t="s">
        <v>26</v>
      </c>
      <c r="F20" s="2">
        <v>5.1441869918699199</v>
      </c>
      <c r="H20" s="14" t="s">
        <v>30</v>
      </c>
      <c r="I20" s="3">
        <v>1199798.8780487804</v>
      </c>
    </row>
    <row r="21" spans="1:17">
      <c r="A21" s="14" t="s">
        <v>18</v>
      </c>
      <c r="B21" s="2">
        <v>210.0748683650319</v>
      </c>
      <c r="E21" s="14" t="s">
        <v>18</v>
      </c>
      <c r="F21" s="2">
        <v>2.258373983739836</v>
      </c>
      <c r="H21" s="14" t="s">
        <v>24</v>
      </c>
      <c r="I21" s="3">
        <v>437327.47154471546</v>
      </c>
    </row>
    <row r="22" spans="1:17">
      <c r="A22" s="14" t="s">
        <v>72</v>
      </c>
      <c r="B22" s="2">
        <v>2445.8491593772574</v>
      </c>
      <c r="E22" s="14" t="s">
        <v>72</v>
      </c>
      <c r="F22" s="2">
        <v>24.482386117136649</v>
      </c>
      <c r="H22" s="14" t="s">
        <v>72</v>
      </c>
      <c r="I22" s="3">
        <v>8595601.6388286334</v>
      </c>
    </row>
    <row r="25" spans="1:17" ht="15.6">
      <c r="A25" s="31" t="s">
        <v>81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1:17">
      <c r="A26" s="13" t="s">
        <v>73</v>
      </c>
      <c r="B26" s="13" t="s">
        <v>74</v>
      </c>
    </row>
    <row r="27" spans="1:17">
      <c r="A27" s="13" t="s">
        <v>71</v>
      </c>
      <c r="B27" t="s">
        <v>30</v>
      </c>
      <c r="C27" t="s">
        <v>36</v>
      </c>
      <c r="D27" t="s">
        <v>22</v>
      </c>
      <c r="E27" t="s">
        <v>20</v>
      </c>
      <c r="F27" t="s">
        <v>14</v>
      </c>
      <c r="G27" t="s">
        <v>32</v>
      </c>
      <c r="H27" t="s">
        <v>16</v>
      </c>
      <c r="I27" t="s">
        <v>12</v>
      </c>
      <c r="J27" t="s">
        <v>34</v>
      </c>
      <c r="K27" t="s">
        <v>24</v>
      </c>
      <c r="L27" t="s">
        <v>8</v>
      </c>
      <c r="M27" t="s">
        <v>28</v>
      </c>
      <c r="N27" t="s">
        <v>26</v>
      </c>
      <c r="O27" t="s">
        <v>10</v>
      </c>
      <c r="P27" t="s">
        <v>18</v>
      </c>
      <c r="Q27" t="s">
        <v>72</v>
      </c>
    </row>
    <row r="28" spans="1:17">
      <c r="A28" s="15">
        <v>45901</v>
      </c>
      <c r="B28" s="2">
        <v>2413.898681640625</v>
      </c>
      <c r="C28" s="2">
        <v>1139.0382080078125</v>
      </c>
      <c r="D28" s="2">
        <v>998.77697245279944</v>
      </c>
      <c r="E28" s="2">
        <v>1378.8792114257813</v>
      </c>
      <c r="F28" s="2">
        <v>943.79433186848962</v>
      </c>
      <c r="G28" s="2">
        <v>2503.3496907552085</v>
      </c>
      <c r="H28" s="2">
        <v>1379.5447285970051</v>
      </c>
      <c r="I28" s="2">
        <v>1440.6114196777344</v>
      </c>
      <c r="J28" s="2">
        <v>3631.0425821940103</v>
      </c>
      <c r="K28" s="2">
        <v>15762.529541015625</v>
      </c>
      <c r="L28" s="2">
        <v>1384.5152486165364</v>
      </c>
      <c r="M28" s="2">
        <v>1605.1144612630208</v>
      </c>
      <c r="N28" s="2">
        <v>688.81937662760413</v>
      </c>
      <c r="O28" s="2">
        <v>2927.5443522135415</v>
      </c>
      <c r="P28" s="2">
        <v>238.83252461751303</v>
      </c>
      <c r="Q28" s="2">
        <v>2562.4194220648869</v>
      </c>
    </row>
    <row r="29" spans="1:17">
      <c r="A29" s="15">
        <v>45931</v>
      </c>
      <c r="B29" s="2">
        <v>2403.2330496651784</v>
      </c>
      <c r="C29" s="2">
        <v>1207.9065406436011</v>
      </c>
      <c r="D29" s="2">
        <v>1040.8516700381324</v>
      </c>
      <c r="E29" s="2">
        <v>1430.9628092447917</v>
      </c>
      <c r="F29" s="2">
        <v>972.78449358258933</v>
      </c>
      <c r="G29" s="2">
        <v>2483.6903134300596</v>
      </c>
      <c r="H29" s="2">
        <v>1367.1221051897321</v>
      </c>
      <c r="I29" s="2">
        <v>1437.3350481305804</v>
      </c>
      <c r="J29" s="2">
        <v>3803.5352143787204</v>
      </c>
      <c r="K29" s="2">
        <v>16045.9921875</v>
      </c>
      <c r="L29" s="2">
        <v>1414.4696103050596</v>
      </c>
      <c r="M29" s="2">
        <v>1656.810128348214</v>
      </c>
      <c r="N29" s="2">
        <v>509.73823184058779</v>
      </c>
      <c r="O29" s="2">
        <v>2896.5736025855654</v>
      </c>
      <c r="P29" s="2">
        <v>235.29207865397134</v>
      </c>
      <c r="Q29" s="2">
        <v>2593.7531389024521</v>
      </c>
    </row>
    <row r="30" spans="1:17">
      <c r="A30" s="15">
        <v>45962</v>
      </c>
      <c r="B30" s="2">
        <v>2757.3028757195725</v>
      </c>
      <c r="C30" s="2">
        <v>1250.5302862870067</v>
      </c>
      <c r="D30" s="2">
        <v>1018.8317710474918</v>
      </c>
      <c r="E30" s="2">
        <v>1533.2168482730262</v>
      </c>
      <c r="F30" s="2">
        <v>977.89200310958063</v>
      </c>
      <c r="G30" s="2">
        <v>2402.3557257401317</v>
      </c>
      <c r="H30" s="2">
        <v>1353.9017333984375</v>
      </c>
      <c r="I30" s="2">
        <v>1489.6903333162008</v>
      </c>
      <c r="J30" s="2">
        <v>3952.7655993009867</v>
      </c>
      <c r="K30" s="2">
        <v>15605.014854029605</v>
      </c>
      <c r="L30" s="2">
        <v>1513.2454769736842</v>
      </c>
      <c r="M30" s="2">
        <v>1735.8558735094573</v>
      </c>
      <c r="N30" s="2">
        <v>378.85204756887333</v>
      </c>
      <c r="O30" s="2">
        <v>2980.1960963199012</v>
      </c>
      <c r="P30" s="2">
        <v>235.14125141344573</v>
      </c>
      <c r="Q30" s="2">
        <v>2612.3195184004935</v>
      </c>
    </row>
    <row r="31" spans="1:17">
      <c r="A31" s="15">
        <v>45992</v>
      </c>
      <c r="B31" s="2">
        <v>2800.304543235085</v>
      </c>
      <c r="C31" s="2">
        <v>1253.7421597567472</v>
      </c>
      <c r="D31" s="2">
        <v>1005.0264309969815</v>
      </c>
      <c r="E31" s="2">
        <v>1598.3003484552557</v>
      </c>
      <c r="F31" s="2">
        <v>977.99272294477987</v>
      </c>
      <c r="G31" s="2">
        <v>2300.8828568892045</v>
      </c>
      <c r="H31" s="2">
        <v>1354.6297829367898</v>
      </c>
      <c r="I31" s="2">
        <v>1580.9972867098722</v>
      </c>
      <c r="J31" s="2">
        <v>4002.109940962358</v>
      </c>
      <c r="K31" s="2">
        <v>16201.78457919034</v>
      </c>
      <c r="L31" s="2">
        <v>1543.3143587979403</v>
      </c>
      <c r="M31" s="2">
        <v>1756.547246759588</v>
      </c>
      <c r="N31" s="2">
        <v>351.10791015625</v>
      </c>
      <c r="O31" s="2">
        <v>3115.3303000710225</v>
      </c>
      <c r="P31" s="2">
        <v>251.84737673672763</v>
      </c>
      <c r="Q31" s="2">
        <v>2672.9278563065964</v>
      </c>
    </row>
    <row r="32" spans="1:17">
      <c r="A32" s="15">
        <v>46023</v>
      </c>
      <c r="B32" s="2">
        <v>2698.4879150390625</v>
      </c>
      <c r="C32" s="2">
        <v>1294.6415588378907</v>
      </c>
      <c r="D32" s="2">
        <v>946.2606323242187</v>
      </c>
      <c r="E32" s="2">
        <v>1622.0127136230469</v>
      </c>
      <c r="F32" s="2">
        <v>926.48397827148438</v>
      </c>
      <c r="G32" s="2">
        <v>2356.7333374023438</v>
      </c>
      <c r="H32" s="2">
        <v>1372.647882080078</v>
      </c>
      <c r="I32" s="2">
        <v>1606.1538208007812</v>
      </c>
      <c r="J32" s="2">
        <v>3905.127197265625</v>
      </c>
      <c r="K32" s="2">
        <v>15909.71787109375</v>
      </c>
      <c r="L32" s="2">
        <v>1449.3388244628907</v>
      </c>
      <c r="M32" s="2">
        <v>1667.17265625</v>
      </c>
      <c r="N32" s="2">
        <v>349.93220520019531</v>
      </c>
      <c r="O32" s="2">
        <v>3106.3273559570312</v>
      </c>
      <c r="P32" s="2">
        <v>245.43538284301758</v>
      </c>
      <c r="Q32" s="2">
        <v>2630.4315554300942</v>
      </c>
    </row>
    <row r="33" spans="1:17">
      <c r="A33" s="15">
        <v>46054</v>
      </c>
      <c r="B33" s="2">
        <v>2390.2720092773438</v>
      </c>
      <c r="C33" s="2">
        <v>1357.4730834960938</v>
      </c>
      <c r="D33" s="2">
        <v>989.01034240722652</v>
      </c>
      <c r="E33" s="2">
        <v>1459.8762512207031</v>
      </c>
      <c r="F33" s="2">
        <v>908.65386047363279</v>
      </c>
      <c r="G33" s="2">
        <v>2340.7311035156249</v>
      </c>
      <c r="H33" s="2">
        <v>1387.6067810058594</v>
      </c>
      <c r="I33" s="2">
        <v>1390.2654785156251</v>
      </c>
      <c r="J33" s="2">
        <v>4159.3887695312496</v>
      </c>
      <c r="K33" s="2">
        <v>14890.652539062499</v>
      </c>
      <c r="L33" s="2">
        <v>1424.5186279296875</v>
      </c>
      <c r="M33" s="2">
        <v>1708.8368896484376</v>
      </c>
      <c r="N33" s="2">
        <v>375.35630950927737</v>
      </c>
      <c r="O33" s="2">
        <v>2760.2050170898438</v>
      </c>
      <c r="P33" s="2">
        <v>216.47419967651368</v>
      </c>
      <c r="Q33" s="2">
        <v>2517.2880841573078</v>
      </c>
    </row>
    <row r="34" spans="1:17">
      <c r="A34" s="15">
        <v>46082</v>
      </c>
      <c r="B34" s="2">
        <v>2211.9460063733554</v>
      </c>
      <c r="C34" s="2">
        <v>1248.4003649259869</v>
      </c>
      <c r="D34" s="2">
        <v>879.06461374383218</v>
      </c>
      <c r="E34" s="2">
        <v>1312.3418932462994</v>
      </c>
      <c r="F34" s="2">
        <v>804.76593338815792</v>
      </c>
      <c r="G34" s="2">
        <v>2132.8581414473683</v>
      </c>
      <c r="H34" s="2">
        <v>1270.1498830694902</v>
      </c>
      <c r="I34" s="2">
        <v>1245.2895636307567</v>
      </c>
      <c r="J34" s="2">
        <v>3633.9428325452304</v>
      </c>
      <c r="K34" s="2">
        <v>13016.433285361842</v>
      </c>
      <c r="L34" s="2">
        <v>1384.0114232113488</v>
      </c>
      <c r="M34" s="2">
        <v>1779.2946970086348</v>
      </c>
      <c r="N34" s="2">
        <v>323.34147563733552</v>
      </c>
      <c r="O34" s="2">
        <v>2406.2641987047696</v>
      </c>
      <c r="P34" s="2">
        <v>192.11172645970396</v>
      </c>
      <c r="Q34" s="2">
        <v>2256.0144025836075</v>
      </c>
    </row>
    <row r="35" spans="1:17">
      <c r="A35" s="15">
        <v>46113</v>
      </c>
      <c r="B35" s="2">
        <v>2370.7910278320314</v>
      </c>
      <c r="C35" s="2">
        <v>1315.5803955078125</v>
      </c>
      <c r="D35" s="2">
        <v>897.62709350585942</v>
      </c>
      <c r="E35" s="2">
        <v>1327.0987854003906</v>
      </c>
      <c r="F35" s="2">
        <v>775.15683288574223</v>
      </c>
      <c r="G35" s="2">
        <v>2188.3412048339842</v>
      </c>
      <c r="H35" s="2">
        <v>1296.3808471679688</v>
      </c>
      <c r="I35" s="2">
        <v>1241.8129272460938</v>
      </c>
      <c r="J35" s="2">
        <v>3921.5666625976564</v>
      </c>
      <c r="K35" s="2">
        <v>13059.83935546875</v>
      </c>
      <c r="L35" s="2">
        <v>1348.0322631835938</v>
      </c>
      <c r="M35" s="2">
        <v>1696.0848815917968</v>
      </c>
      <c r="N35" s="2">
        <v>338.59376831054686</v>
      </c>
      <c r="O35" s="2">
        <v>2463.8599975585939</v>
      </c>
      <c r="P35" s="2">
        <v>200.12145919799804</v>
      </c>
      <c r="Q35" s="2">
        <v>2296.0591668192546</v>
      </c>
    </row>
    <row r="36" spans="1:17">
      <c r="A36" s="15">
        <v>46143</v>
      </c>
      <c r="B36" s="2">
        <v>2564.3204281455592</v>
      </c>
      <c r="C36" s="2">
        <v>1269.7260292454769</v>
      </c>
      <c r="D36" s="2">
        <v>924.84634881270563</v>
      </c>
      <c r="E36" s="2">
        <v>1157.4829551295231</v>
      </c>
      <c r="F36" s="2">
        <v>756.50881797388979</v>
      </c>
      <c r="G36" s="2">
        <v>2225.1509303042762</v>
      </c>
      <c r="H36" s="2">
        <v>1248.135498046875</v>
      </c>
      <c r="I36" s="2">
        <v>1136.2439478824012</v>
      </c>
      <c r="J36" s="2">
        <v>3946.6900442023025</v>
      </c>
      <c r="K36" s="2">
        <v>13137.480622944078</v>
      </c>
      <c r="L36" s="2">
        <v>1370.6416401110198</v>
      </c>
      <c r="M36" s="2">
        <v>1847.2954422800165</v>
      </c>
      <c r="N36" s="2">
        <v>356.25789280941609</v>
      </c>
      <c r="O36" s="2">
        <v>2292.9699321546054</v>
      </c>
      <c r="P36" s="2">
        <v>195.19077019942435</v>
      </c>
      <c r="Q36" s="2">
        <v>2295.2627533494378</v>
      </c>
    </row>
    <row r="37" spans="1:17">
      <c r="A37" s="15">
        <v>46174</v>
      </c>
      <c r="B37" s="2">
        <v>2671.7437453497023</v>
      </c>
      <c r="C37" s="2">
        <v>1324.9591296968006</v>
      </c>
      <c r="D37" s="2">
        <v>923.77972993396577</v>
      </c>
      <c r="E37" s="2">
        <v>1129.3039899553571</v>
      </c>
      <c r="F37" s="2">
        <v>761.39349365234375</v>
      </c>
      <c r="G37" s="2">
        <v>2131.3288457961307</v>
      </c>
      <c r="H37" s="2">
        <v>1303.3218703497023</v>
      </c>
      <c r="I37" s="2">
        <v>1119.2549176897321</v>
      </c>
      <c r="J37" s="2">
        <v>4072.1809430803573</v>
      </c>
      <c r="K37" s="2">
        <v>13205.094819568452</v>
      </c>
      <c r="L37" s="2">
        <v>1301.6348063151042</v>
      </c>
      <c r="M37" s="2">
        <v>1813.7655261811756</v>
      </c>
      <c r="N37" s="2">
        <v>373.39243861607144</v>
      </c>
      <c r="O37" s="2">
        <v>2160.1559593563989</v>
      </c>
      <c r="P37" s="2">
        <v>182.91525268554688</v>
      </c>
      <c r="Q37" s="2">
        <v>2298.2816978817896</v>
      </c>
    </row>
    <row r="38" spans="1:17">
      <c r="A38" s="15">
        <v>46204</v>
      </c>
      <c r="B38" s="2">
        <v>2700.473887567935</v>
      </c>
      <c r="C38" s="2">
        <v>1287.4211213485055</v>
      </c>
      <c r="D38" s="2">
        <v>1039.447830863621</v>
      </c>
      <c r="E38" s="2">
        <v>1204.094315238621</v>
      </c>
      <c r="F38" s="2">
        <v>786.22826352326763</v>
      </c>
      <c r="G38" s="2">
        <v>2143.434803838315</v>
      </c>
      <c r="H38" s="2">
        <v>1410.1292777683425</v>
      </c>
      <c r="I38" s="2">
        <v>1076.2130418860395</v>
      </c>
      <c r="J38" s="2">
        <v>3896.2347783627715</v>
      </c>
      <c r="K38" s="2">
        <v>13748.531547214674</v>
      </c>
      <c r="L38" s="2">
        <v>1295.991306470788</v>
      </c>
      <c r="M38" s="2">
        <v>1938.580513332201</v>
      </c>
      <c r="N38" s="2">
        <v>335.06738944675612</v>
      </c>
      <c r="O38" s="2">
        <v>2196.381395422894</v>
      </c>
      <c r="P38" s="2">
        <v>175.12300176205844</v>
      </c>
      <c r="Q38" s="2">
        <v>2348.8901649364525</v>
      </c>
    </row>
    <row r="39" spans="1:17">
      <c r="A39" s="15">
        <v>46235</v>
      </c>
      <c r="B39" s="2">
        <v>2691.6476236979165</v>
      </c>
      <c r="C39" s="2">
        <v>1246.5285877046131</v>
      </c>
      <c r="D39" s="2">
        <v>1098.7714378720239</v>
      </c>
      <c r="E39" s="2">
        <v>1334.3714308965773</v>
      </c>
      <c r="F39" s="2">
        <v>727.82380894252231</v>
      </c>
      <c r="G39" s="2">
        <v>2052.1476120721727</v>
      </c>
      <c r="H39" s="2">
        <v>1428.990478515625</v>
      </c>
      <c r="I39" s="2">
        <v>1150.6619059244792</v>
      </c>
      <c r="J39" s="2">
        <v>4056.4761904761904</v>
      </c>
      <c r="K39" s="2">
        <v>13783.777855282739</v>
      </c>
      <c r="L39" s="2">
        <v>1309.8142903645833</v>
      </c>
      <c r="M39" s="2">
        <v>1927.0952439081102</v>
      </c>
      <c r="N39" s="2">
        <v>331.44047473725817</v>
      </c>
      <c r="O39" s="2">
        <v>2354.8428431919642</v>
      </c>
      <c r="P39" s="2">
        <v>182.79238092331659</v>
      </c>
      <c r="Q39" s="2">
        <v>2378.4788109673395</v>
      </c>
    </row>
    <row r="40" spans="1:17">
      <c r="A40" s="15">
        <v>46266</v>
      </c>
      <c r="B40" s="2">
        <v>2512.6666937934028</v>
      </c>
      <c r="C40" s="2">
        <v>1253.4125061035156</v>
      </c>
      <c r="D40" s="2">
        <v>1050.0777859157986</v>
      </c>
      <c r="E40" s="2">
        <v>1277.5555691189236</v>
      </c>
      <c r="F40" s="2">
        <v>703.78888617621533</v>
      </c>
      <c r="G40" s="2">
        <v>1962.4375152587891</v>
      </c>
      <c r="H40" s="2">
        <v>1410.8333333333333</v>
      </c>
      <c r="I40" s="2">
        <v>1092.7777777777778</v>
      </c>
      <c r="J40" s="2">
        <v>3961.5111490885415</v>
      </c>
      <c r="K40" s="2">
        <v>12706.555555555555</v>
      </c>
      <c r="L40" s="2">
        <v>1295.7222222222222</v>
      </c>
      <c r="M40" s="2">
        <v>1891.3888888888889</v>
      </c>
      <c r="N40" s="2">
        <v>307.14444647894965</v>
      </c>
      <c r="O40" s="2">
        <v>2275.5000271267363</v>
      </c>
      <c r="P40" s="2">
        <v>172.87888760036893</v>
      </c>
      <c r="Q40" s="2">
        <v>2268.0632419442773</v>
      </c>
    </row>
    <row r="41" spans="1:17">
      <c r="A41" s="15" t="s">
        <v>72</v>
      </c>
      <c r="B41" s="2">
        <v>2563.9281809737045</v>
      </c>
      <c r="C41" s="2">
        <v>1270.2629753268495</v>
      </c>
      <c r="D41" s="2">
        <v>984.04649687976371</v>
      </c>
      <c r="E41" s="2">
        <v>1369.6190148330315</v>
      </c>
      <c r="F41" s="2">
        <v>851.26350167127157</v>
      </c>
      <c r="G41" s="2">
        <v>2252.3741470025511</v>
      </c>
      <c r="H41" s="2">
        <v>1350.7286759043127</v>
      </c>
      <c r="I41" s="2">
        <v>1312.3063585234852</v>
      </c>
      <c r="J41" s="2">
        <v>3928.1227352483484</v>
      </c>
      <c r="K41" s="2">
        <v>14433.011563929116</v>
      </c>
      <c r="L41" s="2">
        <v>1390.6851965431276</v>
      </c>
      <c r="M41" s="2">
        <v>1773.1492537831873</v>
      </c>
      <c r="N41" s="2">
        <v>379.4929802127001</v>
      </c>
      <c r="O41" s="2">
        <v>2613.1061520460175</v>
      </c>
      <c r="P41" s="2">
        <v>210.0748683650319</v>
      </c>
      <c r="Q41" s="2">
        <v>2445.8491593772574</v>
      </c>
    </row>
  </sheetData>
  <mergeCells count="7">
    <mergeCell ref="A1:P1"/>
    <mergeCell ref="A2:P2"/>
    <mergeCell ref="A3:P3"/>
    <mergeCell ref="A5:B5"/>
    <mergeCell ref="A25:Q25"/>
    <mergeCell ref="E5:F5"/>
    <mergeCell ref="H5:I5"/>
  </mergeCells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A289-374D-4533-9F7D-7610A0BB3F14}">
  <dimension ref="A1:S48"/>
  <sheetViews>
    <sheetView topLeftCell="A19" zoomScale="130" zoomScaleNormal="130" workbookViewId="0">
      <selection activeCell="A42" sqref="A42:Q42"/>
    </sheetView>
  </sheetViews>
  <sheetFormatPr defaultRowHeight="14.4"/>
  <sheetData>
    <row r="1" spans="1:19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5.8">
      <c r="A2" s="67" t="s">
        <v>107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>
      <c r="A3" s="66" t="s">
        <v>108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19">
      <c r="A4" s="68" t="s">
        <v>109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</row>
    <row r="8" spans="1:19" ht="14.4" customHeight="1">
      <c r="A8" s="81" t="s">
        <v>96</v>
      </c>
      <c r="B8" s="108"/>
      <c r="C8" s="108"/>
      <c r="D8" s="109"/>
      <c r="F8" s="57"/>
      <c r="G8" s="58"/>
      <c r="H8" s="58"/>
      <c r="I8" s="59"/>
      <c r="K8" s="48"/>
      <c r="L8" s="49"/>
      <c r="M8" s="49"/>
      <c r="N8" s="50"/>
      <c r="P8" s="69"/>
      <c r="Q8" s="70"/>
      <c r="R8" s="70"/>
      <c r="S8" s="71"/>
    </row>
    <row r="9" spans="1:19" ht="14.4" customHeight="1">
      <c r="A9" s="82"/>
      <c r="B9" s="110"/>
      <c r="C9" s="110"/>
      <c r="D9" s="83"/>
      <c r="F9" s="60"/>
      <c r="G9" s="61"/>
      <c r="H9" s="61"/>
      <c r="I9" s="62"/>
      <c r="K9" s="51"/>
      <c r="L9" s="52"/>
      <c r="M9" s="52"/>
      <c r="N9" s="53"/>
      <c r="P9" s="72"/>
      <c r="Q9" s="73"/>
      <c r="R9" s="73"/>
      <c r="S9" s="74"/>
    </row>
    <row r="10" spans="1:19" ht="18">
      <c r="A10" s="117" t="s">
        <v>28</v>
      </c>
      <c r="B10" s="118"/>
      <c r="C10" s="118"/>
      <c r="D10" s="119"/>
      <c r="F10" s="99" t="s">
        <v>24</v>
      </c>
      <c r="G10" s="100"/>
      <c r="H10" s="100"/>
      <c r="I10" s="101"/>
      <c r="K10" s="102" t="s">
        <v>26</v>
      </c>
      <c r="L10" s="103"/>
      <c r="M10" s="103"/>
      <c r="N10" s="104"/>
      <c r="P10" s="105" t="s">
        <v>14</v>
      </c>
      <c r="Q10" s="106"/>
      <c r="R10" s="106"/>
      <c r="S10" s="107"/>
    </row>
    <row r="11" spans="1:19" ht="28.8">
      <c r="A11" s="116">
        <v>0.15909999999999999</v>
      </c>
      <c r="B11" s="114"/>
      <c r="C11" s="114"/>
      <c r="D11" s="115"/>
      <c r="F11" s="96">
        <v>146.11000000000001</v>
      </c>
      <c r="G11" s="97"/>
      <c r="H11" s="97"/>
      <c r="I11" s="98"/>
      <c r="K11" s="54">
        <v>-57.41</v>
      </c>
      <c r="L11" s="55"/>
      <c r="M11" s="55"/>
      <c r="N11" s="56"/>
      <c r="P11" s="78">
        <v>31462623</v>
      </c>
      <c r="Q11" s="79"/>
      <c r="R11" s="79"/>
      <c r="S11" s="80"/>
    </row>
    <row r="12" spans="1:19" ht="15.6">
      <c r="A12" s="111" t="s">
        <v>113</v>
      </c>
      <c r="B12" s="112"/>
      <c r="C12" s="112"/>
      <c r="D12" s="113"/>
      <c r="F12" s="87" t="s">
        <v>111</v>
      </c>
      <c r="G12" s="88"/>
      <c r="H12" s="88"/>
      <c r="I12" s="89"/>
      <c r="K12" s="90" t="s">
        <v>110</v>
      </c>
      <c r="L12" s="91"/>
      <c r="M12" s="91"/>
      <c r="N12" s="92"/>
      <c r="P12" s="93" t="s">
        <v>112</v>
      </c>
      <c r="Q12" s="94"/>
      <c r="R12" s="94"/>
      <c r="S12" s="95"/>
    </row>
    <row r="13" spans="1:19" ht="14.4" customHeight="1">
      <c r="A13" s="82"/>
      <c r="B13" s="110"/>
      <c r="C13" s="110"/>
      <c r="D13" s="83"/>
      <c r="F13" s="60" t="s">
        <v>96</v>
      </c>
      <c r="G13" s="61"/>
      <c r="H13" s="61"/>
      <c r="I13" s="62"/>
      <c r="K13" s="51"/>
      <c r="L13" s="52"/>
      <c r="M13" s="52"/>
      <c r="N13" s="53"/>
      <c r="P13" s="72"/>
      <c r="Q13" s="73"/>
      <c r="R13" s="73"/>
      <c r="S13" s="74"/>
    </row>
    <row r="14" spans="1:19" ht="14.4" customHeight="1">
      <c r="A14" s="84"/>
      <c r="B14" s="85"/>
      <c r="C14" s="85"/>
      <c r="D14" s="86"/>
      <c r="F14" s="63"/>
      <c r="G14" s="64"/>
      <c r="H14" s="64"/>
      <c r="I14" s="65"/>
      <c r="K14" s="45"/>
      <c r="L14" s="46"/>
      <c r="M14" s="46"/>
      <c r="N14" s="47"/>
      <c r="P14" s="75"/>
      <c r="Q14" s="76"/>
      <c r="R14" s="76"/>
      <c r="S14" s="77"/>
    </row>
    <row r="17" spans="14:14">
      <c r="N17" t="s">
        <v>96</v>
      </c>
    </row>
    <row r="41" spans="1:17" ht="18">
      <c r="A41" s="120" t="s">
        <v>114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</row>
    <row r="42" spans="1:17">
      <c r="A42" s="121" t="s">
        <v>119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</row>
    <row r="43" spans="1:17">
      <c r="A43" s="121" t="s">
        <v>117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</row>
    <row r="44" spans="1:17">
      <c r="A44" s="122" t="s">
        <v>118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</row>
    <row r="45" spans="1:17">
      <c r="A45" s="121" t="s">
        <v>115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</row>
    <row r="46" spans="1:17">
      <c r="A46" s="121" t="s">
        <v>116</v>
      </c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</row>
    <row r="47" spans="1:17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</row>
    <row r="48" spans="1:17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</row>
  </sheetData>
  <mergeCells count="41">
    <mergeCell ref="A46:Q46"/>
    <mergeCell ref="A47:Q47"/>
    <mergeCell ref="A48:Q48"/>
    <mergeCell ref="A41:Q41"/>
    <mergeCell ref="A42:Q42"/>
    <mergeCell ref="A43:Q43"/>
    <mergeCell ref="A44:Q44"/>
    <mergeCell ref="A45:Q45"/>
    <mergeCell ref="A1:S1"/>
    <mergeCell ref="A2:S2"/>
    <mergeCell ref="A3:S3"/>
    <mergeCell ref="A4:S4"/>
    <mergeCell ref="A5:S5"/>
    <mergeCell ref="F8:I8"/>
    <mergeCell ref="F10:I10"/>
    <mergeCell ref="F11:I11"/>
    <mergeCell ref="F12:I12"/>
    <mergeCell ref="F13:I13"/>
    <mergeCell ref="F14:I14"/>
    <mergeCell ref="F9:I9"/>
    <mergeCell ref="A8:D8"/>
    <mergeCell ref="A9:D9"/>
    <mergeCell ref="A10:D10"/>
    <mergeCell ref="A11:D11"/>
    <mergeCell ref="A12:D12"/>
    <mergeCell ref="A13:D13"/>
    <mergeCell ref="A14:D14"/>
    <mergeCell ref="K14:N14"/>
    <mergeCell ref="P8:S8"/>
    <mergeCell ref="P9:S9"/>
    <mergeCell ref="P10:S10"/>
    <mergeCell ref="P11:S11"/>
    <mergeCell ref="P12:S12"/>
    <mergeCell ref="P13:S13"/>
    <mergeCell ref="P14:S14"/>
    <mergeCell ref="K8:N8"/>
    <mergeCell ref="K9:N9"/>
    <mergeCell ref="K10:N10"/>
    <mergeCell ref="K11:N11"/>
    <mergeCell ref="K12:N12"/>
    <mergeCell ref="K13:N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F54A-2EA3-4F83-A119-1A2916B5824B}">
  <dimension ref="A1:F14"/>
  <sheetViews>
    <sheetView workbookViewId="0">
      <selection sqref="A1:F14"/>
    </sheetView>
  </sheetViews>
  <sheetFormatPr defaultRowHeight="14.4"/>
  <cols>
    <col min="1" max="1" width="9.21875" bestFit="1" customWidth="1"/>
    <col min="2" max="2" width="13.109375" customWidth="1"/>
    <col min="3" max="3" width="10.88671875" customWidth="1"/>
    <col min="4" max="4" width="16.77734375" customWidth="1"/>
    <col min="5" max="5" width="10.33203125" bestFit="1" customWidth="1"/>
    <col min="6" max="6" width="13.109375" customWidth="1"/>
  </cols>
  <sheetData>
    <row r="1" spans="1:6">
      <c r="A1" t="s">
        <v>39</v>
      </c>
      <c r="B1" t="s">
        <v>28</v>
      </c>
      <c r="C1" t="s">
        <v>36</v>
      </c>
      <c r="D1" t="s">
        <v>34</v>
      </c>
      <c r="E1" t="s">
        <v>18</v>
      </c>
      <c r="F1" t="s">
        <v>26</v>
      </c>
    </row>
    <row r="2" spans="1:6">
      <c r="A2" s="15">
        <v>45901</v>
      </c>
      <c r="B2">
        <v>1139.0382080078125</v>
      </c>
      <c r="C2">
        <v>3631.0425821940103</v>
      </c>
      <c r="D2">
        <v>1605.1144612630208</v>
      </c>
      <c r="E2">
        <v>688.81937662760413</v>
      </c>
      <c r="F2">
        <v>238.83252461751303</v>
      </c>
    </row>
    <row r="3" spans="1:6">
      <c r="A3" s="15">
        <v>45931</v>
      </c>
      <c r="B3">
        <v>1207.9065406436011</v>
      </c>
      <c r="C3">
        <v>3803.5352143787204</v>
      </c>
      <c r="D3">
        <v>1656.8101283482142</v>
      </c>
      <c r="E3">
        <v>509.73823184058779</v>
      </c>
      <c r="F3">
        <v>235.29207865397134</v>
      </c>
    </row>
    <row r="4" spans="1:6">
      <c r="A4" s="15">
        <v>45962</v>
      </c>
      <c r="B4">
        <v>1250.5302862870067</v>
      </c>
      <c r="C4">
        <v>3952.7655993009867</v>
      </c>
      <c r="D4">
        <v>1735.8558735094573</v>
      </c>
      <c r="E4">
        <v>378.85204756887333</v>
      </c>
      <c r="F4">
        <v>235.14125141344573</v>
      </c>
    </row>
    <row r="5" spans="1:6">
      <c r="A5" s="15">
        <v>45992</v>
      </c>
      <c r="B5">
        <v>1253.7421597567472</v>
      </c>
      <c r="C5">
        <v>4002.109940962358</v>
      </c>
      <c r="D5">
        <v>1756.547246759588</v>
      </c>
      <c r="E5">
        <v>351.10791015625</v>
      </c>
      <c r="F5">
        <v>251.84737673672763</v>
      </c>
    </row>
    <row r="6" spans="1:6">
      <c r="A6" s="15">
        <v>46023</v>
      </c>
      <c r="B6">
        <v>1294.6415588378907</v>
      </c>
      <c r="C6">
        <v>3905.127197265625</v>
      </c>
      <c r="D6">
        <v>1667.17265625</v>
      </c>
      <c r="E6">
        <v>349.93220520019531</v>
      </c>
      <c r="F6">
        <v>245.43538284301758</v>
      </c>
    </row>
    <row r="7" spans="1:6">
      <c r="A7" s="15">
        <v>46054</v>
      </c>
      <c r="B7">
        <v>1357.4730834960938</v>
      </c>
      <c r="C7">
        <v>4159.3887695312496</v>
      </c>
      <c r="D7">
        <v>1708.8368896484376</v>
      </c>
      <c r="E7">
        <v>375.35630950927737</v>
      </c>
      <c r="F7">
        <v>216.47419967651368</v>
      </c>
    </row>
    <row r="8" spans="1:6">
      <c r="A8" s="15">
        <v>46082</v>
      </c>
      <c r="B8">
        <v>1248.4003649259869</v>
      </c>
      <c r="C8">
        <v>3633.9428325452304</v>
      </c>
      <c r="D8">
        <v>1779.2946970086348</v>
      </c>
      <c r="E8">
        <v>323.34147563733552</v>
      </c>
      <c r="F8">
        <v>192.11172645970396</v>
      </c>
    </row>
    <row r="9" spans="1:6">
      <c r="A9" s="15">
        <v>46113</v>
      </c>
      <c r="B9">
        <v>1315.5803955078125</v>
      </c>
      <c r="C9">
        <v>3921.5666625976564</v>
      </c>
      <c r="D9">
        <v>1696.0848815917968</v>
      </c>
      <c r="E9">
        <v>338.59376831054686</v>
      </c>
      <c r="F9">
        <v>200.12145919799804</v>
      </c>
    </row>
    <row r="10" spans="1:6">
      <c r="A10" s="15">
        <v>46143</v>
      </c>
      <c r="B10">
        <v>1269.7260292454769</v>
      </c>
      <c r="C10">
        <v>3946.6900442023025</v>
      </c>
      <c r="D10">
        <v>1847.2954422800165</v>
      </c>
      <c r="E10">
        <v>356.25789280941609</v>
      </c>
      <c r="F10">
        <v>195.19077019942435</v>
      </c>
    </row>
    <row r="11" spans="1:6">
      <c r="A11" s="15">
        <v>46174</v>
      </c>
      <c r="B11">
        <v>1324.9591296968006</v>
      </c>
      <c r="C11">
        <v>4072.1809430803573</v>
      </c>
      <c r="D11">
        <v>1813.7655261811756</v>
      </c>
      <c r="E11">
        <v>373.39243861607144</v>
      </c>
      <c r="F11">
        <v>182.91525268554688</v>
      </c>
    </row>
    <row r="12" spans="1:6">
      <c r="A12" s="15">
        <v>46204</v>
      </c>
      <c r="B12">
        <v>1287.4211213485055</v>
      </c>
      <c r="C12">
        <v>3896.2347783627715</v>
      </c>
      <c r="D12">
        <v>1938.580513332201</v>
      </c>
      <c r="E12">
        <v>335.06738944675612</v>
      </c>
      <c r="F12">
        <v>175.12300176205844</v>
      </c>
    </row>
    <row r="13" spans="1:6">
      <c r="A13" s="15">
        <v>46235</v>
      </c>
      <c r="B13">
        <v>1246.5285877046131</v>
      </c>
      <c r="C13">
        <v>4056.4761904761904</v>
      </c>
      <c r="D13">
        <v>1927.0952439081102</v>
      </c>
      <c r="E13">
        <v>331.44047473725817</v>
      </c>
      <c r="F13">
        <v>182.79238092331659</v>
      </c>
    </row>
    <row r="14" spans="1:6">
      <c r="A14" s="15">
        <v>46266</v>
      </c>
      <c r="B14">
        <v>1253.4125061035156</v>
      </c>
      <c r="C14">
        <v>3961.5111490885415</v>
      </c>
      <c r="D14">
        <v>1891.3888888888889</v>
      </c>
      <c r="E14">
        <v>307.14444647894965</v>
      </c>
      <c r="F14">
        <v>172.87888760036893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Cleaning_Notes</vt:lpstr>
      <vt:lpstr>Summary</vt:lpstr>
      <vt:lpstr>Analysis</vt:lpstr>
      <vt:lpstr>Dashboard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saifi</cp:lastModifiedBy>
  <dcterms:created xsi:type="dcterms:W3CDTF">2026-09-14T14:56:18Z</dcterms:created>
  <dcterms:modified xsi:type="dcterms:W3CDTF">2026-09-17T14:14:15Z</dcterms:modified>
</cp:coreProperties>
</file>